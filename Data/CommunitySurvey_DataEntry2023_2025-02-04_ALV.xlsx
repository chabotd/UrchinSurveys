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_1_OSUData\_2 LTREB\Community_Surveys\Data Entry\2023\"/>
    </mc:Choice>
  </mc:AlternateContent>
  <bookViews>
    <workbookView xWindow="0" yWindow="0" windowWidth="28800" windowHeight="12300" tabRatio="862"/>
  </bookViews>
  <sheets>
    <sheet name="Community Surveys" sheetId="1" r:id="rId1"/>
    <sheet name="TaxonList" sheetId="11" r:id="rId2"/>
    <sheet name="Validation" sheetId="10" r:id="rId3"/>
    <sheet name="MetaData" sheetId="12" r:id="rId4"/>
  </sheets>
  <definedNames>
    <definedName name="_xlnm._FilterDatabase" localSheetId="0" hidden="1">'Community Surveys'!$A$2:$FU$361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8" i="1" l="1"/>
  <c r="B158" i="1"/>
  <c r="C158" i="1"/>
  <c r="O158" i="1"/>
  <c r="O202" i="1" l="1"/>
  <c r="O46" i="1" l="1"/>
  <c r="O356" i="1" l="1"/>
  <c r="O357" i="1"/>
  <c r="O358" i="1"/>
  <c r="O359" i="1"/>
  <c r="O360" i="1"/>
  <c r="O361" i="1"/>
  <c r="O354" i="1"/>
  <c r="O355" i="1"/>
  <c r="C356" i="1"/>
  <c r="C357" i="1"/>
  <c r="C358" i="1"/>
  <c r="C359" i="1"/>
  <c r="C360" i="1"/>
  <c r="C361" i="1"/>
  <c r="A361" i="1"/>
  <c r="B361" i="1"/>
  <c r="A360" i="1"/>
  <c r="B360" i="1"/>
  <c r="A359" i="1"/>
  <c r="B359" i="1"/>
  <c r="A358" i="1"/>
  <c r="B358" i="1"/>
  <c r="A357" i="1"/>
  <c r="B357" i="1"/>
  <c r="A356" i="1"/>
  <c r="B356" i="1"/>
  <c r="A354" i="1"/>
  <c r="B354" i="1"/>
  <c r="C354" i="1"/>
  <c r="A355" i="1"/>
  <c r="B355" i="1"/>
  <c r="C355" i="1"/>
  <c r="O335" i="1"/>
  <c r="O349" i="1" l="1"/>
  <c r="O350" i="1"/>
  <c r="O351" i="1"/>
  <c r="O352" i="1"/>
  <c r="O353" i="1"/>
  <c r="A349" i="1"/>
  <c r="B349" i="1"/>
  <c r="C349" i="1"/>
  <c r="A350" i="1"/>
  <c r="B350" i="1"/>
  <c r="C350" i="1"/>
  <c r="A351" i="1"/>
  <c r="B351" i="1"/>
  <c r="C351" i="1"/>
  <c r="A352" i="1"/>
  <c r="B352" i="1"/>
  <c r="C352" i="1"/>
  <c r="A353" i="1"/>
  <c r="B353" i="1"/>
  <c r="C353" i="1"/>
  <c r="A335" i="1"/>
  <c r="B335" i="1"/>
  <c r="C335" i="1"/>
  <c r="O334" i="1"/>
  <c r="O328" i="1"/>
  <c r="O327" i="1"/>
  <c r="O326" i="1"/>
  <c r="O330" i="1" l="1"/>
  <c r="O331" i="1"/>
  <c r="O332" i="1"/>
  <c r="O333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A330" i="1"/>
  <c r="B330" i="1"/>
  <c r="C330" i="1"/>
  <c r="A331" i="1"/>
  <c r="B331" i="1"/>
  <c r="C331" i="1"/>
  <c r="A332" i="1"/>
  <c r="B332" i="1"/>
  <c r="C332" i="1"/>
  <c r="A333" i="1"/>
  <c r="B333" i="1"/>
  <c r="C333" i="1"/>
  <c r="A334" i="1"/>
  <c r="B334" i="1"/>
  <c r="C334" i="1"/>
  <c r="A336" i="1"/>
  <c r="B336" i="1"/>
  <c r="C336" i="1"/>
  <c r="A337" i="1"/>
  <c r="B337" i="1"/>
  <c r="C337" i="1"/>
  <c r="A338" i="1"/>
  <c r="B338" i="1"/>
  <c r="C338" i="1"/>
  <c r="A339" i="1"/>
  <c r="B339" i="1"/>
  <c r="C339" i="1"/>
  <c r="A340" i="1"/>
  <c r="B340" i="1"/>
  <c r="C340" i="1"/>
  <c r="A341" i="1"/>
  <c r="B341" i="1"/>
  <c r="C341" i="1"/>
  <c r="A342" i="1"/>
  <c r="B342" i="1"/>
  <c r="C342" i="1"/>
  <c r="A343" i="1"/>
  <c r="B343" i="1"/>
  <c r="C343" i="1"/>
  <c r="A344" i="1"/>
  <c r="B344" i="1"/>
  <c r="C344" i="1"/>
  <c r="A345" i="1"/>
  <c r="B345" i="1"/>
  <c r="C345" i="1"/>
  <c r="A346" i="1"/>
  <c r="B346" i="1"/>
  <c r="C346" i="1"/>
  <c r="A347" i="1"/>
  <c r="B347" i="1"/>
  <c r="C347" i="1"/>
  <c r="A348" i="1"/>
  <c r="B348" i="1"/>
  <c r="C348" i="1"/>
  <c r="O329" i="1" l="1"/>
  <c r="A326" i="1"/>
  <c r="B326" i="1"/>
  <c r="C326" i="1"/>
  <c r="A327" i="1"/>
  <c r="B327" i="1"/>
  <c r="C327" i="1"/>
  <c r="A328" i="1"/>
  <c r="B328" i="1"/>
  <c r="C328" i="1"/>
  <c r="A329" i="1"/>
  <c r="B329" i="1"/>
  <c r="C329" i="1"/>
  <c r="O301" i="1" l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A301" i="1"/>
  <c r="B301" i="1"/>
  <c r="C301" i="1"/>
  <c r="A325" i="1"/>
  <c r="B325" i="1"/>
  <c r="A324" i="1"/>
  <c r="B324" i="1"/>
  <c r="A323" i="1"/>
  <c r="B323" i="1"/>
  <c r="A322" i="1"/>
  <c r="B322" i="1"/>
  <c r="A321" i="1"/>
  <c r="B321" i="1"/>
  <c r="A320" i="1"/>
  <c r="B320" i="1"/>
  <c r="A319" i="1"/>
  <c r="B319" i="1"/>
  <c r="A318" i="1"/>
  <c r="B318" i="1"/>
  <c r="A317" i="1"/>
  <c r="B317" i="1"/>
  <c r="A316" i="1"/>
  <c r="B316" i="1"/>
  <c r="A315" i="1"/>
  <c r="B315" i="1"/>
  <c r="A314" i="1"/>
  <c r="B314" i="1"/>
  <c r="A313" i="1"/>
  <c r="B313" i="1"/>
  <c r="A312" i="1"/>
  <c r="B312" i="1"/>
  <c r="A311" i="1"/>
  <c r="B311" i="1"/>
  <c r="A310" i="1"/>
  <c r="B310" i="1"/>
  <c r="A309" i="1"/>
  <c r="B309" i="1"/>
  <c r="A308" i="1"/>
  <c r="B308" i="1"/>
  <c r="A307" i="1"/>
  <c r="B307" i="1"/>
  <c r="A306" i="1"/>
  <c r="B306" i="1"/>
  <c r="A305" i="1"/>
  <c r="B305" i="1"/>
  <c r="A304" i="1"/>
  <c r="B304" i="1"/>
  <c r="A303" i="1"/>
  <c r="B303" i="1"/>
  <c r="A302" i="1"/>
  <c r="B302" i="1"/>
  <c r="A276" i="1" l="1"/>
  <c r="B276" i="1"/>
  <c r="C276" i="1"/>
  <c r="A277" i="1"/>
  <c r="B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B285" i="1"/>
  <c r="C285" i="1"/>
  <c r="A286" i="1"/>
  <c r="B286" i="1"/>
  <c r="C286" i="1"/>
  <c r="A287" i="1"/>
  <c r="B287" i="1"/>
  <c r="C287" i="1"/>
  <c r="A288" i="1"/>
  <c r="B288" i="1"/>
  <c r="C288" i="1"/>
  <c r="A289" i="1"/>
  <c r="B289" i="1"/>
  <c r="C289" i="1"/>
  <c r="A290" i="1"/>
  <c r="B290" i="1"/>
  <c r="C290" i="1"/>
  <c r="A291" i="1"/>
  <c r="B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299" i="1"/>
  <c r="B299" i="1"/>
  <c r="C299" i="1"/>
  <c r="A300" i="1"/>
  <c r="B300" i="1"/>
  <c r="C300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271" i="1"/>
  <c r="B271" i="1"/>
  <c r="C271" i="1"/>
  <c r="A272" i="1"/>
  <c r="B272" i="1"/>
  <c r="C272" i="1"/>
  <c r="A273" i="1"/>
  <c r="B273" i="1"/>
  <c r="C273" i="1"/>
  <c r="A274" i="1"/>
  <c r="B274" i="1"/>
  <c r="C274" i="1"/>
  <c r="A275" i="1"/>
  <c r="B275" i="1"/>
  <c r="C275" i="1"/>
  <c r="O266" i="1"/>
  <c r="O268" i="1"/>
  <c r="O269" i="1"/>
  <c r="O270" i="1"/>
  <c r="O271" i="1"/>
  <c r="O272" i="1"/>
  <c r="O273" i="1"/>
  <c r="O274" i="1"/>
  <c r="O275" i="1"/>
  <c r="O267" i="1"/>
  <c r="A266" i="1"/>
  <c r="B266" i="1"/>
  <c r="C266" i="1"/>
  <c r="O256" i="1"/>
  <c r="O257" i="1"/>
  <c r="O258" i="1"/>
  <c r="O259" i="1"/>
  <c r="O260" i="1"/>
  <c r="O261" i="1"/>
  <c r="O262" i="1"/>
  <c r="O263" i="1"/>
  <c r="O264" i="1"/>
  <c r="O265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56" i="1"/>
  <c r="B256" i="1"/>
  <c r="C256" i="1"/>
  <c r="O252" i="1"/>
  <c r="O253" i="1"/>
  <c r="O254" i="1"/>
  <c r="O255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27" i="1"/>
  <c r="O228" i="1"/>
  <c r="O229" i="1"/>
  <c r="A227" i="1"/>
  <c r="B227" i="1"/>
  <c r="C227" i="1"/>
  <c r="A228" i="1"/>
  <c r="B228" i="1"/>
  <c r="C228" i="1"/>
  <c r="A229" i="1"/>
  <c r="B229" i="1"/>
  <c r="C229" i="1"/>
  <c r="O226" i="1"/>
  <c r="A226" i="1"/>
  <c r="B226" i="1"/>
  <c r="C226" i="1"/>
  <c r="O193" i="1" l="1"/>
  <c r="O194" i="1"/>
  <c r="O195" i="1"/>
  <c r="O196" i="1"/>
  <c r="O197" i="1"/>
  <c r="O198" i="1"/>
  <c r="O199" i="1"/>
  <c r="O200" i="1"/>
  <c r="O201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A225" i="1"/>
  <c r="B225" i="1"/>
  <c r="C225" i="1"/>
  <c r="A224" i="1"/>
  <c r="B224" i="1"/>
  <c r="C224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10" i="1"/>
  <c r="B210" i="1"/>
  <c r="C210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193" i="1"/>
  <c r="B193" i="1"/>
  <c r="C193" i="1"/>
  <c r="O175" i="1" l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O171" i="1"/>
  <c r="O172" i="1"/>
  <c r="O173" i="1"/>
  <c r="O174" i="1"/>
  <c r="O170" i="1"/>
  <c r="O169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O168" i="1" l="1"/>
  <c r="C168" i="1"/>
  <c r="B168" i="1"/>
  <c r="A168" i="1"/>
  <c r="O160" i="1" l="1"/>
  <c r="O161" i="1"/>
  <c r="O162" i="1"/>
  <c r="O163" i="1"/>
  <c r="O164" i="1"/>
  <c r="O165" i="1"/>
  <c r="O166" i="1"/>
  <c r="O167" i="1"/>
  <c r="C160" i="1"/>
  <c r="C161" i="1"/>
  <c r="C162" i="1"/>
  <c r="C163" i="1"/>
  <c r="C164" i="1"/>
  <c r="C165" i="1"/>
  <c r="C166" i="1"/>
  <c r="C167" i="1"/>
  <c r="B160" i="1"/>
  <c r="B161" i="1"/>
  <c r="B162" i="1"/>
  <c r="B163" i="1"/>
  <c r="B164" i="1"/>
  <c r="B165" i="1"/>
  <c r="B166" i="1"/>
  <c r="B167" i="1"/>
  <c r="A160" i="1"/>
  <c r="A161" i="1"/>
  <c r="A162" i="1"/>
  <c r="A163" i="1"/>
  <c r="A164" i="1"/>
  <c r="A165" i="1"/>
  <c r="A166" i="1"/>
  <c r="A167" i="1"/>
  <c r="O156" i="1"/>
  <c r="O157" i="1"/>
  <c r="O159" i="1"/>
  <c r="A156" i="1"/>
  <c r="A157" i="1"/>
  <c r="A159" i="1"/>
  <c r="B156" i="1"/>
  <c r="B157" i="1"/>
  <c r="B159" i="1"/>
  <c r="C156" i="1"/>
  <c r="C157" i="1"/>
  <c r="C159" i="1"/>
  <c r="O146" i="1" l="1"/>
  <c r="O147" i="1"/>
  <c r="O148" i="1"/>
  <c r="O149" i="1"/>
  <c r="O150" i="1"/>
  <c r="O151" i="1"/>
  <c r="O152" i="1"/>
  <c r="O153" i="1"/>
  <c r="O154" i="1"/>
  <c r="O155" i="1"/>
  <c r="A146" i="1"/>
  <c r="A147" i="1"/>
  <c r="A148" i="1"/>
  <c r="A149" i="1"/>
  <c r="A150" i="1"/>
  <c r="A151" i="1"/>
  <c r="A152" i="1"/>
  <c r="A153" i="1"/>
  <c r="A154" i="1"/>
  <c r="A155" i="1"/>
  <c r="B146" i="1"/>
  <c r="B147" i="1"/>
  <c r="B148" i="1"/>
  <c r="B149" i="1"/>
  <c r="B150" i="1"/>
  <c r="B151" i="1"/>
  <c r="B152" i="1"/>
  <c r="B153" i="1"/>
  <c r="B154" i="1"/>
  <c r="B155" i="1"/>
  <c r="C147" i="1"/>
  <c r="C148" i="1"/>
  <c r="C149" i="1"/>
  <c r="C150" i="1"/>
  <c r="C151" i="1"/>
  <c r="C152" i="1"/>
  <c r="C153" i="1"/>
  <c r="C154" i="1"/>
  <c r="C155" i="1"/>
  <c r="C146" i="1"/>
  <c r="O141" i="1" l="1"/>
  <c r="O142" i="1"/>
  <c r="O143" i="1"/>
  <c r="O144" i="1"/>
  <c r="O145" i="1"/>
  <c r="A141" i="1"/>
  <c r="A142" i="1"/>
  <c r="A143" i="1"/>
  <c r="A144" i="1"/>
  <c r="A145" i="1"/>
  <c r="B141" i="1"/>
  <c r="B142" i="1"/>
  <c r="B143" i="1"/>
  <c r="B144" i="1"/>
  <c r="B145" i="1"/>
  <c r="C141" i="1"/>
  <c r="C142" i="1"/>
  <c r="C143" i="1"/>
  <c r="C144" i="1"/>
  <c r="C14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A119" i="1" l="1"/>
  <c r="A120" i="1"/>
  <c r="A121" i="1"/>
  <c r="A122" i="1"/>
  <c r="A123" i="1"/>
  <c r="A124" i="1"/>
  <c r="A125" i="1"/>
  <c r="B119" i="1"/>
  <c r="B120" i="1"/>
  <c r="B121" i="1"/>
  <c r="B122" i="1"/>
  <c r="B123" i="1"/>
  <c r="B124" i="1"/>
  <c r="B125" i="1"/>
  <c r="C119" i="1"/>
  <c r="C120" i="1"/>
  <c r="C121" i="1"/>
  <c r="C122" i="1"/>
  <c r="C123" i="1"/>
  <c r="C124" i="1"/>
  <c r="C125" i="1"/>
  <c r="O119" i="1"/>
  <c r="O120" i="1"/>
  <c r="O121" i="1"/>
  <c r="O122" i="1"/>
  <c r="O123" i="1"/>
  <c r="O124" i="1"/>
  <c r="O125" i="1"/>
  <c r="A115" i="1"/>
  <c r="A116" i="1"/>
  <c r="A117" i="1"/>
  <c r="A118" i="1"/>
  <c r="B115" i="1"/>
  <c r="B116" i="1"/>
  <c r="B117" i="1"/>
  <c r="B118" i="1"/>
  <c r="C115" i="1"/>
  <c r="C116" i="1"/>
  <c r="C117" i="1"/>
  <c r="C118" i="1"/>
  <c r="O115" i="1"/>
  <c r="O116" i="1"/>
  <c r="O117" i="1"/>
  <c r="O118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B114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A101" i="1"/>
  <c r="B101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94" i="1"/>
  <c r="O95" i="1"/>
  <c r="O96" i="1"/>
  <c r="O97" i="1"/>
  <c r="O98" i="1"/>
  <c r="O99" i="1"/>
  <c r="O100" i="1"/>
  <c r="A95" i="1"/>
  <c r="A96" i="1"/>
  <c r="A97" i="1"/>
  <c r="A98" i="1"/>
  <c r="A99" i="1"/>
  <c r="A100" i="1"/>
  <c r="B95" i="1"/>
  <c r="B96" i="1"/>
  <c r="B97" i="1"/>
  <c r="B98" i="1"/>
  <c r="B99" i="1"/>
  <c r="B100" i="1"/>
  <c r="C95" i="1"/>
  <c r="C96" i="1"/>
  <c r="C97" i="1"/>
  <c r="C98" i="1"/>
  <c r="C99" i="1"/>
  <c r="C100" i="1"/>
  <c r="A94" i="1"/>
  <c r="B94" i="1"/>
  <c r="C94" i="1"/>
  <c r="A91" i="1" l="1"/>
  <c r="A92" i="1"/>
  <c r="A93" i="1"/>
  <c r="B91" i="1"/>
  <c r="B92" i="1"/>
  <c r="B93" i="1"/>
  <c r="C91" i="1"/>
  <c r="C92" i="1"/>
  <c r="C93" i="1"/>
  <c r="O91" i="1"/>
  <c r="O92" i="1"/>
  <c r="O93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A77" i="1"/>
  <c r="B77" i="1"/>
  <c r="A75" i="1" l="1"/>
  <c r="A76" i="1"/>
  <c r="C70" i="1"/>
  <c r="C71" i="1"/>
  <c r="C72" i="1"/>
  <c r="C73" i="1"/>
  <c r="C74" i="1"/>
  <c r="C75" i="1"/>
  <c r="C76" i="1"/>
  <c r="B70" i="1"/>
  <c r="B71" i="1"/>
  <c r="B72" i="1"/>
  <c r="B73" i="1"/>
  <c r="B74" i="1"/>
  <c r="B75" i="1"/>
  <c r="B76" i="1"/>
  <c r="A70" i="1"/>
  <c r="A71" i="1"/>
  <c r="A72" i="1"/>
  <c r="A73" i="1"/>
  <c r="A74" i="1"/>
  <c r="O70" i="1"/>
  <c r="O71" i="1"/>
  <c r="O72" i="1"/>
  <c r="O73" i="1"/>
  <c r="O74" i="1"/>
  <c r="O75" i="1"/>
  <c r="O76" i="1"/>
  <c r="O69" i="1"/>
  <c r="C69" i="1"/>
  <c r="A69" i="1"/>
  <c r="B69" i="1"/>
  <c r="A60" i="1"/>
  <c r="A61" i="1"/>
  <c r="A62" i="1"/>
  <c r="A63" i="1"/>
  <c r="A64" i="1"/>
  <c r="A65" i="1"/>
  <c r="A66" i="1"/>
  <c r="A67" i="1"/>
  <c r="A68" i="1"/>
  <c r="B60" i="1"/>
  <c r="B61" i="1"/>
  <c r="B62" i="1"/>
  <c r="B63" i="1"/>
  <c r="B64" i="1"/>
  <c r="B65" i="1"/>
  <c r="B66" i="1"/>
  <c r="B67" i="1"/>
  <c r="B68" i="1"/>
  <c r="C59" i="1"/>
  <c r="C60" i="1"/>
  <c r="C61" i="1"/>
  <c r="C62" i="1"/>
  <c r="C63" i="1"/>
  <c r="C64" i="1"/>
  <c r="C65" i="1"/>
  <c r="C66" i="1"/>
  <c r="C67" i="1"/>
  <c r="C68" i="1"/>
  <c r="A59" i="1"/>
  <c r="B59" i="1"/>
  <c r="C58" i="1" l="1"/>
  <c r="B58" i="1"/>
  <c r="A58" i="1"/>
  <c r="B57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44" i="1"/>
  <c r="O45" i="1"/>
  <c r="O47" i="1"/>
  <c r="O48" i="1"/>
  <c r="O49" i="1"/>
  <c r="O50" i="1"/>
  <c r="O51" i="1"/>
  <c r="O52" i="1"/>
  <c r="O53" i="1"/>
  <c r="O54" i="1"/>
  <c r="O37" i="1" l="1"/>
  <c r="O41" i="1" l="1"/>
  <c r="O42" i="1"/>
  <c r="O43" i="1"/>
  <c r="A42" i="1"/>
  <c r="A43" i="1"/>
  <c r="B42" i="1"/>
  <c r="B43" i="1"/>
  <c r="C41" i="1"/>
  <c r="C42" i="1"/>
  <c r="C43" i="1"/>
  <c r="A41" i="1"/>
  <c r="B41" i="1"/>
  <c r="O18" i="1" l="1"/>
  <c r="A27" i="1" l="1"/>
  <c r="B27" i="1"/>
  <c r="C27" i="1"/>
  <c r="O27" i="1"/>
  <c r="A37" i="1" l="1"/>
  <c r="B37" i="1"/>
  <c r="C37" i="1"/>
  <c r="A6" i="1"/>
  <c r="B6" i="1"/>
  <c r="C6" i="1"/>
  <c r="A8" i="1"/>
  <c r="B8" i="1"/>
  <c r="C8" i="1"/>
  <c r="A10" i="1"/>
  <c r="B10" i="1"/>
  <c r="C10" i="1"/>
  <c r="A14" i="1"/>
  <c r="B14" i="1"/>
  <c r="C14" i="1"/>
  <c r="A16" i="1"/>
  <c r="B16" i="1"/>
  <c r="C16" i="1"/>
  <c r="A23" i="1"/>
  <c r="B23" i="1"/>
  <c r="C23" i="1"/>
  <c r="A26" i="1"/>
  <c r="B26" i="1"/>
  <c r="C26" i="1"/>
  <c r="A35" i="1"/>
  <c r="B35" i="1"/>
  <c r="C35" i="1"/>
  <c r="A34" i="1"/>
  <c r="B34" i="1"/>
  <c r="C34" i="1"/>
  <c r="A33" i="1"/>
  <c r="B33" i="1"/>
  <c r="C33" i="1"/>
  <c r="A18" i="1"/>
  <c r="B18" i="1"/>
  <c r="C18" i="1"/>
  <c r="A19" i="1"/>
  <c r="B19" i="1"/>
  <c r="C19" i="1"/>
  <c r="A20" i="1"/>
  <c r="B20" i="1"/>
  <c r="C20" i="1"/>
  <c r="A21" i="1"/>
  <c r="B21" i="1"/>
  <c r="C21" i="1"/>
  <c r="A29" i="1"/>
  <c r="B29" i="1"/>
  <c r="C29" i="1"/>
  <c r="A30" i="1"/>
  <c r="B30" i="1"/>
  <c r="C30" i="1"/>
  <c r="A31" i="1"/>
  <c r="B31" i="1"/>
  <c r="C31" i="1"/>
  <c r="A22" i="1"/>
  <c r="B22" i="1"/>
  <c r="C22" i="1"/>
  <c r="A25" i="1"/>
  <c r="B25" i="1"/>
  <c r="C25" i="1"/>
  <c r="A28" i="1"/>
  <c r="B28" i="1"/>
  <c r="C28" i="1"/>
  <c r="A36" i="1"/>
  <c r="B36" i="1"/>
  <c r="C36" i="1"/>
  <c r="A32" i="1"/>
  <c r="B32" i="1"/>
  <c r="C32" i="1"/>
  <c r="A40" i="1"/>
  <c r="B40" i="1"/>
  <c r="C40" i="1"/>
  <c r="A39" i="1"/>
  <c r="B39" i="1"/>
  <c r="C39" i="1"/>
  <c r="A3" i="1"/>
  <c r="B3" i="1"/>
  <c r="C3" i="1"/>
  <c r="A4" i="1"/>
  <c r="B4" i="1"/>
  <c r="C4" i="1"/>
  <c r="A5" i="1"/>
  <c r="B5" i="1"/>
  <c r="C5" i="1"/>
  <c r="A7" i="1"/>
  <c r="B7" i="1"/>
  <c r="C7" i="1"/>
  <c r="A9" i="1"/>
  <c r="B9" i="1"/>
  <c r="C9" i="1"/>
  <c r="A11" i="1"/>
  <c r="B11" i="1"/>
  <c r="C11" i="1"/>
  <c r="A12" i="1"/>
  <c r="B12" i="1"/>
  <c r="C12" i="1"/>
  <c r="A13" i="1"/>
  <c r="B13" i="1"/>
  <c r="C13" i="1"/>
  <c r="A15" i="1"/>
  <c r="B15" i="1"/>
  <c r="C15" i="1"/>
  <c r="A17" i="1"/>
  <c r="B17" i="1"/>
  <c r="C17" i="1"/>
  <c r="A24" i="1"/>
  <c r="B24" i="1"/>
  <c r="C24" i="1"/>
  <c r="C38" i="1"/>
  <c r="B38" i="1"/>
  <c r="A38" i="1"/>
  <c r="O38" i="1"/>
  <c r="O6" i="1"/>
  <c r="O8" i="1"/>
  <c r="O10" i="1"/>
  <c r="O14" i="1"/>
  <c r="O16" i="1"/>
  <c r="O23" i="1"/>
  <c r="O26" i="1"/>
  <c r="O35" i="1"/>
  <c r="O34" i="1"/>
  <c r="O33" i="1"/>
  <c r="O19" i="1"/>
  <c r="O20" i="1"/>
  <c r="O21" i="1"/>
  <c r="O29" i="1"/>
  <c r="O30" i="1"/>
  <c r="O31" i="1"/>
  <c r="O22" i="1"/>
  <c r="O25" i="1"/>
  <c r="O28" i="1"/>
  <c r="O36" i="1"/>
  <c r="O32" i="1"/>
  <c r="O40" i="1"/>
  <c r="O39" i="1"/>
  <c r="O3" i="1"/>
  <c r="O4" i="1"/>
  <c r="O5" i="1"/>
  <c r="O7" i="1"/>
  <c r="O9" i="1"/>
  <c r="O11" i="1"/>
  <c r="O12" i="1"/>
  <c r="O13" i="1"/>
  <c r="O15" i="1"/>
  <c r="O17" i="1"/>
  <c r="O24" i="1"/>
</calcChain>
</file>

<file path=xl/sharedStrings.xml><?xml version="1.0" encoding="utf-8"?>
<sst xmlns="http://schemas.openxmlformats.org/spreadsheetml/2006/main" count="2778" uniqueCount="309">
  <si>
    <t>Zone</t>
  </si>
  <si>
    <t>Exposure</t>
  </si>
  <si>
    <t>Fogarty Creek</t>
  </si>
  <si>
    <t>Boiler Bay</t>
  </si>
  <si>
    <t>Manipulation Bay</t>
  </si>
  <si>
    <t>Yachats Beach</t>
  </si>
  <si>
    <t>Strawberry Hill</t>
  </si>
  <si>
    <t>Tokatee Klootchman</t>
  </si>
  <si>
    <t>Cape Blanco North</t>
  </si>
  <si>
    <t>Cape Blanco South</t>
  </si>
  <si>
    <t>Rocky Point</t>
  </si>
  <si>
    <t>Cape Mendocino North</t>
  </si>
  <si>
    <t>Cape Mendocino South</t>
  </si>
  <si>
    <t>Kibesillah Hill</t>
  </si>
  <si>
    <t>Mote Creek</t>
  </si>
  <si>
    <t>Port Orford Heads</t>
  </si>
  <si>
    <t>Date</t>
  </si>
  <si>
    <t>Area</t>
  </si>
  <si>
    <t>BB</t>
  </si>
  <si>
    <t>CBN</t>
  </si>
  <si>
    <t>CBS</t>
  </si>
  <si>
    <t>CMEN</t>
  </si>
  <si>
    <t>CMES</t>
  </si>
  <si>
    <t>FC</t>
  </si>
  <si>
    <t>MB</t>
  </si>
  <si>
    <t>MC</t>
  </si>
  <si>
    <t>POH</t>
  </si>
  <si>
    <t>RP</t>
  </si>
  <si>
    <t>SH</t>
  </si>
  <si>
    <t>YB</t>
  </si>
  <si>
    <t>Bare</t>
  </si>
  <si>
    <t>Sand</t>
  </si>
  <si>
    <t>Brown/Red Crust</t>
  </si>
  <si>
    <t>Sponge</t>
  </si>
  <si>
    <t>Balanus glandula</t>
  </si>
  <si>
    <t>Chthamalus dalli</t>
  </si>
  <si>
    <t>Pollicipes polymerus</t>
  </si>
  <si>
    <t>Balanus nubilus</t>
  </si>
  <si>
    <t>Balanus spp.</t>
  </si>
  <si>
    <t>Mytilus californianus</t>
  </si>
  <si>
    <t>Mytilus trossulus</t>
  </si>
  <si>
    <t>Anthopleura xanthogrammica</t>
  </si>
  <si>
    <t>Anthopleura elegantissima</t>
  </si>
  <si>
    <t>Green Holdfast</t>
  </si>
  <si>
    <t>Red Holdfast</t>
  </si>
  <si>
    <t>Laminaria sinclairii</t>
  </si>
  <si>
    <t>Pelvetiopsis limitata</t>
  </si>
  <si>
    <t>Costaria costata</t>
  </si>
  <si>
    <t>Phyllospadix spp.</t>
  </si>
  <si>
    <t>Mazzaella splendens</t>
  </si>
  <si>
    <t>Mazzaella flaccida</t>
  </si>
  <si>
    <t>Mazzaella parksii</t>
  </si>
  <si>
    <t>Neorhodomela larix</t>
  </si>
  <si>
    <t>Osmundea spectabilis</t>
  </si>
  <si>
    <t>Ceramium spp.</t>
  </si>
  <si>
    <t>Chondracanthus exasperatus</t>
  </si>
  <si>
    <t>Erythrophyllum delesserioides</t>
  </si>
  <si>
    <t>Rhodymenia pacifica</t>
  </si>
  <si>
    <t>Ulva spp.</t>
  </si>
  <si>
    <t>Filamentous green algae</t>
  </si>
  <si>
    <t>Pisaster ochraceus</t>
  </si>
  <si>
    <t>Brittlestar</t>
  </si>
  <si>
    <t>Sea Cucumber</t>
  </si>
  <si>
    <t>Unidentified whelk</t>
  </si>
  <si>
    <t>Katharina tunicata</t>
  </si>
  <si>
    <t>Unidentified Chiton</t>
  </si>
  <si>
    <t>Cryptochiton</t>
  </si>
  <si>
    <t>Strongylocentrotus purpuratus</t>
  </si>
  <si>
    <t>Isopod</t>
  </si>
  <si>
    <t>Amphipods</t>
  </si>
  <si>
    <t>Worms</t>
  </si>
  <si>
    <t>Sipuncula</t>
  </si>
  <si>
    <t>Tube Worms</t>
  </si>
  <si>
    <t>Archidoris</t>
  </si>
  <si>
    <t>Anisodoris nobilis</t>
  </si>
  <si>
    <t>Onchidoris</t>
  </si>
  <si>
    <t>Lacuna spp.</t>
  </si>
  <si>
    <t>Onchidella</t>
  </si>
  <si>
    <t>Tegula spp.</t>
  </si>
  <si>
    <t>Hydrozoan</t>
  </si>
  <si>
    <t>KIB</t>
  </si>
  <si>
    <t xml:space="preserve">TK </t>
  </si>
  <si>
    <t>Site Name</t>
  </si>
  <si>
    <t>Site Code</t>
  </si>
  <si>
    <t>Fort Bragg</t>
  </si>
  <si>
    <t>FB</t>
  </si>
  <si>
    <t>Hedophyllum sessile</t>
  </si>
  <si>
    <t>Lessoniopsis littoralis</t>
  </si>
  <si>
    <t>Egregia menziesii</t>
  </si>
  <si>
    <t>Hedophyllum Holdfast</t>
  </si>
  <si>
    <t>Fucus distichus</t>
  </si>
  <si>
    <t>Hedo &gt; bare</t>
  </si>
  <si>
    <t>Hedo &gt; fleshy algae</t>
  </si>
  <si>
    <t>Hedo &gt; sponge</t>
  </si>
  <si>
    <t>Nemertean</t>
  </si>
  <si>
    <t>Bossiella plumosa</t>
  </si>
  <si>
    <t>Semibalanus cariosus</t>
  </si>
  <si>
    <t>Amphissa columbiana</t>
  </si>
  <si>
    <t>Laminaria setchellii</t>
  </si>
  <si>
    <t>Gravel/Cobble</t>
  </si>
  <si>
    <t>Alaria marginata</t>
  </si>
  <si>
    <t>Acmaea mitra</t>
  </si>
  <si>
    <t>Surveyor</t>
  </si>
  <si>
    <t>Clam</t>
  </si>
  <si>
    <t>Corallina vancouveriensis</t>
  </si>
  <si>
    <t>Cryptopleura/Hymenena</t>
  </si>
  <si>
    <t>QuadID</t>
  </si>
  <si>
    <t>SurveyID</t>
  </si>
  <si>
    <t>SiteCode</t>
  </si>
  <si>
    <t>Year</t>
  </si>
  <si>
    <t>QuadratNum</t>
  </si>
  <si>
    <t>MetaData</t>
  </si>
  <si>
    <t>PrimarySpace</t>
  </si>
  <si>
    <t>Other Brown Holdfast</t>
  </si>
  <si>
    <t>Articulated Coralline Holdfasts</t>
  </si>
  <si>
    <t>Crustose  Coralline Algae</t>
  </si>
  <si>
    <t>Bryozoan spp.</t>
  </si>
  <si>
    <t>Tunicate</t>
  </si>
  <si>
    <t>Formula</t>
  </si>
  <si>
    <t>Summed Primary Space</t>
  </si>
  <si>
    <t>PercentCover</t>
  </si>
  <si>
    <t>Leptasterias spp.</t>
  </si>
  <si>
    <t>Other Anemone</t>
  </si>
  <si>
    <t>Nucella canaliculata</t>
  </si>
  <si>
    <t>Nucella ostrina</t>
  </si>
  <si>
    <t>Limpets_Lower20by20cm</t>
  </si>
  <si>
    <t>Littorina_Lower20by20cm</t>
  </si>
  <si>
    <t>Tonicella lineata</t>
  </si>
  <si>
    <t>Other chiton</t>
  </si>
  <si>
    <t>Crab</t>
  </si>
  <si>
    <t>Large Mytilus californianus_&gt;3cm</t>
  </si>
  <si>
    <t>Counts</t>
  </si>
  <si>
    <t>Recorder</t>
  </si>
  <si>
    <t xml:space="preserve">EnteredBy </t>
  </si>
  <si>
    <t>Notes</t>
  </si>
  <si>
    <t>Phyllospadix Rhizome</t>
  </si>
  <si>
    <t>Dodecaceria</t>
  </si>
  <si>
    <t>Henricia spp.</t>
  </si>
  <si>
    <t>Lottia pelta</t>
  </si>
  <si>
    <t>Lottia digitalis</t>
  </si>
  <si>
    <t>Lottia strigatella</t>
  </si>
  <si>
    <t>Epibionts</t>
  </si>
  <si>
    <t>Calliarthron tuberculosum</t>
  </si>
  <si>
    <t>Callithamnion pikeanum</t>
  </si>
  <si>
    <t>Constantinea simplex</t>
  </si>
  <si>
    <t>Cryptosiphonia woodii</t>
  </si>
  <si>
    <t>Endocladia muricata</t>
  </si>
  <si>
    <t>Dilsea californica</t>
  </si>
  <si>
    <t>Halosaccion glandiforme</t>
  </si>
  <si>
    <t>Mastocarpus papillatus</t>
  </si>
  <si>
    <t>Microcladia borealis</t>
  </si>
  <si>
    <t>Odonthalia floccosa</t>
  </si>
  <si>
    <t>Plocamium pacificum</t>
  </si>
  <si>
    <t>Polysiphonia spp.</t>
  </si>
  <si>
    <t>Pyropia/Porphyra</t>
  </si>
  <si>
    <t>Prionitis lanceolata</t>
  </si>
  <si>
    <t>Ptilota filicina</t>
  </si>
  <si>
    <t>Schizymenia spp.</t>
  </si>
  <si>
    <t>Acrosiphonia spp.</t>
  </si>
  <si>
    <t>Ahnfeltia fastigiata</t>
  </si>
  <si>
    <t>Ahnfeltiopsis linearis</t>
  </si>
  <si>
    <t>Chondracanthus canaliculatus</t>
  </si>
  <si>
    <t>Cladophora columbiana</t>
  </si>
  <si>
    <t>Codium setchellii</t>
  </si>
  <si>
    <t>Codium fragile</t>
  </si>
  <si>
    <t>Desmerestia spp.</t>
  </si>
  <si>
    <t>Farlowia spp.</t>
  </si>
  <si>
    <t>Gastroclonium subarticulatum</t>
  </si>
  <si>
    <t>Gelidium spp.</t>
  </si>
  <si>
    <t>Gloiopeltis furcata</t>
  </si>
  <si>
    <t>Opuntiella californica</t>
  </si>
  <si>
    <t xml:space="preserve">Palmaria spp. </t>
  </si>
  <si>
    <t>Bryopsis corticulans</t>
  </si>
  <si>
    <t>Chaetomorpha aerea</t>
  </si>
  <si>
    <t xml:space="preserve">Diatoms </t>
  </si>
  <si>
    <t>Balanus glandula epibiont</t>
  </si>
  <si>
    <t>Chthamalus dalli epibiont</t>
  </si>
  <si>
    <t>Pollicipes polymerus epibiont</t>
  </si>
  <si>
    <t>Semibalanus cariosus epibiont</t>
  </si>
  <si>
    <t>Mytilus californianus epibiont</t>
  </si>
  <si>
    <t>Mytilus trossulus epibiont</t>
  </si>
  <si>
    <t>Ulva spp. epibiont</t>
  </si>
  <si>
    <t>Unidentified red algae epibiont</t>
  </si>
  <si>
    <t>Anthopleura elegantissima epibiont</t>
  </si>
  <si>
    <t>Polysiphonia spp. epibiont</t>
  </si>
  <si>
    <t>Pelvetiopsis limitata epibiont</t>
  </si>
  <si>
    <t>Fucus distichous epibiont</t>
  </si>
  <si>
    <t>Endocladia muricata epibiont</t>
  </si>
  <si>
    <t>Odonthalia floccosa epibiont</t>
  </si>
  <si>
    <t>Pyropia/Porphyra epibiont</t>
  </si>
  <si>
    <t>Hedo &gt; corralline crust</t>
  </si>
  <si>
    <t>Hedo &gt; articulated coralline</t>
  </si>
  <si>
    <t>Hedo &gt; hedophyllum holdfast</t>
  </si>
  <si>
    <t>Hedo &gt; barnacle</t>
  </si>
  <si>
    <t>Hedo &gt; sandy tube worm</t>
  </si>
  <si>
    <t>HedophyllumRecruits</t>
  </si>
  <si>
    <t>DataType</t>
  </si>
  <si>
    <t>Taxon</t>
  </si>
  <si>
    <t>All brown algae except Hedophyllum</t>
  </si>
  <si>
    <t>Species Notes/Synonyms</t>
  </si>
  <si>
    <t>QuadYearID</t>
  </si>
  <si>
    <t xml:space="preserve">This is for helping calculating remainders entered in data sheet. Should be 100 when done correctly </t>
  </si>
  <si>
    <t xml:space="preserve">Counted in lower 20 x 20 cm of quadrat only </t>
  </si>
  <si>
    <t>QuadNum</t>
  </si>
  <si>
    <t>E</t>
  </si>
  <si>
    <t>P</t>
  </si>
  <si>
    <t>Mopalia spp.</t>
  </si>
  <si>
    <t>ColumnHeader</t>
  </si>
  <si>
    <t>Description</t>
  </si>
  <si>
    <t>See Taxon List</t>
  </si>
  <si>
    <t>Unique identifier for a given quadrat location</t>
  </si>
  <si>
    <t>Unique identifier for a given survey</t>
  </si>
  <si>
    <t>Site code. See validation for list</t>
  </si>
  <si>
    <t>Date of survey</t>
  </si>
  <si>
    <t>Year of survey</t>
  </si>
  <si>
    <t>Surveyor in field</t>
  </si>
  <si>
    <t>Data recorder in field</t>
  </si>
  <si>
    <t xml:space="preserve">Any notes </t>
  </si>
  <si>
    <t>Person entering data</t>
  </si>
  <si>
    <t>Taxa attached directly to the rock. These should total 100</t>
  </si>
  <si>
    <t>Formula/Notes</t>
  </si>
  <si>
    <t>These are on datasheet</t>
  </si>
  <si>
    <t>These are  write-ins</t>
  </si>
  <si>
    <t xml:space="preserve">Counts of mobile species like snails, stars, etc. </t>
  </si>
  <si>
    <t>Numbered quadrats, usually 1-10. Quadrats are all 0.5 x 0.5m except limpets and littorines are 20 x 20cm</t>
  </si>
  <si>
    <t>this sums the primary space holders. This should sum to 100. Turns red if under 100 , turns yellow if over 100.2. Use this to calculate values in cells labeled "R" for "remainder" duing data entry. do not enter any data here. You may drag the formula</t>
  </si>
  <si>
    <t>concatenate(SiteCode,"_",Year)</t>
  </si>
  <si>
    <t>Area of survey. Usually 1-3 for low zone, 1 for high and mid (10 quads each area). See validation</t>
  </si>
  <si>
    <t>sum(all PrimarySpace cells)</t>
  </si>
  <si>
    <t>H</t>
  </si>
  <si>
    <t>L</t>
  </si>
  <si>
    <t>M</t>
  </si>
  <si>
    <t>concatenate(SiteCode,"_",Zone,"_",Area,"_",Exposure,"_",text(QuadNum, "00"),"_",Year)</t>
  </si>
  <si>
    <t>concatenate(SiteCode,"_",Zone,"_",Area,"_",Exposure,"_",text(QuadNum, "00"))</t>
  </si>
  <si>
    <t>Unique identifier for a given quadrat on a given date. do not enter any data here. You may drag the formula. This turns red if duplicate metadata are entered</t>
  </si>
  <si>
    <t>BML</t>
  </si>
  <si>
    <t>Bodega Marine Lab</t>
  </si>
  <si>
    <t>SummedPrimarySpace</t>
  </si>
  <si>
    <t>LM</t>
  </si>
  <si>
    <t>Mastocarpus papillatus epibiont</t>
  </si>
  <si>
    <t>E or P for exposed or protected. Only SH and BB have protected . See validation</t>
  </si>
  <si>
    <t>Zone as High, Mid, Low (H, M, L) or LowMid (LM) at CB and RP only. See validation</t>
  </si>
  <si>
    <t>Bryozoan</t>
  </si>
  <si>
    <t>Tube worms</t>
  </si>
  <si>
    <t>Hermit Crab</t>
  </si>
  <si>
    <t>Analipus japonicus</t>
  </si>
  <si>
    <t xml:space="preserve">Callophyllis spp. </t>
  </si>
  <si>
    <t>Colpomenia/Leathesia</t>
  </si>
  <si>
    <t>Mazzaella affinis</t>
  </si>
  <si>
    <t>Mazzaella linearus</t>
  </si>
  <si>
    <t>Mazzaella spp.</t>
  </si>
  <si>
    <t>Phaeostrophion irregulare</t>
  </si>
  <si>
    <t>Postelsia palmaformis</t>
  </si>
  <si>
    <t>Pyropia spp.</t>
  </si>
  <si>
    <t>Unidentified red branching</t>
  </si>
  <si>
    <t>Scytosiphon dotyi</t>
  </si>
  <si>
    <t>Soranthera ulvoidea</t>
  </si>
  <si>
    <t>Unidentified brown filamentous</t>
  </si>
  <si>
    <t>Unidentified brown branching</t>
  </si>
  <si>
    <t>Unidentified green filamentous</t>
  </si>
  <si>
    <t>Unidentified red blade</t>
  </si>
  <si>
    <t>Unidentified red filamentous</t>
  </si>
  <si>
    <t>SG</t>
  </si>
  <si>
    <t>BR</t>
  </si>
  <si>
    <t>ED</t>
  </si>
  <si>
    <t>Meter Marking 26</t>
  </si>
  <si>
    <t>Meter Marking 20</t>
  </si>
  <si>
    <t>Meter Marking 14</t>
  </si>
  <si>
    <t>Meter Marking 6</t>
  </si>
  <si>
    <t>Meter Marking 8</t>
  </si>
  <si>
    <t>Meter Marking 2</t>
  </si>
  <si>
    <t>Meter Marking 12</t>
  </si>
  <si>
    <t>Meter Marking 21</t>
  </si>
  <si>
    <t>Meter Marking 24</t>
  </si>
  <si>
    <t>Meter Marking 18</t>
  </si>
  <si>
    <t>Meter Marking 27</t>
  </si>
  <si>
    <t>KV</t>
  </si>
  <si>
    <t>JMD</t>
  </si>
  <si>
    <t>Meter Marking 17</t>
  </si>
  <si>
    <t>Meter Marking 0</t>
  </si>
  <si>
    <t>Meter Marking 15</t>
  </si>
  <si>
    <t>LF</t>
  </si>
  <si>
    <t>Meter Marking 29</t>
  </si>
  <si>
    <t>Meter Marking 23</t>
  </si>
  <si>
    <t>Meter Marking 11</t>
  </si>
  <si>
    <t>Meter Marking 5</t>
  </si>
  <si>
    <t>Meter Marking 3</t>
  </si>
  <si>
    <t>Meter Marking 9</t>
  </si>
  <si>
    <t>Meter Marking 30</t>
  </si>
  <si>
    <t>CR</t>
  </si>
  <si>
    <t>ND</t>
  </si>
  <si>
    <t>SB</t>
  </si>
  <si>
    <t>TS</t>
  </si>
  <si>
    <t>B&amp;P</t>
  </si>
  <si>
    <t>R</t>
  </si>
  <si>
    <t>SB&amp;JD</t>
  </si>
  <si>
    <t>BM</t>
  </si>
  <si>
    <t>NP</t>
  </si>
  <si>
    <t>Mazzaella splendens epibionts</t>
  </si>
  <si>
    <t>ALV</t>
  </si>
  <si>
    <t>CB</t>
  </si>
  <si>
    <t>BJR, SB</t>
  </si>
  <si>
    <t>Caroline/Sof</t>
  </si>
  <si>
    <t>WH</t>
  </si>
  <si>
    <t>EC</t>
  </si>
  <si>
    <t>MEN</t>
  </si>
  <si>
    <t>BJR</t>
  </si>
  <si>
    <t>Tolbert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</si>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</sst>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1B2E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9">
    <xf numFmtId="0" fontId="0" fillId="0" borderId="0" xfId="0"/>
    <xf numFmtId="0" fontId="1" fillId="0" borderId="0" xfId="0" applyFont="1"/>
    <xf numFmtId="0" fontId="0" fillId="0" borderId="0" xfId="0"/>
    <xf numFmtId="0" fontId="0" fillId="0" borderId="1" xfId="0" applyBorder="1" applyAlignment="1">
      <alignment textRotation="90"/>
    </xf>
    <xf numFmtId="0" fontId="0" fillId="5" borderId="1" xfId="0" applyFill="1" applyBorder="1" applyAlignment="1">
      <alignment horizontal="center" textRotation="90"/>
    </xf>
    <xf numFmtId="0" fontId="0" fillId="0" borderId="1" xfId="0" applyFill="1" applyBorder="1" applyAlignment="1">
      <alignment horizontal="center" textRotation="90"/>
    </xf>
    <xf numFmtId="0" fontId="0" fillId="5" borderId="1" xfId="0" applyFill="1" applyBorder="1"/>
    <xf numFmtId="0" fontId="0" fillId="0" borderId="1" xfId="0" applyFill="1" applyBorder="1"/>
    <xf numFmtId="14" fontId="0" fillId="0" borderId="1" xfId="0" applyNumberFormat="1" applyFont="1" applyFill="1" applyBorder="1" applyAlignment="1">
      <alignment horizontal="left"/>
    </xf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6" borderId="1" xfId="0" applyFill="1" applyBorder="1"/>
    <xf numFmtId="0" fontId="0" fillId="0" borderId="1" xfId="0" applyBorder="1"/>
    <xf numFmtId="14" fontId="0" fillId="0" borderId="1" xfId="0" applyNumberFormat="1" applyFill="1" applyBorder="1"/>
    <xf numFmtId="0" fontId="0" fillId="4" borderId="1" xfId="0" applyFill="1" applyBorder="1" applyAlignment="1">
      <alignment horizontal="center" textRotation="90"/>
    </xf>
    <xf numFmtId="0" fontId="0" fillId="8" borderId="1" xfId="0" applyFill="1" applyBorder="1" applyAlignment="1">
      <alignment horizontal="center" textRotation="90"/>
    </xf>
    <xf numFmtId="0" fontId="0" fillId="2" borderId="1" xfId="0" applyFill="1" applyBorder="1" applyAlignment="1">
      <alignment horizontal="center" textRotation="90"/>
    </xf>
    <xf numFmtId="0" fontId="0" fillId="7" borderId="1" xfId="0" applyFill="1" applyBorder="1" applyAlignment="1">
      <alignment horizontal="center" textRotation="90"/>
    </xf>
    <xf numFmtId="0" fontId="0" fillId="10" borderId="1" xfId="0" applyFill="1" applyBorder="1" applyAlignment="1">
      <alignment horizontal="center" textRotation="90"/>
    </xf>
    <xf numFmtId="0" fontId="0" fillId="11" borderId="1" xfId="0" applyFill="1" applyBorder="1" applyAlignment="1">
      <alignment horizontal="center" textRotation="90"/>
    </xf>
    <xf numFmtId="0" fontId="0" fillId="6" borderId="1" xfId="0" applyFill="1" applyBorder="1" applyAlignment="1">
      <alignment horizontal="center" textRotation="90"/>
    </xf>
    <xf numFmtId="0" fontId="0" fillId="5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 textRotation="90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9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7" borderId="1" xfId="0" applyFill="1" applyBorder="1" applyAlignment="1"/>
    <xf numFmtId="0" fontId="0" fillId="10" borderId="1" xfId="0" applyFill="1" applyBorder="1" applyAlignment="1"/>
    <xf numFmtId="14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top" textRotation="90"/>
    </xf>
    <xf numFmtId="0" fontId="0" fillId="0" borderId="1" xfId="0" applyFill="1" applyBorder="1" applyAlignment="1">
      <alignment horizontal="center" vertical="top" textRotation="90"/>
    </xf>
    <xf numFmtId="14" fontId="0" fillId="0" borderId="1" xfId="0" applyNumberFormat="1" applyFont="1" applyFill="1" applyBorder="1" applyAlignment="1">
      <alignment horizontal="center" vertical="top" textRotation="90"/>
    </xf>
    <xf numFmtId="0" fontId="0" fillId="4" borderId="1" xfId="0" applyFill="1" applyBorder="1" applyAlignment="1">
      <alignment horizontal="center" vertical="top" textRotation="90"/>
    </xf>
    <xf numFmtId="0" fontId="0" fillId="8" borderId="1" xfId="0" applyFill="1" applyBorder="1" applyAlignment="1">
      <alignment horizontal="center" vertical="top" textRotation="90"/>
    </xf>
    <xf numFmtId="0" fontId="0" fillId="2" borderId="1" xfId="0" applyFill="1" applyBorder="1" applyAlignment="1">
      <alignment horizontal="center" vertical="top" textRotation="90"/>
    </xf>
    <xf numFmtId="0" fontId="0" fillId="7" borderId="1" xfId="0" applyFill="1" applyBorder="1" applyAlignment="1">
      <alignment horizontal="center" vertical="top" textRotation="90"/>
    </xf>
    <xf numFmtId="0" fontId="0" fillId="10" borderId="1" xfId="0" applyFill="1" applyBorder="1" applyAlignment="1">
      <alignment horizontal="center" vertical="top" textRotation="90"/>
    </xf>
    <xf numFmtId="0" fontId="0" fillId="11" borderId="1" xfId="0" applyFill="1" applyBorder="1" applyAlignment="1">
      <alignment horizontal="center" vertical="top" textRotation="90"/>
    </xf>
    <xf numFmtId="0" fontId="0" fillId="11" borderId="1" xfId="0" applyFill="1" applyBorder="1" applyAlignment="1">
      <alignment vertical="top" textRotation="90"/>
    </xf>
    <xf numFmtId="0" fontId="0" fillId="6" borderId="1" xfId="0" applyFont="1" applyFill="1" applyBorder="1" applyAlignment="1">
      <alignment horizontal="center" vertical="top" textRotation="90"/>
    </xf>
    <xf numFmtId="0" fontId="2" fillId="6" borderId="1" xfId="0" applyFont="1" applyFill="1" applyBorder="1" applyAlignment="1">
      <alignment horizontal="center" vertical="top" textRotation="90"/>
    </xf>
    <xf numFmtId="0" fontId="0" fillId="6" borderId="1" xfId="0" applyFill="1" applyBorder="1" applyAlignment="1">
      <alignment horizontal="center" vertical="top" textRotation="90"/>
    </xf>
    <xf numFmtId="0" fontId="0" fillId="3" borderId="1" xfId="0" applyFont="1" applyFill="1" applyBorder="1" applyAlignment="1">
      <alignment horizontal="center" vertical="top" textRotation="90"/>
    </xf>
    <xf numFmtId="0" fontId="0" fillId="0" borderId="1" xfId="0" applyBorder="1" applyAlignment="1">
      <alignment vertical="top" textRotation="90"/>
    </xf>
    <xf numFmtId="0" fontId="0" fillId="12" borderId="1" xfId="0" applyFill="1" applyBorder="1" applyAlignment="1">
      <alignment horizontal="center" vertical="top" textRotation="90"/>
    </xf>
    <xf numFmtId="0" fontId="0" fillId="12" borderId="0" xfId="0" applyFill="1" applyBorder="1" applyAlignment="1">
      <alignment horizontal="center" vertical="top" textRotation="90"/>
    </xf>
    <xf numFmtId="0" fontId="0" fillId="13" borderId="1" xfId="0" applyFill="1" applyBorder="1" applyAlignment="1">
      <alignment horizontal="center" vertical="top" textRotation="90"/>
    </xf>
  </cellXfs>
  <cellStyles count="2">
    <cellStyle name="Normal" xfId="0" builtinId="0"/>
    <cellStyle name="Normal 2" xfId="1"/>
  </cellStyles>
  <dxfs count="49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000000"/>
        </patternFill>
      </fill>
    </dxf>
  </dxfs>
  <tableStyles count="0" defaultTableStyle="TableStyleMedium2" defaultPivotStyle="PivotStyleLight16"/>
  <colors>
    <mruColors>
      <color rgb="FFD1B2E8"/>
      <color rgb="FFF78DE0"/>
      <color rgb="FFA3E7FF"/>
      <color rgb="FFEA67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366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362" sqref="P362"/>
    </sheetView>
  </sheetViews>
  <sheetFormatPr defaultRowHeight="15" x14ac:dyDescent="0.25"/>
  <cols>
    <col min="1" max="1" width="18.5703125" style="6" bestFit="1" customWidth="1"/>
    <col min="2" max="2" width="12.5703125" style="6" bestFit="1" customWidth="1"/>
    <col min="3" max="3" width="8.28515625" style="6" bestFit="1" customWidth="1"/>
    <col min="4" max="4" width="3.7109375" style="27" bestFit="1" customWidth="1"/>
    <col min="5" max="5" width="9.7109375" style="73" bestFit="1" customWidth="1"/>
    <col min="6" max="6" width="5" style="27" bestFit="1" customWidth="1"/>
    <col min="7" max="14" width="3.7109375" style="27" bestFit="1" customWidth="1"/>
    <col min="15" max="15" width="4" style="11" bestFit="1" customWidth="1"/>
    <col min="16" max="16" width="4" style="9" bestFit="1" customWidth="1"/>
    <col min="17" max="20" width="3.7109375" style="9" bestFit="1" customWidth="1"/>
    <col min="21" max="21" width="4" style="9" bestFit="1" customWidth="1"/>
    <col min="22" max="24" width="3.7109375" style="9" bestFit="1" customWidth="1"/>
    <col min="25" max="26" width="4" style="9" bestFit="1" customWidth="1"/>
    <col min="27" max="29" width="3.7109375" style="9" bestFit="1" customWidth="1"/>
    <col min="30" max="30" width="3.7109375" style="9" customWidth="1"/>
    <col min="31" max="34" width="3.7109375" style="9" bestFit="1" customWidth="1"/>
    <col min="35" max="35" width="4" style="9" bestFit="1" customWidth="1"/>
    <col min="36" max="39" width="3.7109375" style="10" bestFit="1" customWidth="1"/>
    <col min="40" max="40" width="3.7109375" style="10" customWidth="1"/>
    <col min="41" max="41" width="3.7109375" style="10" bestFit="1" customWidth="1"/>
    <col min="42" max="45" width="3.7109375" style="12" bestFit="1" customWidth="1"/>
    <col min="46" max="47" width="4" style="12" bestFit="1" customWidth="1"/>
    <col min="48" max="56" width="3.7109375" style="12" bestFit="1" customWidth="1"/>
    <col min="57" max="57" width="3.7109375" style="13" bestFit="1" customWidth="1"/>
    <col min="58" max="58" width="3.7109375" style="13" customWidth="1"/>
    <col min="59" max="66" width="3.7109375" style="13" bestFit="1" customWidth="1"/>
    <col min="67" max="67" width="3.7109375" style="13" customWidth="1"/>
    <col min="68" max="80" width="3.7109375" style="13" bestFit="1" customWidth="1"/>
    <col min="81" max="81" width="3.7109375" style="14" bestFit="1" customWidth="1"/>
    <col min="82" max="97" width="3.7109375" style="14" customWidth="1"/>
    <col min="98" max="98" width="3.7109375" style="15" customWidth="1"/>
    <col min="99" max="108" width="3.7109375" style="14" customWidth="1"/>
    <col min="109" max="117" width="3.7109375" style="14" bestFit="1" customWidth="1"/>
    <col min="118" max="120" width="3.7109375" style="15" bestFit="1" customWidth="1"/>
    <col min="121" max="121" width="3.7109375" style="15" customWidth="1"/>
    <col min="122" max="122" width="3.7109375" style="15" bestFit="1" customWidth="1"/>
    <col min="123" max="123" width="3.7109375" style="15" customWidth="1"/>
    <col min="124" max="124" width="3.7109375" style="15" bestFit="1" customWidth="1"/>
    <col min="125" max="128" width="3.7109375" style="15" customWidth="1"/>
    <col min="129" max="129" width="3.7109375" style="15" bestFit="1" customWidth="1"/>
    <col min="130" max="130" width="3.7109375" style="15" customWidth="1"/>
    <col min="131" max="133" width="3.7109375" style="15" bestFit="1" customWidth="1"/>
    <col min="134" max="134" width="3.7109375" style="15" customWidth="1"/>
    <col min="135" max="137" width="3.7109375" style="15" bestFit="1" customWidth="1"/>
    <col min="138" max="138" width="3.7109375" style="15" customWidth="1"/>
    <col min="139" max="142" width="3.7109375" style="15" bestFit="1" customWidth="1"/>
    <col min="143" max="145" width="3.7109375" style="15" customWidth="1"/>
    <col min="146" max="146" width="3.7109375" style="15" bestFit="1" customWidth="1"/>
    <col min="147" max="148" width="3.7109375" style="15" customWidth="1"/>
    <col min="149" max="149" width="3.7109375" style="14" bestFit="1" customWidth="1"/>
    <col min="150" max="152" width="3.7109375" style="15" customWidth="1"/>
    <col min="153" max="157" width="3.7109375" style="16" bestFit="1" customWidth="1"/>
    <col min="158" max="159" width="3.7109375" style="16" customWidth="1"/>
    <col min="160" max="169" width="3.7109375" style="16" bestFit="1" customWidth="1"/>
    <col min="170" max="177" width="3.7109375" style="37" bestFit="1" customWidth="1"/>
    <col min="178" max="16384" width="9.140625" style="17"/>
  </cols>
  <sheetData>
    <row r="1" spans="1:177" s="3" customFormat="1" ht="53.25" customHeight="1" x14ac:dyDescent="0.25">
      <c r="A1" s="4" t="s">
        <v>118</v>
      </c>
      <c r="B1" s="4" t="s">
        <v>118</v>
      </c>
      <c r="C1" s="4" t="s">
        <v>118</v>
      </c>
      <c r="D1" s="5" t="s">
        <v>111</v>
      </c>
      <c r="E1" s="5" t="s">
        <v>111</v>
      </c>
      <c r="F1" s="5" t="s">
        <v>111</v>
      </c>
      <c r="G1" s="5" t="s">
        <v>111</v>
      </c>
      <c r="H1" s="5" t="s">
        <v>111</v>
      </c>
      <c r="I1" s="5" t="s">
        <v>111</v>
      </c>
      <c r="J1" s="5" t="s">
        <v>111</v>
      </c>
      <c r="K1" s="5" t="s">
        <v>111</v>
      </c>
      <c r="L1" s="5" t="s">
        <v>111</v>
      </c>
      <c r="M1" s="5" t="s">
        <v>111</v>
      </c>
      <c r="N1" s="5" t="s">
        <v>111</v>
      </c>
      <c r="O1" s="4" t="s">
        <v>118</v>
      </c>
      <c r="P1" s="19" t="s">
        <v>112</v>
      </c>
      <c r="Q1" s="19" t="s">
        <v>112</v>
      </c>
      <c r="R1" s="19" t="s">
        <v>112</v>
      </c>
      <c r="S1" s="19" t="s">
        <v>112</v>
      </c>
      <c r="T1" s="19" t="s">
        <v>112</v>
      </c>
      <c r="U1" s="19" t="s">
        <v>112</v>
      </c>
      <c r="V1" s="19" t="s">
        <v>112</v>
      </c>
      <c r="W1" s="19" t="s">
        <v>112</v>
      </c>
      <c r="X1" s="19" t="s">
        <v>112</v>
      </c>
      <c r="Y1" s="19" t="s">
        <v>112</v>
      </c>
      <c r="Z1" s="19" t="s">
        <v>112</v>
      </c>
      <c r="AA1" s="19" t="s">
        <v>112</v>
      </c>
      <c r="AB1" s="19" t="s">
        <v>112</v>
      </c>
      <c r="AC1" s="19" t="s">
        <v>112</v>
      </c>
      <c r="AD1" s="19" t="s">
        <v>112</v>
      </c>
      <c r="AE1" s="19" t="s">
        <v>112</v>
      </c>
      <c r="AF1" s="19" t="s">
        <v>112</v>
      </c>
      <c r="AG1" s="19" t="s">
        <v>112</v>
      </c>
      <c r="AH1" s="19" t="s">
        <v>112</v>
      </c>
      <c r="AI1" s="19" t="s">
        <v>112</v>
      </c>
      <c r="AJ1" s="20" t="s">
        <v>112</v>
      </c>
      <c r="AK1" s="20" t="s">
        <v>112</v>
      </c>
      <c r="AL1" s="20" t="s">
        <v>112</v>
      </c>
      <c r="AM1" s="20" t="s">
        <v>112</v>
      </c>
      <c r="AN1" s="20" t="s">
        <v>112</v>
      </c>
      <c r="AO1" s="20" t="s">
        <v>112</v>
      </c>
      <c r="AP1" s="21" t="s">
        <v>131</v>
      </c>
      <c r="AQ1" s="21" t="s">
        <v>131</v>
      </c>
      <c r="AR1" s="21" t="s">
        <v>131</v>
      </c>
      <c r="AS1" s="21" t="s">
        <v>131</v>
      </c>
      <c r="AT1" s="21" t="s">
        <v>131</v>
      </c>
      <c r="AU1" s="21" t="s">
        <v>131</v>
      </c>
      <c r="AV1" s="21" t="s">
        <v>131</v>
      </c>
      <c r="AW1" s="21" t="s">
        <v>131</v>
      </c>
      <c r="AX1" s="21" t="s">
        <v>131</v>
      </c>
      <c r="AY1" s="21" t="s">
        <v>131</v>
      </c>
      <c r="AZ1" s="21" t="s">
        <v>131</v>
      </c>
      <c r="BA1" s="21" t="s">
        <v>131</v>
      </c>
      <c r="BB1" s="21" t="s">
        <v>131</v>
      </c>
      <c r="BC1" s="21" t="s">
        <v>131</v>
      </c>
      <c r="BD1" s="21" t="s">
        <v>131</v>
      </c>
      <c r="BE1" s="22" t="s">
        <v>131</v>
      </c>
      <c r="BF1" s="22" t="s">
        <v>131</v>
      </c>
      <c r="BG1" s="22" t="s">
        <v>131</v>
      </c>
      <c r="BH1" s="22" t="s">
        <v>131</v>
      </c>
      <c r="BI1" s="22" t="s">
        <v>131</v>
      </c>
      <c r="BJ1" s="22" t="s">
        <v>131</v>
      </c>
      <c r="BK1" s="22" t="s">
        <v>131</v>
      </c>
      <c r="BL1" s="22" t="s">
        <v>131</v>
      </c>
      <c r="BM1" s="22" t="s">
        <v>131</v>
      </c>
      <c r="BN1" s="22" t="s">
        <v>131</v>
      </c>
      <c r="BO1" s="22" t="s">
        <v>131</v>
      </c>
      <c r="BP1" s="22" t="s">
        <v>131</v>
      </c>
      <c r="BQ1" s="22" t="s">
        <v>131</v>
      </c>
      <c r="BR1" s="22" t="s">
        <v>131</v>
      </c>
      <c r="BS1" s="22" t="s">
        <v>131</v>
      </c>
      <c r="BT1" s="22" t="s">
        <v>131</v>
      </c>
      <c r="BU1" s="22" t="s">
        <v>131</v>
      </c>
      <c r="BV1" s="22" t="s">
        <v>131</v>
      </c>
      <c r="BW1" s="22" t="s">
        <v>131</v>
      </c>
      <c r="BX1" s="22" t="s">
        <v>131</v>
      </c>
      <c r="BY1" s="22" t="s">
        <v>131</v>
      </c>
      <c r="BZ1" s="22" t="s">
        <v>131</v>
      </c>
      <c r="CA1" s="22" t="s">
        <v>131</v>
      </c>
      <c r="CB1" s="22" t="s">
        <v>131</v>
      </c>
      <c r="CC1" s="23" t="s">
        <v>120</v>
      </c>
      <c r="CD1" s="23" t="s">
        <v>120</v>
      </c>
      <c r="CE1" s="23" t="s">
        <v>120</v>
      </c>
      <c r="CF1" s="23" t="s">
        <v>120</v>
      </c>
      <c r="CG1" s="23" t="s">
        <v>120</v>
      </c>
      <c r="CH1" s="23" t="s">
        <v>120</v>
      </c>
      <c r="CI1" s="23" t="s">
        <v>120</v>
      </c>
      <c r="CJ1" s="23" t="s">
        <v>120</v>
      </c>
      <c r="CK1" s="23" t="s">
        <v>120</v>
      </c>
      <c r="CL1" s="23" t="s">
        <v>120</v>
      </c>
      <c r="CM1" s="23" t="s">
        <v>120</v>
      </c>
      <c r="CN1" s="23" t="s">
        <v>120</v>
      </c>
      <c r="CO1" s="23" t="s">
        <v>120</v>
      </c>
      <c r="CP1" s="23" t="s">
        <v>120</v>
      </c>
      <c r="CQ1" s="23" t="s">
        <v>120</v>
      </c>
      <c r="CR1" s="23" t="s">
        <v>120</v>
      </c>
      <c r="CS1" s="23" t="s">
        <v>120</v>
      </c>
      <c r="CT1" s="23" t="s">
        <v>120</v>
      </c>
      <c r="CU1" s="23" t="s">
        <v>120</v>
      </c>
      <c r="CV1" s="23" t="s">
        <v>120</v>
      </c>
      <c r="CW1" s="23" t="s">
        <v>120</v>
      </c>
      <c r="CX1" s="23" t="s">
        <v>120</v>
      </c>
      <c r="CY1" s="23" t="s">
        <v>120</v>
      </c>
      <c r="CZ1" s="23" t="s">
        <v>120</v>
      </c>
      <c r="DA1" s="23" t="s">
        <v>120</v>
      </c>
      <c r="DB1" s="23" t="s">
        <v>120</v>
      </c>
      <c r="DC1" s="23" t="s">
        <v>120</v>
      </c>
      <c r="DD1" s="23" t="s">
        <v>120</v>
      </c>
      <c r="DE1" s="23" t="s">
        <v>120</v>
      </c>
      <c r="DF1" s="23" t="s">
        <v>120</v>
      </c>
      <c r="DG1" s="23" t="s">
        <v>120</v>
      </c>
      <c r="DH1" s="23" t="s">
        <v>120</v>
      </c>
      <c r="DI1" s="23" t="s">
        <v>120</v>
      </c>
      <c r="DJ1" s="23" t="s">
        <v>120</v>
      </c>
      <c r="DK1" s="23" t="s">
        <v>120</v>
      </c>
      <c r="DL1" s="24" t="s">
        <v>120</v>
      </c>
      <c r="DM1" s="24" t="s">
        <v>120</v>
      </c>
      <c r="DN1" s="24" t="s">
        <v>120</v>
      </c>
      <c r="DO1" s="24" t="s">
        <v>120</v>
      </c>
      <c r="DP1" s="24" t="s">
        <v>120</v>
      </c>
      <c r="DQ1" s="24" t="s">
        <v>120</v>
      </c>
      <c r="DR1" s="24" t="s">
        <v>120</v>
      </c>
      <c r="DS1" s="24" t="s">
        <v>120</v>
      </c>
      <c r="DT1" s="24" t="s">
        <v>120</v>
      </c>
      <c r="DU1" s="24" t="s">
        <v>120</v>
      </c>
      <c r="DV1" s="24" t="s">
        <v>120</v>
      </c>
      <c r="DW1" s="24" t="s">
        <v>120</v>
      </c>
      <c r="DX1" s="24" t="s">
        <v>120</v>
      </c>
      <c r="DY1" s="24" t="s">
        <v>120</v>
      </c>
      <c r="DZ1" s="24" t="s">
        <v>120</v>
      </c>
      <c r="EA1" s="24" t="s">
        <v>120</v>
      </c>
      <c r="EB1" s="24" t="s">
        <v>120</v>
      </c>
      <c r="EC1" s="24" t="s">
        <v>120</v>
      </c>
      <c r="ED1" s="24" t="s">
        <v>120</v>
      </c>
      <c r="EE1" s="24" t="s">
        <v>120</v>
      </c>
      <c r="EF1" s="24" t="s">
        <v>120</v>
      </c>
      <c r="EG1" s="24" t="s">
        <v>120</v>
      </c>
      <c r="EH1" s="24" t="s">
        <v>120</v>
      </c>
      <c r="EI1" s="24" t="s">
        <v>120</v>
      </c>
      <c r="EJ1" s="24" t="s">
        <v>120</v>
      </c>
      <c r="EK1" s="24" t="s">
        <v>120</v>
      </c>
      <c r="EL1" s="24" t="s">
        <v>120</v>
      </c>
      <c r="EM1" s="24" t="s">
        <v>120</v>
      </c>
      <c r="EN1" s="24" t="s">
        <v>120</v>
      </c>
      <c r="EO1" s="24" t="s">
        <v>120</v>
      </c>
      <c r="EP1" s="24" t="s">
        <v>120</v>
      </c>
      <c r="EQ1" s="24" t="s">
        <v>120</v>
      </c>
      <c r="ER1" s="24" t="s">
        <v>120</v>
      </c>
      <c r="ES1" s="24" t="s">
        <v>120</v>
      </c>
      <c r="ET1" s="24" t="s">
        <v>120</v>
      </c>
      <c r="EU1" s="24" t="s">
        <v>120</v>
      </c>
      <c r="EV1" s="24" t="s">
        <v>120</v>
      </c>
      <c r="EW1" s="25" t="s">
        <v>141</v>
      </c>
      <c r="EX1" s="25" t="s">
        <v>141</v>
      </c>
      <c r="EY1" s="25" t="s">
        <v>141</v>
      </c>
      <c r="EZ1" s="25" t="s">
        <v>141</v>
      </c>
      <c r="FA1" s="25" t="s">
        <v>141</v>
      </c>
      <c r="FB1" s="25" t="s">
        <v>141</v>
      </c>
      <c r="FC1" s="25" t="s">
        <v>141</v>
      </c>
      <c r="FD1" s="25" t="s">
        <v>141</v>
      </c>
      <c r="FE1" s="25" t="s">
        <v>141</v>
      </c>
      <c r="FF1" s="25" t="s">
        <v>141</v>
      </c>
      <c r="FG1" s="25" t="s">
        <v>141</v>
      </c>
      <c r="FH1" s="25" t="s">
        <v>141</v>
      </c>
      <c r="FI1" s="25" t="s">
        <v>141</v>
      </c>
      <c r="FJ1" s="25" t="s">
        <v>141</v>
      </c>
      <c r="FK1" s="25" t="s">
        <v>141</v>
      </c>
      <c r="FL1" s="25" t="s">
        <v>141</v>
      </c>
      <c r="FM1" s="25" t="s">
        <v>141</v>
      </c>
      <c r="FN1" s="36" t="s">
        <v>195</v>
      </c>
      <c r="FO1" s="36" t="s">
        <v>195</v>
      </c>
      <c r="FP1" s="36" t="s">
        <v>195</v>
      </c>
      <c r="FQ1" s="36" t="s">
        <v>195</v>
      </c>
      <c r="FR1" s="36" t="s">
        <v>195</v>
      </c>
      <c r="FS1" s="36" t="s">
        <v>195</v>
      </c>
      <c r="FT1" s="36" t="s">
        <v>195</v>
      </c>
      <c r="FU1" s="36" t="s">
        <v>195</v>
      </c>
    </row>
    <row r="2" spans="1:177" s="95" customFormat="1" ht="150.75" customHeight="1" x14ac:dyDescent="0.25">
      <c r="A2" s="81" t="s">
        <v>200</v>
      </c>
      <c r="B2" s="81" t="s">
        <v>106</v>
      </c>
      <c r="C2" s="81" t="s">
        <v>107</v>
      </c>
      <c r="D2" s="82" t="s">
        <v>108</v>
      </c>
      <c r="E2" s="83" t="s">
        <v>16</v>
      </c>
      <c r="F2" s="82" t="s">
        <v>109</v>
      </c>
      <c r="G2" s="82" t="s">
        <v>102</v>
      </c>
      <c r="H2" s="82" t="s">
        <v>132</v>
      </c>
      <c r="I2" s="82" t="s">
        <v>110</v>
      </c>
      <c r="J2" s="82" t="s">
        <v>0</v>
      </c>
      <c r="K2" s="82" t="s">
        <v>17</v>
      </c>
      <c r="L2" s="82" t="s">
        <v>1</v>
      </c>
      <c r="M2" s="82" t="s">
        <v>134</v>
      </c>
      <c r="N2" s="82" t="s">
        <v>133</v>
      </c>
      <c r="O2" s="81" t="s">
        <v>237</v>
      </c>
      <c r="P2" s="84" t="s">
        <v>30</v>
      </c>
      <c r="Q2" s="84" t="s">
        <v>31</v>
      </c>
      <c r="R2" s="84" t="s">
        <v>32</v>
      </c>
      <c r="S2" s="84" t="s">
        <v>115</v>
      </c>
      <c r="T2" s="84" t="s">
        <v>33</v>
      </c>
      <c r="U2" s="84" t="s">
        <v>34</v>
      </c>
      <c r="V2" s="84" t="s">
        <v>37</v>
      </c>
      <c r="W2" s="84" t="s">
        <v>35</v>
      </c>
      <c r="X2" s="84" t="s">
        <v>36</v>
      </c>
      <c r="Y2" s="84" t="s">
        <v>96</v>
      </c>
      <c r="Z2" s="84" t="s">
        <v>39</v>
      </c>
      <c r="AA2" s="84" t="s">
        <v>40</v>
      </c>
      <c r="AB2" s="84" t="s">
        <v>41</v>
      </c>
      <c r="AC2" s="84" t="s">
        <v>42</v>
      </c>
      <c r="AD2" s="84" t="s">
        <v>135</v>
      </c>
      <c r="AE2" s="84" t="s">
        <v>89</v>
      </c>
      <c r="AF2" s="84" t="s">
        <v>113</v>
      </c>
      <c r="AG2" s="84" t="s">
        <v>43</v>
      </c>
      <c r="AH2" s="84" t="s">
        <v>44</v>
      </c>
      <c r="AI2" s="84" t="s">
        <v>114</v>
      </c>
      <c r="AJ2" s="85" t="s">
        <v>242</v>
      </c>
      <c r="AK2" s="85" t="s">
        <v>99</v>
      </c>
      <c r="AL2" s="85" t="s">
        <v>79</v>
      </c>
      <c r="AM2" s="85" t="s">
        <v>122</v>
      </c>
      <c r="AN2" s="85" t="s">
        <v>243</v>
      </c>
      <c r="AO2" s="85" t="s">
        <v>117</v>
      </c>
      <c r="AP2" s="86" t="s">
        <v>121</v>
      </c>
      <c r="AQ2" s="86" t="s">
        <v>60</v>
      </c>
      <c r="AR2" s="86" t="s">
        <v>123</v>
      </c>
      <c r="AS2" s="86" t="s">
        <v>124</v>
      </c>
      <c r="AT2" s="86" t="s">
        <v>125</v>
      </c>
      <c r="AU2" s="86" t="s">
        <v>126</v>
      </c>
      <c r="AV2" s="86" t="s">
        <v>64</v>
      </c>
      <c r="AW2" s="86" t="s">
        <v>127</v>
      </c>
      <c r="AX2" s="86" t="s">
        <v>206</v>
      </c>
      <c r="AY2" s="86" t="s">
        <v>128</v>
      </c>
      <c r="AZ2" s="86" t="s">
        <v>67</v>
      </c>
      <c r="BA2" s="86" t="s">
        <v>68</v>
      </c>
      <c r="BB2" s="86" t="s">
        <v>94</v>
      </c>
      <c r="BC2" s="86" t="s">
        <v>129</v>
      </c>
      <c r="BD2" s="86" t="s">
        <v>130</v>
      </c>
      <c r="BE2" s="87" t="s">
        <v>101</v>
      </c>
      <c r="BF2" s="87" t="s">
        <v>69</v>
      </c>
      <c r="BG2" s="87" t="s">
        <v>97</v>
      </c>
      <c r="BH2" s="87" t="s">
        <v>74</v>
      </c>
      <c r="BI2" s="87" t="s">
        <v>73</v>
      </c>
      <c r="BJ2" s="87" t="s">
        <v>61</v>
      </c>
      <c r="BK2" s="87" t="s">
        <v>103</v>
      </c>
      <c r="BL2" s="87" t="s">
        <v>66</v>
      </c>
      <c r="BM2" s="87" t="s">
        <v>136</v>
      </c>
      <c r="BN2" s="87" t="s">
        <v>137</v>
      </c>
      <c r="BO2" s="87" t="s">
        <v>244</v>
      </c>
      <c r="BP2" s="87" t="s">
        <v>76</v>
      </c>
      <c r="BQ2" s="87" t="s">
        <v>139</v>
      </c>
      <c r="BR2" s="87" t="s">
        <v>138</v>
      </c>
      <c r="BS2" s="87" t="s">
        <v>140</v>
      </c>
      <c r="BT2" s="87" t="s">
        <v>77</v>
      </c>
      <c r="BU2" s="87" t="s">
        <v>75</v>
      </c>
      <c r="BV2" s="87" t="s">
        <v>62</v>
      </c>
      <c r="BW2" s="87" t="s">
        <v>71</v>
      </c>
      <c r="BX2" s="87" t="s">
        <v>78</v>
      </c>
      <c r="BY2" s="87" t="s">
        <v>72</v>
      </c>
      <c r="BZ2" s="87" t="s">
        <v>65</v>
      </c>
      <c r="CA2" s="87" t="s">
        <v>63</v>
      </c>
      <c r="CB2" s="87" t="s">
        <v>70</v>
      </c>
      <c r="CC2" s="96" t="s">
        <v>100</v>
      </c>
      <c r="CD2" s="96" t="s">
        <v>88</v>
      </c>
      <c r="CE2" s="96" t="s">
        <v>90</v>
      </c>
      <c r="CF2" s="96" t="s">
        <v>86</v>
      </c>
      <c r="CG2" s="96" t="s">
        <v>98</v>
      </c>
      <c r="CH2" s="96" t="s">
        <v>45</v>
      </c>
      <c r="CI2" s="97" t="s">
        <v>87</v>
      </c>
      <c r="CJ2" s="96" t="s">
        <v>46</v>
      </c>
      <c r="CK2" s="86" t="s">
        <v>48</v>
      </c>
      <c r="CL2" s="98" t="s">
        <v>104</v>
      </c>
      <c r="CM2" s="98" t="s">
        <v>95</v>
      </c>
      <c r="CN2" s="88" t="s">
        <v>142</v>
      </c>
      <c r="CO2" s="88" t="s">
        <v>143</v>
      </c>
      <c r="CP2" s="88" t="s">
        <v>162</v>
      </c>
      <c r="CQ2" s="88" t="s">
        <v>144</v>
      </c>
      <c r="CR2" s="88" t="s">
        <v>105</v>
      </c>
      <c r="CS2" s="88" t="s">
        <v>145</v>
      </c>
      <c r="CT2" s="88" t="s">
        <v>147</v>
      </c>
      <c r="CU2" s="88" t="s">
        <v>146</v>
      </c>
      <c r="CV2" s="88" t="s">
        <v>148</v>
      </c>
      <c r="CW2" s="88" t="s">
        <v>149</v>
      </c>
      <c r="CX2" s="88" t="s">
        <v>50</v>
      </c>
      <c r="CY2" s="88" t="s">
        <v>51</v>
      </c>
      <c r="CZ2" s="88" t="s">
        <v>49</v>
      </c>
      <c r="DA2" s="88" t="s">
        <v>150</v>
      </c>
      <c r="DB2" s="88" t="s">
        <v>52</v>
      </c>
      <c r="DC2" s="88" t="s">
        <v>151</v>
      </c>
      <c r="DD2" s="88" t="s">
        <v>53</v>
      </c>
      <c r="DE2" s="88" t="s">
        <v>152</v>
      </c>
      <c r="DF2" s="88" t="s">
        <v>153</v>
      </c>
      <c r="DG2" s="88" t="s">
        <v>155</v>
      </c>
      <c r="DH2" s="88" t="s">
        <v>156</v>
      </c>
      <c r="DI2" s="88" t="s">
        <v>253</v>
      </c>
      <c r="DJ2" s="88" t="s">
        <v>157</v>
      </c>
      <c r="DK2" s="88" t="s">
        <v>58</v>
      </c>
      <c r="DL2" s="89" t="s">
        <v>158</v>
      </c>
      <c r="DM2" s="89" t="s">
        <v>159</v>
      </c>
      <c r="DN2" s="89" t="s">
        <v>160</v>
      </c>
      <c r="DO2" s="89" t="s">
        <v>245</v>
      </c>
      <c r="DP2" s="89" t="s">
        <v>172</v>
      </c>
      <c r="DQ2" s="89" t="s">
        <v>246</v>
      </c>
      <c r="DR2" s="89" t="s">
        <v>54</v>
      </c>
      <c r="DS2" s="89" t="s">
        <v>173</v>
      </c>
      <c r="DT2" s="89" t="s">
        <v>161</v>
      </c>
      <c r="DU2" s="89" t="s">
        <v>55</v>
      </c>
      <c r="DV2" s="89" t="s">
        <v>164</v>
      </c>
      <c r="DW2" s="89" t="s">
        <v>163</v>
      </c>
      <c r="DX2" s="90" t="s">
        <v>247</v>
      </c>
      <c r="DY2" s="89" t="s">
        <v>47</v>
      </c>
      <c r="DZ2" s="89" t="s">
        <v>165</v>
      </c>
      <c r="EA2" s="89" t="s">
        <v>174</v>
      </c>
      <c r="EB2" s="89" t="s">
        <v>56</v>
      </c>
      <c r="EC2" s="89" t="s">
        <v>166</v>
      </c>
      <c r="ED2" s="89" t="s">
        <v>167</v>
      </c>
      <c r="EE2" s="89" t="s">
        <v>168</v>
      </c>
      <c r="EF2" s="89" t="s">
        <v>169</v>
      </c>
      <c r="EG2" s="89" t="s">
        <v>248</v>
      </c>
      <c r="EH2" s="89" t="s">
        <v>249</v>
      </c>
      <c r="EI2" s="89" t="s">
        <v>250</v>
      </c>
      <c r="EJ2" s="89" t="s">
        <v>170</v>
      </c>
      <c r="EK2" s="89" t="s">
        <v>171</v>
      </c>
      <c r="EL2" s="89" t="s">
        <v>251</v>
      </c>
      <c r="EM2" s="89" t="s">
        <v>252</v>
      </c>
      <c r="EN2" s="89" t="s">
        <v>57</v>
      </c>
      <c r="EO2" s="89" t="s">
        <v>255</v>
      </c>
      <c r="EP2" s="89" t="s">
        <v>256</v>
      </c>
      <c r="EQ2" s="89" t="s">
        <v>257</v>
      </c>
      <c r="ER2" s="89" t="s">
        <v>258</v>
      </c>
      <c r="ES2" s="89" t="s">
        <v>259</v>
      </c>
      <c r="ET2" s="89" t="s">
        <v>254</v>
      </c>
      <c r="EU2" s="89" t="s">
        <v>260</v>
      </c>
      <c r="EV2" s="89" t="s">
        <v>261</v>
      </c>
      <c r="EW2" s="91" t="s">
        <v>183</v>
      </c>
      <c r="EX2" s="91" t="s">
        <v>175</v>
      </c>
      <c r="EY2" s="91" t="s">
        <v>176</v>
      </c>
      <c r="EZ2" s="92" t="s">
        <v>187</v>
      </c>
      <c r="FA2" s="92" t="s">
        <v>186</v>
      </c>
      <c r="FB2" s="92" t="s">
        <v>239</v>
      </c>
      <c r="FC2" s="92" t="s">
        <v>298</v>
      </c>
      <c r="FD2" s="91" t="s">
        <v>179</v>
      </c>
      <c r="FE2" s="91" t="s">
        <v>180</v>
      </c>
      <c r="FF2" s="92" t="s">
        <v>188</v>
      </c>
      <c r="FG2" s="92" t="s">
        <v>185</v>
      </c>
      <c r="FH2" s="91" t="s">
        <v>177</v>
      </c>
      <c r="FI2" s="92" t="s">
        <v>184</v>
      </c>
      <c r="FJ2" s="93" t="s">
        <v>189</v>
      </c>
      <c r="FK2" s="91" t="s">
        <v>178</v>
      </c>
      <c r="FL2" s="92" t="s">
        <v>181</v>
      </c>
      <c r="FM2" s="92" t="s">
        <v>182</v>
      </c>
      <c r="FN2" s="94" t="s">
        <v>191</v>
      </c>
      <c r="FO2" s="94" t="s">
        <v>91</v>
      </c>
      <c r="FP2" s="94" t="s">
        <v>193</v>
      </c>
      <c r="FQ2" s="94" t="s">
        <v>190</v>
      </c>
      <c r="FR2" s="94" t="s">
        <v>92</v>
      </c>
      <c r="FS2" s="94" t="s">
        <v>192</v>
      </c>
      <c r="FT2" s="94" t="s">
        <v>194</v>
      </c>
      <c r="FU2" s="94" t="s">
        <v>93</v>
      </c>
    </row>
    <row r="3" spans="1:177" x14ac:dyDescent="0.25">
      <c r="A3" s="50" t="str">
        <f t="shared" ref="A3:A53" si="0">CONCATENATE(D3,"_",J3,"_",K3,"_",L3,"_",TEXT(I3,"00"),"_",F3)</f>
        <v>FC_L_1_E_01_2023</v>
      </c>
      <c r="B3" s="26" t="str">
        <f t="shared" ref="B3:B53" si="1">CONCATENATE(D3,"_",J3,"_",K3,"_",L3,"_",TEXT(I3,"00"))</f>
        <v>FC_L_1_E_01</v>
      </c>
      <c r="C3" s="26" t="str">
        <f t="shared" ref="C3:C53" si="2">CONCATENATE(D3,,"_",F3)</f>
        <v>FC_2023</v>
      </c>
      <c r="D3" s="27" t="s">
        <v>23</v>
      </c>
      <c r="E3" s="28">
        <v>45109</v>
      </c>
      <c r="F3" s="27">
        <v>2023</v>
      </c>
      <c r="G3" s="27" t="s">
        <v>263</v>
      </c>
      <c r="H3" s="27" t="s">
        <v>281</v>
      </c>
      <c r="I3" s="27">
        <v>1</v>
      </c>
      <c r="J3" s="27" t="s">
        <v>230</v>
      </c>
      <c r="K3" s="27">
        <v>1</v>
      </c>
      <c r="L3" s="27" t="s">
        <v>204</v>
      </c>
      <c r="N3" s="27" t="s">
        <v>264</v>
      </c>
      <c r="O3" s="11">
        <f t="shared" ref="O3:O55" si="3">SUM(P3:AO3)</f>
        <v>100</v>
      </c>
      <c r="P3" s="29">
        <v>69</v>
      </c>
      <c r="Q3" s="29"/>
      <c r="R3" s="29">
        <v>3</v>
      </c>
      <c r="S3" s="29">
        <v>2</v>
      </c>
      <c r="T3" s="29"/>
      <c r="U3" s="29"/>
      <c r="V3" s="29"/>
      <c r="W3" s="29"/>
      <c r="X3" s="29"/>
      <c r="Y3" s="29"/>
      <c r="Z3" s="29"/>
      <c r="AA3" s="29"/>
      <c r="AB3" s="29">
        <v>15</v>
      </c>
      <c r="AC3" s="29"/>
      <c r="AD3" s="29"/>
      <c r="AE3" s="29"/>
      <c r="AF3" s="29"/>
      <c r="AG3" s="29"/>
      <c r="AH3" s="29">
        <v>9</v>
      </c>
      <c r="AI3" s="29">
        <v>2</v>
      </c>
      <c r="AJ3" s="30"/>
      <c r="AK3" s="30"/>
      <c r="AL3" s="30"/>
      <c r="AM3" s="30"/>
      <c r="AN3" s="30"/>
      <c r="AO3" s="30"/>
      <c r="AP3" s="31"/>
      <c r="AQ3" s="31">
        <v>1</v>
      </c>
      <c r="AR3" s="31"/>
      <c r="AS3" s="31"/>
      <c r="AT3" s="31"/>
      <c r="AU3" s="31"/>
      <c r="AV3" s="31"/>
      <c r="AW3" s="31"/>
      <c r="AX3" s="31"/>
      <c r="AY3" s="31"/>
      <c r="AZ3" s="31">
        <v>19</v>
      </c>
      <c r="BA3" s="31"/>
      <c r="BB3" s="31"/>
      <c r="BC3" s="31"/>
      <c r="BD3" s="31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>
        <v>1</v>
      </c>
      <c r="CP3" s="33"/>
      <c r="CQ3" s="33"/>
      <c r="CR3" s="33">
        <v>18</v>
      </c>
      <c r="CS3" s="33"/>
      <c r="CT3" s="33"/>
      <c r="CU3" s="33"/>
      <c r="CV3" s="33"/>
      <c r="CW3" s="33"/>
      <c r="CX3" s="33"/>
      <c r="CY3" s="33"/>
      <c r="CZ3" s="33">
        <v>8</v>
      </c>
      <c r="DA3" s="33">
        <v>6</v>
      </c>
      <c r="DB3" s="33"/>
      <c r="DC3" s="33"/>
      <c r="DD3" s="33">
        <v>1</v>
      </c>
      <c r="DE3" s="33"/>
      <c r="DF3" s="33"/>
      <c r="DG3" s="33"/>
      <c r="DH3" s="33"/>
      <c r="DI3" s="33"/>
      <c r="DJ3" s="33"/>
      <c r="DK3" s="33"/>
      <c r="DL3" s="34"/>
      <c r="DM3" s="34"/>
      <c r="DN3" s="34"/>
      <c r="DO3" s="33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>
        <v>2</v>
      </c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3"/>
      <c r="ER3" s="33"/>
      <c r="ES3" s="34"/>
      <c r="ET3" s="34"/>
      <c r="EU3" s="34"/>
      <c r="EV3" s="34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</row>
    <row r="4" spans="1:177" x14ac:dyDescent="0.25">
      <c r="A4" s="50" t="str">
        <f t="shared" si="0"/>
        <v>FC_L_1_E_02_2023</v>
      </c>
      <c r="B4" s="26" t="str">
        <f t="shared" si="1"/>
        <v>FC_L_1_E_02</v>
      </c>
      <c r="C4" s="26" t="str">
        <f t="shared" si="2"/>
        <v>FC_2023</v>
      </c>
      <c r="D4" s="27" t="s">
        <v>23</v>
      </c>
      <c r="E4" s="28">
        <v>45109</v>
      </c>
      <c r="F4" s="27">
        <v>2023</v>
      </c>
      <c r="G4" s="27" t="s">
        <v>263</v>
      </c>
      <c r="H4" s="27" t="s">
        <v>281</v>
      </c>
      <c r="I4" s="27">
        <v>2</v>
      </c>
      <c r="J4" s="27" t="s">
        <v>230</v>
      </c>
      <c r="K4" s="27">
        <v>1</v>
      </c>
      <c r="L4" s="27" t="s">
        <v>204</v>
      </c>
      <c r="N4" s="27" t="s">
        <v>264</v>
      </c>
      <c r="O4" s="11">
        <f t="shared" si="3"/>
        <v>100</v>
      </c>
      <c r="P4" s="29">
        <v>3</v>
      </c>
      <c r="Q4" s="29"/>
      <c r="R4" s="29"/>
      <c r="S4" s="29"/>
      <c r="T4" s="29">
        <v>9</v>
      </c>
      <c r="U4" s="29"/>
      <c r="V4" s="29"/>
      <c r="W4" s="29"/>
      <c r="X4" s="29"/>
      <c r="Y4" s="29"/>
      <c r="Z4" s="29"/>
      <c r="AA4" s="29"/>
      <c r="AB4" s="29">
        <v>1</v>
      </c>
      <c r="AC4" s="29"/>
      <c r="AD4" s="29">
        <v>10</v>
      </c>
      <c r="AE4" s="29"/>
      <c r="AF4" s="29">
        <v>1</v>
      </c>
      <c r="AG4" s="29"/>
      <c r="AH4" s="29">
        <v>74</v>
      </c>
      <c r="AI4" s="29">
        <v>2</v>
      </c>
      <c r="AJ4" s="30"/>
      <c r="AK4" s="30"/>
      <c r="AL4" s="30"/>
      <c r="AM4" s="30"/>
      <c r="AN4" s="30"/>
      <c r="AO4" s="30"/>
      <c r="AP4" s="31"/>
      <c r="AQ4" s="31">
        <v>2</v>
      </c>
      <c r="AR4" s="31"/>
      <c r="AS4" s="31"/>
      <c r="AT4" s="31"/>
      <c r="AU4" s="31"/>
      <c r="AV4" s="31">
        <v>3</v>
      </c>
      <c r="AW4" s="31"/>
      <c r="AX4" s="31"/>
      <c r="AY4" s="31"/>
      <c r="AZ4" s="31">
        <v>9</v>
      </c>
      <c r="BA4" s="31"/>
      <c r="BB4" s="31"/>
      <c r="BC4" s="31"/>
      <c r="BD4" s="31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3"/>
      <c r="CD4" s="33"/>
      <c r="CE4" s="33"/>
      <c r="CF4" s="33"/>
      <c r="CG4" s="33">
        <v>6</v>
      </c>
      <c r="CH4" s="33"/>
      <c r="CI4" s="33"/>
      <c r="CJ4" s="33"/>
      <c r="CK4" s="33">
        <v>12</v>
      </c>
      <c r="CL4" s="33">
        <v>2</v>
      </c>
      <c r="CM4" s="33"/>
      <c r="CN4" s="33"/>
      <c r="CO4" s="33"/>
      <c r="CP4" s="33"/>
      <c r="CQ4" s="33">
        <v>16</v>
      </c>
      <c r="CR4" s="33">
        <v>19</v>
      </c>
      <c r="CS4" s="33"/>
      <c r="CT4" s="33"/>
      <c r="CU4" s="33"/>
      <c r="CV4" s="33"/>
      <c r="CW4" s="33"/>
      <c r="CX4" s="33"/>
      <c r="CY4" s="33"/>
      <c r="CZ4" s="33">
        <v>11</v>
      </c>
      <c r="DA4" s="33"/>
      <c r="DB4" s="33"/>
      <c r="DC4" s="33"/>
      <c r="DD4" s="33"/>
      <c r="DE4" s="33"/>
      <c r="DF4" s="33"/>
      <c r="DG4" s="33"/>
      <c r="DH4" s="33"/>
      <c r="DI4" s="33"/>
      <c r="DJ4" s="33">
        <v>1</v>
      </c>
      <c r="DK4" s="33"/>
      <c r="DL4" s="34"/>
      <c r="DM4" s="34"/>
      <c r="DN4" s="34"/>
      <c r="DO4" s="33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>
        <v>2</v>
      </c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3"/>
      <c r="ER4" s="33"/>
      <c r="ES4" s="34"/>
      <c r="ET4" s="34"/>
      <c r="EU4" s="34"/>
      <c r="EV4" s="34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</row>
    <row r="5" spans="1:177" x14ac:dyDescent="0.25">
      <c r="A5" s="50" t="str">
        <f t="shared" si="0"/>
        <v>FC_L_1_E_03_2023</v>
      </c>
      <c r="B5" s="26" t="str">
        <f t="shared" si="1"/>
        <v>FC_L_1_E_03</v>
      </c>
      <c r="C5" s="26" t="str">
        <f t="shared" si="2"/>
        <v>FC_2023</v>
      </c>
      <c r="D5" s="27" t="s">
        <v>23</v>
      </c>
      <c r="E5" s="28">
        <v>45109</v>
      </c>
      <c r="F5" s="27">
        <v>2023</v>
      </c>
      <c r="G5" s="27" t="s">
        <v>263</v>
      </c>
      <c r="H5" s="27" t="s">
        <v>281</v>
      </c>
      <c r="I5" s="27">
        <v>3</v>
      </c>
      <c r="J5" s="27" t="s">
        <v>230</v>
      </c>
      <c r="K5" s="27">
        <v>1</v>
      </c>
      <c r="L5" s="27" t="s">
        <v>204</v>
      </c>
      <c r="N5" s="27" t="s">
        <v>264</v>
      </c>
      <c r="O5" s="11">
        <f t="shared" si="3"/>
        <v>100</v>
      </c>
      <c r="P5" s="29">
        <v>15</v>
      </c>
      <c r="Q5" s="29"/>
      <c r="R5" s="29"/>
      <c r="S5" s="29">
        <v>2</v>
      </c>
      <c r="T5" s="29">
        <v>9</v>
      </c>
      <c r="U5" s="29">
        <v>1</v>
      </c>
      <c r="V5" s="29"/>
      <c r="W5" s="29"/>
      <c r="X5" s="29"/>
      <c r="Y5" s="29"/>
      <c r="Z5" s="29"/>
      <c r="AA5" s="29"/>
      <c r="AB5" s="29"/>
      <c r="AC5" s="29"/>
      <c r="AD5" s="29">
        <v>71</v>
      </c>
      <c r="AE5" s="29"/>
      <c r="AF5" s="29"/>
      <c r="AG5" s="29"/>
      <c r="AH5" s="29">
        <v>2</v>
      </c>
      <c r="AI5" s="29"/>
      <c r="AJ5" s="30"/>
      <c r="AK5" s="30"/>
      <c r="AL5" s="30"/>
      <c r="AM5" s="30"/>
      <c r="AN5" s="30"/>
      <c r="AO5" s="30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3"/>
      <c r="CD5" s="33"/>
      <c r="CE5" s="33"/>
      <c r="CF5" s="33"/>
      <c r="CG5" s="33"/>
      <c r="CH5" s="33"/>
      <c r="CI5" s="33"/>
      <c r="CJ5" s="33"/>
      <c r="CK5" s="33">
        <v>100</v>
      </c>
      <c r="CL5" s="33"/>
      <c r="CM5" s="33"/>
      <c r="CN5" s="33"/>
      <c r="CO5" s="33"/>
      <c r="CP5" s="33"/>
      <c r="CQ5" s="33">
        <v>5</v>
      </c>
      <c r="CR5" s="33"/>
      <c r="CS5" s="33"/>
      <c r="CT5" s="33"/>
      <c r="CU5" s="33"/>
      <c r="CV5" s="33"/>
      <c r="CW5" s="33"/>
      <c r="CX5" s="33"/>
      <c r="CY5" s="33"/>
      <c r="CZ5" s="33">
        <v>1</v>
      </c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4"/>
      <c r="DM5" s="34"/>
      <c r="DN5" s="34"/>
      <c r="DO5" s="33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3"/>
      <c r="ER5" s="33"/>
      <c r="ES5" s="34"/>
      <c r="ET5" s="34"/>
      <c r="EU5" s="34"/>
      <c r="EV5" s="34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</row>
    <row r="6" spans="1:177" x14ac:dyDescent="0.25">
      <c r="A6" s="50" t="str">
        <f t="shared" si="0"/>
        <v>FC_L_1_E_04_2023</v>
      </c>
      <c r="B6" s="26" t="str">
        <f t="shared" si="1"/>
        <v>FC_L_1_E_04</v>
      </c>
      <c r="C6" s="26" t="str">
        <f t="shared" si="2"/>
        <v>FC_2023</v>
      </c>
      <c r="D6" s="27" t="s">
        <v>23</v>
      </c>
      <c r="E6" s="28">
        <v>45109</v>
      </c>
      <c r="F6" s="27">
        <v>2023</v>
      </c>
      <c r="G6" s="27" t="s">
        <v>262</v>
      </c>
      <c r="H6" s="27" t="s">
        <v>263</v>
      </c>
      <c r="I6" s="27">
        <v>4</v>
      </c>
      <c r="J6" s="27" t="s">
        <v>230</v>
      </c>
      <c r="K6" s="27">
        <v>1</v>
      </c>
      <c r="L6" s="27" t="s">
        <v>204</v>
      </c>
      <c r="N6" s="27" t="s">
        <v>264</v>
      </c>
      <c r="O6" s="11">
        <f t="shared" si="3"/>
        <v>100</v>
      </c>
      <c r="P6" s="29">
        <v>40</v>
      </c>
      <c r="Q6" s="29"/>
      <c r="R6" s="29"/>
      <c r="S6" s="29"/>
      <c r="T6" s="29"/>
      <c r="U6" s="29"/>
      <c r="V6" s="29"/>
      <c r="W6" s="29"/>
      <c r="X6" s="29"/>
      <c r="Y6" s="29">
        <v>2</v>
      </c>
      <c r="Z6" s="29"/>
      <c r="AA6" s="29"/>
      <c r="AB6" s="29"/>
      <c r="AC6" s="29">
        <v>11</v>
      </c>
      <c r="AD6" s="29"/>
      <c r="AE6" s="29"/>
      <c r="AF6" s="29"/>
      <c r="AG6" s="29"/>
      <c r="AH6" s="29">
        <v>47</v>
      </c>
      <c r="AI6" s="29"/>
      <c r="AJ6" s="30"/>
      <c r="AK6" s="30"/>
      <c r="AL6" s="30"/>
      <c r="AM6" s="30"/>
      <c r="AN6" s="30"/>
      <c r="AO6" s="30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>
        <v>17</v>
      </c>
      <c r="BA6" s="31"/>
      <c r="BB6" s="31"/>
      <c r="BC6" s="31"/>
      <c r="BD6" s="31"/>
      <c r="BE6" s="32"/>
      <c r="BF6" s="32"/>
      <c r="BG6" s="32"/>
      <c r="BH6" s="32"/>
      <c r="BI6" s="32"/>
      <c r="BJ6" s="32">
        <v>1</v>
      </c>
      <c r="BK6" s="32"/>
      <c r="BL6" s="32"/>
      <c r="BM6" s="32"/>
      <c r="BN6" s="32"/>
      <c r="BO6" s="32">
        <v>1</v>
      </c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3"/>
      <c r="CD6" s="33"/>
      <c r="CE6" s="33"/>
      <c r="CF6" s="33"/>
      <c r="CG6" s="33">
        <v>2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>
        <v>47</v>
      </c>
      <c r="CS6" s="33"/>
      <c r="CT6" s="33"/>
      <c r="CU6" s="33"/>
      <c r="CV6" s="33"/>
      <c r="CW6" s="33"/>
      <c r="CX6" s="33"/>
      <c r="CY6" s="33"/>
      <c r="CZ6" s="33"/>
      <c r="DA6" s="33">
        <v>3</v>
      </c>
      <c r="DB6" s="33"/>
      <c r="DC6" s="33"/>
      <c r="DD6" s="33"/>
      <c r="DE6" s="33"/>
      <c r="DF6" s="33"/>
      <c r="DG6" s="33"/>
      <c r="DH6" s="33"/>
      <c r="DI6" s="33"/>
      <c r="DJ6" s="33"/>
      <c r="DK6" s="33">
        <v>2</v>
      </c>
      <c r="DL6" s="34"/>
      <c r="DM6" s="34"/>
      <c r="DN6" s="34"/>
      <c r="DO6" s="33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3"/>
      <c r="ER6" s="33"/>
      <c r="ES6" s="34"/>
      <c r="ET6" s="34"/>
      <c r="EU6" s="34"/>
      <c r="EV6" s="34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spans="1:177" x14ac:dyDescent="0.25">
      <c r="A7" s="50" t="str">
        <f t="shared" si="0"/>
        <v>FC_L_1_E_05_2023</v>
      </c>
      <c r="B7" s="26" t="str">
        <f t="shared" si="1"/>
        <v>FC_L_1_E_05</v>
      </c>
      <c r="C7" s="26" t="str">
        <f t="shared" si="2"/>
        <v>FC_2023</v>
      </c>
      <c r="D7" s="27" t="s">
        <v>23</v>
      </c>
      <c r="E7" s="28">
        <v>45109</v>
      </c>
      <c r="F7" s="27">
        <v>2023</v>
      </c>
      <c r="G7" s="27" t="s">
        <v>263</v>
      </c>
      <c r="H7" s="27" t="s">
        <v>281</v>
      </c>
      <c r="I7" s="27">
        <v>5</v>
      </c>
      <c r="J7" s="27" t="s">
        <v>230</v>
      </c>
      <c r="K7" s="27">
        <v>1</v>
      </c>
      <c r="L7" s="27" t="s">
        <v>204</v>
      </c>
      <c r="N7" s="27" t="s">
        <v>264</v>
      </c>
      <c r="O7" s="11">
        <f t="shared" si="3"/>
        <v>100</v>
      </c>
      <c r="P7" s="29">
        <v>4</v>
      </c>
      <c r="Q7" s="29"/>
      <c r="R7" s="29">
        <v>3</v>
      </c>
      <c r="S7" s="29">
        <v>5</v>
      </c>
      <c r="T7" s="29">
        <v>10</v>
      </c>
      <c r="U7" s="29"/>
      <c r="V7" s="29"/>
      <c r="W7" s="29"/>
      <c r="X7" s="29"/>
      <c r="Y7" s="29"/>
      <c r="Z7" s="29"/>
      <c r="AA7" s="29"/>
      <c r="AB7" s="29"/>
      <c r="AC7" s="29">
        <v>4</v>
      </c>
      <c r="AD7" s="29">
        <v>3</v>
      </c>
      <c r="AE7" s="29"/>
      <c r="AF7" s="29">
        <v>1</v>
      </c>
      <c r="AG7" s="29"/>
      <c r="AH7" s="29">
        <v>68</v>
      </c>
      <c r="AI7" s="29">
        <v>2</v>
      </c>
      <c r="AJ7" s="30"/>
      <c r="AK7" s="30"/>
      <c r="AL7" s="30"/>
      <c r="AM7" s="30"/>
      <c r="AN7" s="30"/>
      <c r="AO7" s="30"/>
      <c r="AP7" s="31"/>
      <c r="AQ7" s="31">
        <v>1</v>
      </c>
      <c r="AR7" s="31"/>
      <c r="AS7" s="31"/>
      <c r="AT7" s="31"/>
      <c r="AU7" s="31"/>
      <c r="AV7" s="31"/>
      <c r="AW7" s="31">
        <v>1</v>
      </c>
      <c r="AX7" s="31"/>
      <c r="AY7" s="31"/>
      <c r="AZ7" s="31">
        <v>5</v>
      </c>
      <c r="BA7" s="31"/>
      <c r="BB7" s="31"/>
      <c r="BC7" s="31"/>
      <c r="BD7" s="31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3"/>
      <c r="CD7" s="33"/>
      <c r="CE7" s="33"/>
      <c r="CF7" s="33"/>
      <c r="CG7" s="33">
        <v>4</v>
      </c>
      <c r="CH7" s="33"/>
      <c r="CI7" s="33"/>
      <c r="CJ7" s="33"/>
      <c r="CK7" s="33">
        <v>10</v>
      </c>
      <c r="CL7" s="33">
        <v>3</v>
      </c>
      <c r="CM7" s="33"/>
      <c r="CN7" s="33"/>
      <c r="CO7" s="33"/>
      <c r="CP7" s="33"/>
      <c r="CQ7" s="33">
        <v>6</v>
      </c>
      <c r="CR7" s="33">
        <v>16</v>
      </c>
      <c r="CS7" s="33"/>
      <c r="CT7" s="33"/>
      <c r="CU7" s="33"/>
      <c r="CV7" s="33"/>
      <c r="CW7" s="33"/>
      <c r="CX7" s="33"/>
      <c r="CY7" s="33"/>
      <c r="CZ7" s="33">
        <v>8</v>
      </c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4"/>
      <c r="DM7" s="34"/>
      <c r="DN7" s="34"/>
      <c r="DO7" s="33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>
        <v>6</v>
      </c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3"/>
      <c r="ER7" s="33"/>
      <c r="ES7" s="34"/>
      <c r="ET7" s="34"/>
      <c r="EU7" s="34"/>
      <c r="EV7" s="34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spans="1:177" x14ac:dyDescent="0.25">
      <c r="A8" s="50" t="str">
        <f t="shared" si="0"/>
        <v>FC_L_1_E_06_2023</v>
      </c>
      <c r="B8" s="26" t="str">
        <f t="shared" si="1"/>
        <v>FC_L_1_E_06</v>
      </c>
      <c r="C8" s="26" t="str">
        <f t="shared" si="2"/>
        <v>FC_2023</v>
      </c>
      <c r="D8" s="27" t="s">
        <v>23</v>
      </c>
      <c r="E8" s="28">
        <v>45109</v>
      </c>
      <c r="F8" s="27">
        <v>2023</v>
      </c>
      <c r="G8" s="27" t="s">
        <v>262</v>
      </c>
      <c r="H8" s="27" t="s">
        <v>263</v>
      </c>
      <c r="I8" s="27">
        <v>6</v>
      </c>
      <c r="J8" s="27" t="s">
        <v>230</v>
      </c>
      <c r="K8" s="27">
        <v>1</v>
      </c>
      <c r="L8" s="27" t="s">
        <v>204</v>
      </c>
      <c r="N8" s="27" t="s">
        <v>264</v>
      </c>
      <c r="O8" s="11">
        <f t="shared" si="3"/>
        <v>100</v>
      </c>
      <c r="P8" s="29">
        <v>31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>
        <v>60</v>
      </c>
      <c r="AE8" s="29"/>
      <c r="AF8" s="29"/>
      <c r="AG8" s="29"/>
      <c r="AH8" s="29">
        <v>9</v>
      </c>
      <c r="AI8" s="29"/>
      <c r="AJ8" s="30"/>
      <c r="AK8" s="30"/>
      <c r="AL8" s="30"/>
      <c r="AM8" s="30"/>
      <c r="AN8" s="30"/>
      <c r="AO8" s="30"/>
      <c r="AP8" s="31">
        <v>3</v>
      </c>
      <c r="AQ8" s="31"/>
      <c r="AR8" s="31"/>
      <c r="AS8" s="31"/>
      <c r="AT8" s="31"/>
      <c r="AU8" s="31"/>
      <c r="AV8" s="31"/>
      <c r="AW8" s="31"/>
      <c r="AX8" s="31"/>
      <c r="AY8" s="31"/>
      <c r="AZ8" s="31">
        <v>3</v>
      </c>
      <c r="BA8" s="31"/>
      <c r="BB8" s="31"/>
      <c r="BC8" s="31"/>
      <c r="BD8" s="31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3"/>
      <c r="CD8" s="33"/>
      <c r="CE8" s="33"/>
      <c r="CF8" s="33"/>
      <c r="CG8" s="33">
        <v>6</v>
      </c>
      <c r="CH8" s="33"/>
      <c r="CI8" s="33"/>
      <c r="CJ8" s="33"/>
      <c r="CK8" s="33"/>
      <c r="CL8" s="33"/>
      <c r="CM8" s="33"/>
      <c r="CN8" s="33"/>
      <c r="CO8" s="33"/>
      <c r="CP8" s="33"/>
      <c r="CQ8" s="33">
        <v>10</v>
      </c>
      <c r="CR8" s="33"/>
      <c r="CS8" s="33"/>
      <c r="CT8" s="33"/>
      <c r="CU8" s="33"/>
      <c r="CV8" s="33"/>
      <c r="CW8" s="33"/>
      <c r="CX8" s="33"/>
      <c r="CY8" s="33"/>
      <c r="CZ8" s="33"/>
      <c r="DA8" s="33">
        <v>2</v>
      </c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4"/>
      <c r="DM8" s="34"/>
      <c r="DN8" s="34"/>
      <c r="DO8" s="33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3"/>
      <c r="ER8" s="33"/>
      <c r="ES8" s="34"/>
      <c r="ET8" s="34"/>
      <c r="EU8" s="34"/>
      <c r="EV8" s="34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spans="1:177" x14ac:dyDescent="0.25">
      <c r="A9" s="50" t="str">
        <f t="shared" si="0"/>
        <v>FC_L_1_E_07_2023</v>
      </c>
      <c r="B9" s="26" t="str">
        <f t="shared" si="1"/>
        <v>FC_L_1_E_07</v>
      </c>
      <c r="C9" s="26" t="str">
        <f t="shared" si="2"/>
        <v>FC_2023</v>
      </c>
      <c r="D9" s="27" t="s">
        <v>23</v>
      </c>
      <c r="E9" s="28">
        <v>45109</v>
      </c>
      <c r="F9" s="27">
        <v>2023</v>
      </c>
      <c r="G9" s="27" t="s">
        <v>263</v>
      </c>
      <c r="H9" s="27" t="s">
        <v>281</v>
      </c>
      <c r="I9" s="27">
        <v>7</v>
      </c>
      <c r="J9" s="27" t="s">
        <v>230</v>
      </c>
      <c r="K9" s="27">
        <v>1</v>
      </c>
      <c r="L9" s="27" t="s">
        <v>204</v>
      </c>
      <c r="N9" s="27" t="s">
        <v>264</v>
      </c>
      <c r="O9" s="11">
        <f t="shared" si="3"/>
        <v>100.1</v>
      </c>
      <c r="P9" s="29"/>
      <c r="Q9" s="29"/>
      <c r="R9" s="29">
        <v>0.1</v>
      </c>
      <c r="S9" s="29"/>
      <c r="T9" s="29">
        <v>2</v>
      </c>
      <c r="U9" s="29"/>
      <c r="V9" s="29"/>
      <c r="W9" s="29"/>
      <c r="X9" s="29"/>
      <c r="Y9" s="29"/>
      <c r="Z9" s="29"/>
      <c r="AA9" s="29"/>
      <c r="AB9" s="29">
        <v>3</v>
      </c>
      <c r="AC9" s="29"/>
      <c r="AD9" s="29">
        <v>2</v>
      </c>
      <c r="AE9" s="29"/>
      <c r="AF9" s="29">
        <v>2</v>
      </c>
      <c r="AG9" s="29"/>
      <c r="AH9" s="29">
        <v>90</v>
      </c>
      <c r="AI9" s="29">
        <v>1</v>
      </c>
      <c r="AJ9" s="30"/>
      <c r="AK9" s="30"/>
      <c r="AL9" s="30"/>
      <c r="AM9" s="30"/>
      <c r="AN9" s="30"/>
      <c r="AO9" s="30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>
        <v>4</v>
      </c>
      <c r="BA9" s="31"/>
      <c r="BB9" s="31"/>
      <c r="BC9" s="31"/>
      <c r="BD9" s="31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3">
        <v>5</v>
      </c>
      <c r="CD9" s="33"/>
      <c r="CE9" s="33"/>
      <c r="CF9" s="33"/>
      <c r="CG9" s="33">
        <v>4</v>
      </c>
      <c r="CH9" s="33"/>
      <c r="CI9" s="33"/>
      <c r="CJ9" s="33"/>
      <c r="CK9" s="33">
        <v>12</v>
      </c>
      <c r="CL9" s="33">
        <v>3</v>
      </c>
      <c r="CM9" s="33"/>
      <c r="CN9" s="33"/>
      <c r="CO9" s="33"/>
      <c r="CP9" s="33"/>
      <c r="CQ9" s="33">
        <v>3</v>
      </c>
      <c r="CR9" s="33">
        <v>34</v>
      </c>
      <c r="CS9" s="33"/>
      <c r="CT9" s="33"/>
      <c r="CU9" s="33"/>
      <c r="CV9" s="33"/>
      <c r="CW9" s="33"/>
      <c r="CX9" s="33"/>
      <c r="CY9" s="33"/>
      <c r="CZ9" s="33">
        <v>6</v>
      </c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4"/>
      <c r="DM9" s="34"/>
      <c r="DN9" s="34"/>
      <c r="DO9" s="33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>
        <v>3</v>
      </c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3"/>
      <c r="ER9" s="33"/>
      <c r="ES9" s="34"/>
      <c r="ET9" s="34"/>
      <c r="EU9" s="34"/>
      <c r="EV9" s="34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spans="1:177" x14ac:dyDescent="0.25">
      <c r="A10" s="50" t="str">
        <f t="shared" si="0"/>
        <v>FC_L_1_E_08_2023</v>
      </c>
      <c r="B10" s="26" t="str">
        <f t="shared" si="1"/>
        <v>FC_L_1_E_08</v>
      </c>
      <c r="C10" s="26" t="str">
        <f t="shared" si="2"/>
        <v>FC_2023</v>
      </c>
      <c r="D10" s="27" t="s">
        <v>23</v>
      </c>
      <c r="E10" s="28">
        <v>45109</v>
      </c>
      <c r="F10" s="27">
        <v>2023</v>
      </c>
      <c r="G10" s="27" t="s">
        <v>262</v>
      </c>
      <c r="H10" s="27" t="s">
        <v>263</v>
      </c>
      <c r="I10" s="27">
        <v>8</v>
      </c>
      <c r="J10" s="27" t="s">
        <v>230</v>
      </c>
      <c r="K10" s="27">
        <v>1</v>
      </c>
      <c r="L10" s="27" t="s">
        <v>204</v>
      </c>
      <c r="N10" s="27" t="s">
        <v>264</v>
      </c>
      <c r="O10" s="11">
        <f t="shared" si="3"/>
        <v>100</v>
      </c>
      <c r="P10" s="29">
        <v>95</v>
      </c>
      <c r="Q10" s="29"/>
      <c r="R10" s="29"/>
      <c r="S10" s="29"/>
      <c r="T10" s="29">
        <v>3</v>
      </c>
      <c r="U10" s="29"/>
      <c r="V10" s="29"/>
      <c r="W10" s="29"/>
      <c r="X10" s="29"/>
      <c r="Y10" s="29"/>
      <c r="Z10" s="29"/>
      <c r="AA10" s="29"/>
      <c r="AB10" s="29">
        <v>2</v>
      </c>
      <c r="AC10" s="29"/>
      <c r="AD10" s="29"/>
      <c r="AE10" s="29"/>
      <c r="AF10" s="29"/>
      <c r="AG10" s="29"/>
      <c r="AH10" s="29"/>
      <c r="AI10" s="29"/>
      <c r="AJ10" s="30"/>
      <c r="AK10" s="30"/>
      <c r="AL10" s="30"/>
      <c r="AM10" s="30"/>
      <c r="AN10" s="30"/>
      <c r="AO10" s="30"/>
      <c r="AP10" s="31">
        <v>1</v>
      </c>
      <c r="AQ10" s="31"/>
      <c r="AR10" s="31"/>
      <c r="AS10" s="31"/>
      <c r="AT10" s="31"/>
      <c r="AU10" s="31"/>
      <c r="AV10" s="31"/>
      <c r="AW10" s="31"/>
      <c r="AX10" s="31"/>
      <c r="AY10" s="31"/>
      <c r="AZ10" s="31">
        <v>14</v>
      </c>
      <c r="BA10" s="31"/>
      <c r="BB10" s="31"/>
      <c r="BC10" s="31"/>
      <c r="BD10" s="31"/>
      <c r="BE10" s="32"/>
      <c r="BF10" s="32"/>
      <c r="BG10" s="32"/>
      <c r="BH10" s="32"/>
      <c r="BI10" s="32"/>
      <c r="BJ10" s="32">
        <v>1</v>
      </c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3"/>
      <c r="CD10" s="33"/>
      <c r="CE10" s="33"/>
      <c r="CF10" s="33"/>
      <c r="CG10" s="33">
        <v>2</v>
      </c>
      <c r="CH10" s="33"/>
      <c r="CI10" s="33"/>
      <c r="CJ10" s="33"/>
      <c r="CK10" s="33"/>
      <c r="CL10" s="33"/>
      <c r="CM10" s="33"/>
      <c r="CN10" s="33"/>
      <c r="CO10" s="33"/>
      <c r="CP10" s="33"/>
      <c r="CQ10" s="33">
        <v>15</v>
      </c>
      <c r="CR10" s="33">
        <v>50</v>
      </c>
      <c r="CS10" s="33"/>
      <c r="CT10" s="33"/>
      <c r="CU10" s="33"/>
      <c r="CV10" s="33"/>
      <c r="CW10" s="33"/>
      <c r="CX10" s="33"/>
      <c r="CY10" s="33"/>
      <c r="CZ10" s="33">
        <v>1</v>
      </c>
      <c r="DA10" s="33"/>
      <c r="DB10" s="33"/>
      <c r="DC10" s="33"/>
      <c r="DD10" s="33"/>
      <c r="DE10" s="33"/>
      <c r="DF10" s="33">
        <v>1</v>
      </c>
      <c r="DG10" s="33"/>
      <c r="DH10" s="33">
        <v>2</v>
      </c>
      <c r="DI10" s="33"/>
      <c r="DJ10" s="33"/>
      <c r="DK10" s="33">
        <v>1</v>
      </c>
      <c r="DL10" s="34"/>
      <c r="DM10" s="34"/>
      <c r="DN10" s="34"/>
      <c r="DO10" s="33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>
        <v>4</v>
      </c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3"/>
      <c r="ER10" s="33"/>
      <c r="ES10" s="34"/>
      <c r="ET10" s="34"/>
      <c r="EU10" s="34"/>
      <c r="EV10" s="34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</row>
    <row r="11" spans="1:177" x14ac:dyDescent="0.25">
      <c r="A11" s="50" t="str">
        <f t="shared" si="0"/>
        <v>FC_L_1_E_09_2023</v>
      </c>
      <c r="B11" s="26" t="str">
        <f t="shared" si="1"/>
        <v>FC_L_1_E_09</v>
      </c>
      <c r="C11" s="26" t="str">
        <f t="shared" si="2"/>
        <v>FC_2023</v>
      </c>
      <c r="D11" s="27" t="s">
        <v>23</v>
      </c>
      <c r="E11" s="28">
        <v>45109</v>
      </c>
      <c r="F11" s="27">
        <v>2023</v>
      </c>
      <c r="G11" s="27" t="s">
        <v>263</v>
      </c>
      <c r="H11" s="27" t="s">
        <v>281</v>
      </c>
      <c r="I11" s="27">
        <v>9</v>
      </c>
      <c r="J11" s="27" t="s">
        <v>230</v>
      </c>
      <c r="K11" s="27">
        <v>1</v>
      </c>
      <c r="L11" s="27" t="s">
        <v>204</v>
      </c>
      <c r="N11" s="27" t="s">
        <v>264</v>
      </c>
      <c r="O11" s="11">
        <f t="shared" si="3"/>
        <v>100</v>
      </c>
      <c r="P11" s="29">
        <v>3</v>
      </c>
      <c r="Q11" s="29"/>
      <c r="R11" s="29"/>
      <c r="S11" s="29">
        <v>6</v>
      </c>
      <c r="T11" s="29">
        <v>8</v>
      </c>
      <c r="U11" s="29"/>
      <c r="V11" s="29"/>
      <c r="W11" s="29"/>
      <c r="X11" s="29"/>
      <c r="Y11" s="29"/>
      <c r="Z11" s="29"/>
      <c r="AA11" s="29"/>
      <c r="AB11" s="29">
        <v>10</v>
      </c>
      <c r="AC11" s="29"/>
      <c r="AD11" s="29">
        <v>67</v>
      </c>
      <c r="AE11" s="29"/>
      <c r="AF11" s="29">
        <v>1</v>
      </c>
      <c r="AG11" s="29"/>
      <c r="AH11" s="29">
        <v>5</v>
      </c>
      <c r="AI11" s="29"/>
      <c r="AJ11" s="30"/>
      <c r="AK11" s="30"/>
      <c r="AL11" s="30"/>
      <c r="AM11" s="30"/>
      <c r="AN11" s="30"/>
      <c r="AO11" s="30"/>
      <c r="AP11" s="31">
        <v>3</v>
      </c>
      <c r="AQ11" s="31">
        <v>6</v>
      </c>
      <c r="AR11" s="31">
        <v>1</v>
      </c>
      <c r="AS11" s="31"/>
      <c r="AT11" s="31"/>
      <c r="AU11" s="31"/>
      <c r="AV11" s="31"/>
      <c r="AW11" s="31">
        <v>1</v>
      </c>
      <c r="AX11" s="31"/>
      <c r="AY11" s="31"/>
      <c r="AZ11" s="31"/>
      <c r="BA11" s="31"/>
      <c r="BB11" s="31"/>
      <c r="BC11" s="31"/>
      <c r="BD11" s="31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3"/>
      <c r="CD11" s="33"/>
      <c r="CE11" s="33"/>
      <c r="CF11" s="33"/>
      <c r="CG11" s="33">
        <v>2</v>
      </c>
      <c r="CH11" s="33"/>
      <c r="CI11" s="33"/>
      <c r="CJ11" s="33"/>
      <c r="CK11" s="33">
        <v>100</v>
      </c>
      <c r="CL11" s="33">
        <v>3</v>
      </c>
      <c r="CM11" s="33">
        <v>2</v>
      </c>
      <c r="CN11" s="33"/>
      <c r="CO11" s="33"/>
      <c r="CP11" s="33"/>
      <c r="CQ11" s="33">
        <v>6</v>
      </c>
      <c r="CR11" s="33">
        <v>4</v>
      </c>
      <c r="CS11" s="33"/>
      <c r="CT11" s="33"/>
      <c r="CU11" s="33"/>
      <c r="CV11" s="33"/>
      <c r="CW11" s="33"/>
      <c r="CX11" s="33"/>
      <c r="CY11" s="33"/>
      <c r="CZ11" s="33">
        <v>2</v>
      </c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4"/>
      <c r="DM11" s="34"/>
      <c r="DN11" s="34"/>
      <c r="DO11" s="33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>
        <v>1</v>
      </c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3"/>
      <c r="ER11" s="33"/>
      <c r="ES11" s="34"/>
      <c r="ET11" s="34"/>
      <c r="EU11" s="34"/>
      <c r="EV11" s="34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</row>
    <row r="12" spans="1:177" x14ac:dyDescent="0.25">
      <c r="A12" s="50" t="str">
        <f t="shared" si="0"/>
        <v>FC_L_1_E_10_2023</v>
      </c>
      <c r="B12" s="26" t="str">
        <f t="shared" si="1"/>
        <v>FC_L_1_E_10</v>
      </c>
      <c r="C12" s="26" t="str">
        <f t="shared" si="2"/>
        <v>FC_2023</v>
      </c>
      <c r="D12" s="27" t="s">
        <v>23</v>
      </c>
      <c r="E12" s="28">
        <v>45109</v>
      </c>
      <c r="F12" s="27">
        <v>2023</v>
      </c>
      <c r="G12" s="27" t="s">
        <v>263</v>
      </c>
      <c r="H12" s="27" t="s">
        <v>281</v>
      </c>
      <c r="I12" s="27">
        <v>10</v>
      </c>
      <c r="J12" s="27" t="s">
        <v>230</v>
      </c>
      <c r="K12" s="27">
        <v>1</v>
      </c>
      <c r="L12" s="27" t="s">
        <v>204</v>
      </c>
      <c r="N12" s="27" t="s">
        <v>264</v>
      </c>
      <c r="O12" s="67">
        <f t="shared" si="3"/>
        <v>100.1</v>
      </c>
      <c r="P12" s="29"/>
      <c r="Q12" s="29"/>
      <c r="R12" s="29">
        <v>5</v>
      </c>
      <c r="S12" s="29">
        <v>6</v>
      </c>
      <c r="T12" s="29">
        <v>0.1</v>
      </c>
      <c r="U12" s="29"/>
      <c r="V12" s="29"/>
      <c r="W12" s="29"/>
      <c r="X12" s="29"/>
      <c r="Y12" s="29"/>
      <c r="Z12" s="29"/>
      <c r="AA12" s="29"/>
      <c r="AB12" s="29">
        <v>12</v>
      </c>
      <c r="AC12" s="29"/>
      <c r="AD12" s="29"/>
      <c r="AE12" s="29"/>
      <c r="AF12" s="29"/>
      <c r="AG12" s="29"/>
      <c r="AH12" s="29">
        <v>73</v>
      </c>
      <c r="AI12" s="29">
        <v>4</v>
      </c>
      <c r="AJ12" s="30"/>
      <c r="AK12" s="30"/>
      <c r="AL12" s="30"/>
      <c r="AM12" s="30"/>
      <c r="AN12" s="30"/>
      <c r="AO12" s="30"/>
      <c r="AP12" s="31"/>
      <c r="AQ12" s="31">
        <v>1</v>
      </c>
      <c r="AR12" s="31"/>
      <c r="AS12" s="31"/>
      <c r="AT12" s="31"/>
      <c r="AU12" s="31"/>
      <c r="AV12" s="31"/>
      <c r="AW12" s="31">
        <v>4</v>
      </c>
      <c r="AX12" s="31"/>
      <c r="AY12" s="31"/>
      <c r="AZ12" s="31">
        <v>24</v>
      </c>
      <c r="BA12" s="31"/>
      <c r="BB12" s="31"/>
      <c r="BC12" s="31"/>
      <c r="BD12" s="31"/>
      <c r="BE12" s="32"/>
      <c r="BF12" s="32"/>
      <c r="BG12" s="32"/>
      <c r="BH12" s="32"/>
      <c r="BI12" s="32"/>
      <c r="CB12" s="32"/>
      <c r="CC12" s="33"/>
      <c r="CD12" s="33"/>
      <c r="CE12" s="33"/>
      <c r="CF12" s="33"/>
      <c r="CG12" s="33"/>
      <c r="CH12" s="33"/>
      <c r="CI12" s="33"/>
      <c r="CJ12" s="33"/>
      <c r="CK12" s="33"/>
      <c r="CL12" s="33">
        <v>2</v>
      </c>
      <c r="CM12" s="33">
        <v>5</v>
      </c>
      <c r="CN12" s="33"/>
      <c r="CO12" s="33"/>
      <c r="CP12" s="33"/>
      <c r="CQ12" s="33">
        <v>1</v>
      </c>
      <c r="CR12" s="33">
        <v>14</v>
      </c>
      <c r="CS12" s="33"/>
      <c r="CT12" s="33">
        <v>2</v>
      </c>
      <c r="CU12" s="33"/>
      <c r="CV12" s="33"/>
      <c r="CW12" s="33"/>
      <c r="CX12" s="33"/>
      <c r="CY12" s="33"/>
      <c r="CZ12" s="33">
        <v>6</v>
      </c>
      <c r="DA12" s="33">
        <v>16</v>
      </c>
      <c r="DB12" s="33"/>
      <c r="DC12" s="33"/>
      <c r="DD12" s="33"/>
      <c r="DE12" s="33"/>
      <c r="DF12" s="33"/>
      <c r="DG12" s="33"/>
      <c r="DH12" s="33"/>
      <c r="DI12" s="33"/>
      <c r="DJ12" s="33">
        <v>1</v>
      </c>
      <c r="DK12" s="33"/>
      <c r="DL12" s="34"/>
      <c r="DM12" s="15"/>
      <c r="DO12" s="14"/>
      <c r="EB12" s="34">
        <v>4</v>
      </c>
      <c r="EQ12" s="14"/>
      <c r="ER12" s="14"/>
      <c r="ES12" s="15"/>
    </row>
    <row r="13" spans="1:177" x14ac:dyDescent="0.25">
      <c r="A13" s="50" t="str">
        <f t="shared" si="0"/>
        <v>FC_L_2_E_01_2023</v>
      </c>
      <c r="B13" s="26" t="str">
        <f t="shared" si="1"/>
        <v>FC_L_2_E_01</v>
      </c>
      <c r="C13" s="26" t="str">
        <f t="shared" si="2"/>
        <v>FC_2023</v>
      </c>
      <c r="D13" s="27" t="s">
        <v>23</v>
      </c>
      <c r="E13" s="28">
        <v>45109</v>
      </c>
      <c r="F13" s="27">
        <v>2023</v>
      </c>
      <c r="G13" s="27" t="s">
        <v>263</v>
      </c>
      <c r="H13" s="27" t="s">
        <v>281</v>
      </c>
      <c r="I13" s="27">
        <v>1</v>
      </c>
      <c r="J13" s="27" t="s">
        <v>230</v>
      </c>
      <c r="K13" s="27">
        <v>2</v>
      </c>
      <c r="L13" s="27" t="s">
        <v>204</v>
      </c>
      <c r="N13" s="27" t="s">
        <v>264</v>
      </c>
      <c r="O13" s="67">
        <f t="shared" si="3"/>
        <v>100.1</v>
      </c>
      <c r="P13" s="29">
        <v>1</v>
      </c>
      <c r="Q13" s="29">
        <v>0.1</v>
      </c>
      <c r="R13" s="29">
        <v>3</v>
      </c>
      <c r="S13" s="29">
        <v>4</v>
      </c>
      <c r="T13" s="29"/>
      <c r="U13" s="29"/>
      <c r="V13" s="29"/>
      <c r="W13" s="29"/>
      <c r="X13" s="29"/>
      <c r="Y13" s="29"/>
      <c r="Z13" s="29"/>
      <c r="AA13" s="29"/>
      <c r="AB13" s="29">
        <v>1</v>
      </c>
      <c r="AC13" s="29"/>
      <c r="AD13" s="29">
        <v>4</v>
      </c>
      <c r="AE13" s="29"/>
      <c r="AF13" s="29">
        <v>1</v>
      </c>
      <c r="AG13" s="29"/>
      <c r="AH13" s="29">
        <v>84</v>
      </c>
      <c r="AI13" s="29">
        <v>2</v>
      </c>
      <c r="AJ13" s="30"/>
      <c r="AK13" s="30"/>
      <c r="AL13" s="30"/>
      <c r="AM13" s="30"/>
      <c r="AN13" s="30"/>
      <c r="AO13" s="30"/>
      <c r="AP13" s="31"/>
      <c r="AQ13" s="31"/>
      <c r="AR13" s="31"/>
      <c r="AS13" s="31"/>
      <c r="AT13" s="31"/>
      <c r="AU13" s="31"/>
      <c r="AV13" s="31"/>
      <c r="AW13" s="31">
        <v>1</v>
      </c>
      <c r="AX13" s="31"/>
      <c r="AY13" s="31"/>
      <c r="AZ13" s="31">
        <v>13</v>
      </c>
      <c r="BA13" s="31"/>
      <c r="BB13" s="31"/>
      <c r="BC13" s="31"/>
      <c r="BD13" s="31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3"/>
      <c r="CD13" s="33"/>
      <c r="CE13" s="33"/>
      <c r="CF13" s="33"/>
      <c r="CG13" s="33">
        <v>4</v>
      </c>
      <c r="CH13" s="33"/>
      <c r="CI13" s="33"/>
      <c r="CJ13" s="33"/>
      <c r="CK13" s="33">
        <v>22</v>
      </c>
      <c r="CL13" s="33"/>
      <c r="CM13" s="33">
        <v>0.1</v>
      </c>
      <c r="CN13" s="33"/>
      <c r="CO13" s="33"/>
      <c r="CP13" s="33"/>
      <c r="CQ13" s="33">
        <v>3</v>
      </c>
      <c r="CR13" s="33">
        <v>24</v>
      </c>
      <c r="CS13" s="33"/>
      <c r="CT13" s="33"/>
      <c r="CU13" s="33"/>
      <c r="CV13" s="33"/>
      <c r="CW13" s="33"/>
      <c r="CX13" s="33"/>
      <c r="CY13" s="33"/>
      <c r="CZ13" s="33">
        <v>6</v>
      </c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4"/>
      <c r="DM13" s="34"/>
      <c r="DN13" s="34"/>
      <c r="DO13" s="33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>
        <v>4</v>
      </c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3"/>
      <c r="ER13" s="33"/>
      <c r="ES13" s="34"/>
      <c r="ET13" s="34"/>
      <c r="EU13" s="34"/>
      <c r="EV13" s="34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</row>
    <row r="14" spans="1:177" x14ac:dyDescent="0.25">
      <c r="A14" s="50" t="str">
        <f t="shared" si="0"/>
        <v>FC_L_2_E_02_2023</v>
      </c>
      <c r="B14" s="26" t="str">
        <f t="shared" si="1"/>
        <v>FC_L_2_E_02</v>
      </c>
      <c r="C14" s="26" t="str">
        <f t="shared" si="2"/>
        <v>FC_2023</v>
      </c>
      <c r="D14" s="27" t="s">
        <v>23</v>
      </c>
      <c r="E14" s="28">
        <v>45109</v>
      </c>
      <c r="F14" s="27">
        <v>2023</v>
      </c>
      <c r="G14" s="27" t="s">
        <v>262</v>
      </c>
      <c r="H14" s="27" t="s">
        <v>263</v>
      </c>
      <c r="I14" s="27">
        <v>2</v>
      </c>
      <c r="J14" s="27" t="s">
        <v>230</v>
      </c>
      <c r="K14" s="27">
        <v>2</v>
      </c>
      <c r="L14" s="27" t="s">
        <v>204</v>
      </c>
      <c r="N14" s="27" t="s">
        <v>264</v>
      </c>
      <c r="O14" s="11">
        <f t="shared" si="3"/>
        <v>100</v>
      </c>
      <c r="P14" s="29">
        <v>25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>
        <v>75</v>
      </c>
      <c r="AE14" s="29"/>
      <c r="AF14" s="29"/>
      <c r="AG14" s="29"/>
      <c r="AH14" s="29"/>
      <c r="AI14" s="29"/>
      <c r="AJ14" s="30"/>
      <c r="AK14" s="30"/>
      <c r="AL14" s="30"/>
      <c r="AM14" s="30"/>
      <c r="AN14" s="30"/>
      <c r="AO14" s="30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3"/>
      <c r="CD14" s="33"/>
      <c r="CE14" s="33"/>
      <c r="CF14" s="33"/>
      <c r="CG14" s="33"/>
      <c r="CH14" s="33"/>
      <c r="CI14" s="33"/>
      <c r="CJ14" s="33"/>
      <c r="CK14" s="33">
        <v>75</v>
      </c>
      <c r="CL14" s="33"/>
      <c r="CM14" s="33">
        <v>2</v>
      </c>
      <c r="CN14" s="33"/>
      <c r="CO14" s="33"/>
      <c r="CP14" s="33"/>
      <c r="CQ14" s="33">
        <v>3</v>
      </c>
      <c r="CR14" s="33">
        <v>4</v>
      </c>
      <c r="CS14" s="33"/>
      <c r="CT14" s="33"/>
      <c r="CU14" s="33"/>
      <c r="CV14" s="33"/>
      <c r="CW14" s="33"/>
      <c r="CX14" s="33"/>
      <c r="CY14" s="33"/>
      <c r="CZ14" s="33">
        <v>1</v>
      </c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4"/>
      <c r="DM14" s="34"/>
      <c r="DN14" s="34"/>
      <c r="DO14" s="33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3"/>
      <c r="ER14" s="33"/>
      <c r="ES14" s="34"/>
      <c r="ET14" s="34"/>
      <c r="EU14" s="34"/>
      <c r="EV14" s="34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</row>
    <row r="15" spans="1:177" x14ac:dyDescent="0.25">
      <c r="A15" s="50" t="str">
        <f t="shared" si="0"/>
        <v>FC_L_2_E_03_2023</v>
      </c>
      <c r="B15" s="26" t="str">
        <f t="shared" si="1"/>
        <v>FC_L_2_E_03</v>
      </c>
      <c r="C15" s="26" t="str">
        <f t="shared" si="2"/>
        <v>FC_2023</v>
      </c>
      <c r="D15" s="27" t="s">
        <v>23</v>
      </c>
      <c r="E15" s="28">
        <v>45109</v>
      </c>
      <c r="F15" s="27">
        <v>2023</v>
      </c>
      <c r="G15" s="27" t="s">
        <v>263</v>
      </c>
      <c r="H15" s="27" t="s">
        <v>281</v>
      </c>
      <c r="I15" s="27">
        <v>3</v>
      </c>
      <c r="J15" s="27" t="s">
        <v>230</v>
      </c>
      <c r="K15" s="27">
        <v>2</v>
      </c>
      <c r="L15" s="27" t="s">
        <v>204</v>
      </c>
      <c r="N15" s="27" t="s">
        <v>264</v>
      </c>
      <c r="O15" s="67">
        <f t="shared" si="3"/>
        <v>100.1</v>
      </c>
      <c r="P15" s="29">
        <v>2</v>
      </c>
      <c r="Q15" s="29"/>
      <c r="R15" s="29"/>
      <c r="S15" s="29">
        <v>7</v>
      </c>
      <c r="T15" s="29"/>
      <c r="U15" s="29">
        <v>0.1</v>
      </c>
      <c r="V15" s="29"/>
      <c r="W15" s="29"/>
      <c r="X15" s="29"/>
      <c r="Y15" s="29"/>
      <c r="Z15" s="29"/>
      <c r="AA15" s="29"/>
      <c r="AB15" s="29"/>
      <c r="AC15" s="29"/>
      <c r="AD15" s="29">
        <v>10</v>
      </c>
      <c r="AE15" s="29">
        <v>8</v>
      </c>
      <c r="AF15" s="29"/>
      <c r="AG15" s="29"/>
      <c r="AH15" s="29">
        <v>72</v>
      </c>
      <c r="AI15" s="29">
        <v>1</v>
      </c>
      <c r="AJ15" s="30"/>
      <c r="AK15" s="30"/>
      <c r="AL15" s="30"/>
      <c r="AM15" s="30"/>
      <c r="AN15" s="30"/>
      <c r="AO15" s="30"/>
      <c r="AP15" s="31"/>
      <c r="AQ15" s="31"/>
      <c r="AR15" s="31"/>
      <c r="AS15" s="31"/>
      <c r="AT15" s="31"/>
      <c r="AU15" s="31"/>
      <c r="AV15" s="31"/>
      <c r="AW15" s="31">
        <v>1</v>
      </c>
      <c r="AX15" s="31"/>
      <c r="AY15" s="31"/>
      <c r="AZ15" s="31"/>
      <c r="BA15" s="31"/>
      <c r="BB15" s="31"/>
      <c r="BC15" s="31"/>
      <c r="BD15" s="31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3"/>
      <c r="CD15" s="33"/>
      <c r="CE15" s="33"/>
      <c r="CF15" s="33">
        <v>4</v>
      </c>
      <c r="CG15" s="33">
        <v>3</v>
      </c>
      <c r="CH15" s="33"/>
      <c r="CI15" s="33"/>
      <c r="CJ15" s="33"/>
      <c r="CK15" s="33">
        <v>11</v>
      </c>
      <c r="CL15" s="33">
        <v>1</v>
      </c>
      <c r="CM15" s="33"/>
      <c r="CN15" s="33"/>
      <c r="CO15" s="33"/>
      <c r="CP15" s="33"/>
      <c r="CQ15" s="33"/>
      <c r="CR15" s="33">
        <v>3</v>
      </c>
      <c r="CS15" s="33"/>
      <c r="CT15" s="33">
        <v>4</v>
      </c>
      <c r="CU15" s="33"/>
      <c r="CV15" s="33"/>
      <c r="CW15" s="33"/>
      <c r="CX15" s="33"/>
      <c r="CY15" s="33"/>
      <c r="CZ15" s="33">
        <v>18</v>
      </c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4"/>
      <c r="DM15" s="34"/>
      <c r="DN15" s="34"/>
      <c r="DO15" s="33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>
        <v>2</v>
      </c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3"/>
      <c r="ER15" s="33"/>
      <c r="ES15" s="34"/>
      <c r="ET15" s="34"/>
      <c r="EU15" s="34"/>
      <c r="EV15" s="34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</row>
    <row r="16" spans="1:177" x14ac:dyDescent="0.25">
      <c r="A16" s="50" t="str">
        <f t="shared" si="0"/>
        <v>FC_L_2_E_04_2023</v>
      </c>
      <c r="B16" s="26" t="str">
        <f t="shared" si="1"/>
        <v>FC_L_2_E_04</v>
      </c>
      <c r="C16" s="26" t="str">
        <f t="shared" si="2"/>
        <v>FC_2023</v>
      </c>
      <c r="D16" s="27" t="s">
        <v>23</v>
      </c>
      <c r="E16" s="28">
        <v>45109</v>
      </c>
      <c r="F16" s="27">
        <v>2023</v>
      </c>
      <c r="G16" s="27" t="s">
        <v>262</v>
      </c>
      <c r="H16" s="27" t="s">
        <v>263</v>
      </c>
      <c r="I16" s="27">
        <v>4</v>
      </c>
      <c r="J16" s="27" t="s">
        <v>230</v>
      </c>
      <c r="K16" s="27">
        <v>2</v>
      </c>
      <c r="L16" s="27" t="s">
        <v>204</v>
      </c>
      <c r="N16" s="27" t="s">
        <v>264</v>
      </c>
      <c r="O16" s="11">
        <f t="shared" si="3"/>
        <v>100</v>
      </c>
      <c r="P16" s="29">
        <v>95</v>
      </c>
      <c r="Q16" s="29"/>
      <c r="R16" s="29"/>
      <c r="S16" s="29">
        <v>5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30"/>
      <c r="AK16" s="30"/>
      <c r="AL16" s="30"/>
      <c r="AM16" s="30"/>
      <c r="AN16" s="30"/>
      <c r="AO16" s="30"/>
      <c r="AP16" s="31"/>
      <c r="AQ16" s="31">
        <v>2</v>
      </c>
      <c r="AR16" s="31"/>
      <c r="AS16" s="31"/>
      <c r="AT16" s="31"/>
      <c r="AU16" s="31"/>
      <c r="AV16" s="31"/>
      <c r="AW16" s="31">
        <v>3</v>
      </c>
      <c r="AX16" s="31"/>
      <c r="AY16" s="31"/>
      <c r="AZ16" s="31">
        <v>34</v>
      </c>
      <c r="BA16" s="31">
        <v>1</v>
      </c>
      <c r="BB16" s="31"/>
      <c r="BC16" s="31"/>
      <c r="BD16" s="31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3"/>
      <c r="CD16" s="33"/>
      <c r="CE16" s="33"/>
      <c r="CF16" s="33"/>
      <c r="CG16" s="33">
        <v>1</v>
      </c>
      <c r="CH16" s="33"/>
      <c r="CI16" s="33"/>
      <c r="CJ16" s="33"/>
      <c r="CK16" s="33"/>
      <c r="CL16" s="33"/>
      <c r="CM16" s="33">
        <v>2</v>
      </c>
      <c r="CN16" s="33"/>
      <c r="CO16" s="33"/>
      <c r="CP16" s="33"/>
      <c r="CQ16" s="33"/>
      <c r="CR16" s="33">
        <v>16</v>
      </c>
      <c r="CS16" s="33"/>
      <c r="CT16" s="33"/>
      <c r="CU16" s="33"/>
      <c r="CV16" s="33"/>
      <c r="CW16" s="33"/>
      <c r="CX16" s="33"/>
      <c r="CY16" s="33"/>
      <c r="CZ16" s="33"/>
      <c r="DA16" s="33">
        <v>3</v>
      </c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4"/>
      <c r="DM16" s="34"/>
      <c r="DN16" s="34"/>
      <c r="DO16" s="33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>
        <v>19</v>
      </c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3"/>
      <c r="ER16" s="33"/>
      <c r="ES16" s="34"/>
      <c r="ET16" s="34"/>
      <c r="EU16" s="34"/>
      <c r="EV16" s="34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</row>
    <row r="17" spans="1:174" x14ac:dyDescent="0.25">
      <c r="A17" s="50" t="str">
        <f t="shared" si="0"/>
        <v>FC_L_2_E_05_2023</v>
      </c>
      <c r="B17" s="26" t="str">
        <f t="shared" si="1"/>
        <v>FC_L_2_E_05</v>
      </c>
      <c r="C17" s="26" t="str">
        <f t="shared" si="2"/>
        <v>FC_2023</v>
      </c>
      <c r="D17" s="27" t="s">
        <v>23</v>
      </c>
      <c r="E17" s="28">
        <v>45109</v>
      </c>
      <c r="F17" s="27">
        <v>2023</v>
      </c>
      <c r="G17" s="27" t="s">
        <v>263</v>
      </c>
      <c r="H17" s="27" t="s">
        <v>281</v>
      </c>
      <c r="I17" s="27">
        <v>5</v>
      </c>
      <c r="J17" s="27" t="s">
        <v>230</v>
      </c>
      <c r="K17" s="27">
        <v>2</v>
      </c>
      <c r="L17" s="27" t="s">
        <v>204</v>
      </c>
      <c r="N17" s="27" t="s">
        <v>264</v>
      </c>
      <c r="O17" s="67">
        <f t="shared" si="3"/>
        <v>100</v>
      </c>
      <c r="P17" s="29">
        <v>1</v>
      </c>
      <c r="Q17" s="29"/>
      <c r="R17" s="29"/>
      <c r="S17" s="29"/>
      <c r="T17" s="29">
        <v>2</v>
      </c>
      <c r="U17" s="29"/>
      <c r="V17" s="29"/>
      <c r="W17" s="29"/>
      <c r="X17" s="29"/>
      <c r="Y17" s="29">
        <v>1</v>
      </c>
      <c r="Z17" s="29">
        <v>8</v>
      </c>
      <c r="AA17" s="29"/>
      <c r="AB17" s="29"/>
      <c r="AC17" s="29"/>
      <c r="AD17" s="29"/>
      <c r="AE17" s="29">
        <v>7</v>
      </c>
      <c r="AF17" s="29"/>
      <c r="AG17" s="29"/>
      <c r="AH17" s="29">
        <v>80</v>
      </c>
      <c r="AI17" s="29">
        <v>1</v>
      </c>
      <c r="AJ17" s="30"/>
      <c r="AK17" s="30"/>
      <c r="AL17" s="30"/>
      <c r="AM17" s="30"/>
      <c r="AN17" s="30"/>
      <c r="AO17" s="30"/>
      <c r="AP17" s="31"/>
      <c r="AQ17" s="31">
        <v>2</v>
      </c>
      <c r="AR17" s="31"/>
      <c r="AS17" s="31"/>
      <c r="AT17" s="31"/>
      <c r="AU17" s="31"/>
      <c r="AV17" s="31"/>
      <c r="AW17" s="31">
        <v>1</v>
      </c>
      <c r="AX17" s="31"/>
      <c r="AY17" s="31">
        <v>1</v>
      </c>
      <c r="AZ17" s="31">
        <v>10</v>
      </c>
      <c r="BA17" s="31"/>
      <c r="BB17" s="31"/>
      <c r="BC17" s="31"/>
      <c r="BD17" s="31">
        <v>7</v>
      </c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3"/>
      <c r="CD17" s="33"/>
      <c r="CE17" s="33"/>
      <c r="CF17" s="33"/>
      <c r="CG17" s="33"/>
      <c r="CH17" s="33"/>
      <c r="CI17" s="33"/>
      <c r="CJ17" s="33"/>
      <c r="CK17" s="33"/>
      <c r="CL17" s="33">
        <v>2</v>
      </c>
      <c r="CM17" s="33"/>
      <c r="CN17" s="33"/>
      <c r="CO17" s="33"/>
      <c r="CP17" s="33"/>
      <c r="CQ17" s="33">
        <v>2</v>
      </c>
      <c r="CR17" s="33">
        <v>15</v>
      </c>
      <c r="CS17" s="33"/>
      <c r="CT17" s="33">
        <v>4</v>
      </c>
      <c r="CU17" s="33"/>
      <c r="CV17" s="33"/>
      <c r="CW17" s="33"/>
      <c r="CX17" s="33"/>
      <c r="CY17" s="33"/>
      <c r="CZ17" s="33">
        <v>2</v>
      </c>
      <c r="DA17" s="33">
        <v>3</v>
      </c>
      <c r="DB17" s="33"/>
      <c r="DC17" s="33"/>
      <c r="DD17" s="33">
        <v>1</v>
      </c>
      <c r="DE17" s="33"/>
      <c r="DF17" s="33"/>
      <c r="DG17" s="33"/>
      <c r="DH17" s="33"/>
      <c r="DI17" s="33"/>
      <c r="DJ17" s="33"/>
      <c r="DK17" s="33"/>
      <c r="DL17" s="34"/>
      <c r="DM17" s="34"/>
      <c r="DN17" s="34"/>
      <c r="DO17" s="33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>
        <v>6</v>
      </c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3"/>
      <c r="ER17" s="33"/>
      <c r="ES17" s="34"/>
      <c r="ET17" s="34"/>
      <c r="EU17" s="34"/>
      <c r="EV17" s="34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</row>
    <row r="18" spans="1:174" x14ac:dyDescent="0.25">
      <c r="A18" s="50" t="str">
        <f t="shared" si="0"/>
        <v>FC_L_2_E_07_2023</v>
      </c>
      <c r="B18" s="26" t="str">
        <f t="shared" si="1"/>
        <v>FC_L_2_E_07</v>
      </c>
      <c r="C18" s="26" t="str">
        <f t="shared" si="2"/>
        <v>FC_2023</v>
      </c>
      <c r="D18" s="27" t="s">
        <v>23</v>
      </c>
      <c r="E18" s="28">
        <v>45122</v>
      </c>
      <c r="F18" s="27">
        <v>2023</v>
      </c>
      <c r="G18" s="27" t="s">
        <v>262</v>
      </c>
      <c r="H18" s="27" t="s">
        <v>276</v>
      </c>
      <c r="I18" s="27">
        <v>7</v>
      </c>
      <c r="J18" s="27" t="s">
        <v>230</v>
      </c>
      <c r="K18" s="27">
        <v>2</v>
      </c>
      <c r="L18" s="27" t="s">
        <v>204</v>
      </c>
      <c r="N18" s="27" t="s">
        <v>264</v>
      </c>
      <c r="O18" s="11">
        <f t="shared" si="3"/>
        <v>97.4</v>
      </c>
      <c r="P18" s="29">
        <v>16</v>
      </c>
      <c r="Q18" s="29"/>
      <c r="R18" s="29"/>
      <c r="S18" s="29">
        <v>5</v>
      </c>
      <c r="T18" s="29">
        <v>0.1</v>
      </c>
      <c r="U18" s="29"/>
      <c r="V18" s="29"/>
      <c r="W18" s="29"/>
      <c r="X18" s="29"/>
      <c r="Y18" s="29"/>
      <c r="Z18" s="29">
        <v>6</v>
      </c>
      <c r="AA18" s="29"/>
      <c r="AB18" s="29"/>
      <c r="AC18" s="29"/>
      <c r="AD18" s="29"/>
      <c r="AE18" s="29"/>
      <c r="AF18" s="29">
        <v>0.1</v>
      </c>
      <c r="AG18" s="29">
        <v>0.1</v>
      </c>
      <c r="AH18" s="29">
        <v>65</v>
      </c>
      <c r="AI18" s="29">
        <v>5</v>
      </c>
      <c r="AJ18" s="30"/>
      <c r="AK18" s="30"/>
      <c r="AL18" s="30"/>
      <c r="AM18" s="30"/>
      <c r="AN18" s="30"/>
      <c r="AO18" s="30">
        <v>0.1</v>
      </c>
      <c r="AP18" s="31">
        <v>1</v>
      </c>
      <c r="AQ18" s="31"/>
      <c r="AR18" s="31"/>
      <c r="AS18" s="31"/>
      <c r="AT18" s="31"/>
      <c r="AU18" s="31"/>
      <c r="AV18" s="31"/>
      <c r="AW18" s="31">
        <v>2</v>
      </c>
      <c r="AX18" s="31"/>
      <c r="AY18" s="31"/>
      <c r="AZ18" s="31">
        <v>25</v>
      </c>
      <c r="BA18" s="31"/>
      <c r="BB18" s="31"/>
      <c r="BC18" s="31"/>
      <c r="BD18" s="31">
        <v>3</v>
      </c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3"/>
      <c r="CD18" s="33"/>
      <c r="CE18" s="33"/>
      <c r="CF18" s="33">
        <v>1</v>
      </c>
      <c r="CG18" s="33"/>
      <c r="CH18" s="33"/>
      <c r="CI18" s="33">
        <v>14</v>
      </c>
      <c r="CJ18" s="33"/>
      <c r="CK18" s="33"/>
      <c r="CL18" s="33">
        <v>5</v>
      </c>
      <c r="CM18" s="33"/>
      <c r="CN18" s="33"/>
      <c r="CO18" s="33"/>
      <c r="CP18" s="33"/>
      <c r="CQ18" s="33">
        <v>3</v>
      </c>
      <c r="CR18" s="33">
        <v>16</v>
      </c>
      <c r="CS18" s="33"/>
      <c r="CT18" s="33">
        <v>12</v>
      </c>
      <c r="CU18" s="33"/>
      <c r="CV18" s="33"/>
      <c r="CW18" s="33"/>
      <c r="CX18" s="33"/>
      <c r="CY18" s="33"/>
      <c r="CZ18" s="33"/>
      <c r="DA18" s="33">
        <v>4</v>
      </c>
      <c r="DB18" s="33"/>
      <c r="DC18" s="33"/>
      <c r="DD18" s="33"/>
      <c r="DE18" s="33"/>
      <c r="DF18" s="33"/>
      <c r="DG18" s="33">
        <v>3</v>
      </c>
      <c r="DH18" s="33"/>
      <c r="DI18" s="33"/>
      <c r="DJ18" s="33"/>
      <c r="DK18" s="33">
        <v>0.1</v>
      </c>
      <c r="DL18" s="34"/>
      <c r="DM18" s="34"/>
      <c r="DN18" s="34"/>
      <c r="DO18" s="33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>
        <v>18</v>
      </c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3"/>
      <c r="ER18" s="33"/>
      <c r="ES18" s="34"/>
      <c r="ET18" s="34"/>
      <c r="EU18" s="34"/>
      <c r="EV18" s="34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R18" s="37">
        <v>1</v>
      </c>
    </row>
    <row r="19" spans="1:174" x14ac:dyDescent="0.25">
      <c r="A19" s="50" t="str">
        <f t="shared" si="0"/>
        <v>FC_L_2_E_08_2023</v>
      </c>
      <c r="B19" s="26" t="str">
        <f t="shared" si="1"/>
        <v>FC_L_2_E_08</v>
      </c>
      <c r="C19" s="26" t="str">
        <f t="shared" si="2"/>
        <v>FC_2023</v>
      </c>
      <c r="D19" s="27" t="s">
        <v>23</v>
      </c>
      <c r="E19" s="28">
        <v>45122</v>
      </c>
      <c r="F19" s="27">
        <v>2023</v>
      </c>
      <c r="G19" s="27" t="s">
        <v>262</v>
      </c>
      <c r="H19" s="27" t="s">
        <v>276</v>
      </c>
      <c r="I19" s="27">
        <v>8</v>
      </c>
      <c r="J19" s="27" t="s">
        <v>230</v>
      </c>
      <c r="K19" s="27">
        <v>2</v>
      </c>
      <c r="L19" s="27" t="s">
        <v>204</v>
      </c>
      <c r="N19" s="27" t="s">
        <v>264</v>
      </c>
      <c r="O19" s="11">
        <f t="shared" si="3"/>
        <v>99</v>
      </c>
      <c r="P19" s="29">
        <v>17</v>
      </c>
      <c r="Q19" s="29"/>
      <c r="R19" s="29"/>
      <c r="S19" s="29">
        <v>5</v>
      </c>
      <c r="T19" s="29"/>
      <c r="U19" s="29"/>
      <c r="V19" s="29"/>
      <c r="W19" s="29"/>
      <c r="X19" s="29"/>
      <c r="Y19" s="29"/>
      <c r="Z19" s="29">
        <v>5</v>
      </c>
      <c r="AA19" s="29"/>
      <c r="AB19" s="29"/>
      <c r="AC19" s="29"/>
      <c r="AD19" s="29"/>
      <c r="AE19" s="29"/>
      <c r="AF19" s="29"/>
      <c r="AG19" s="29"/>
      <c r="AH19" s="29">
        <v>64</v>
      </c>
      <c r="AI19" s="29">
        <v>8</v>
      </c>
      <c r="AJ19" s="30"/>
      <c r="AK19" s="30"/>
      <c r="AL19" s="30"/>
      <c r="AM19" s="30"/>
      <c r="AN19" s="30"/>
      <c r="AO19" s="30"/>
      <c r="AP19" s="31"/>
      <c r="AQ19" s="31"/>
      <c r="AR19" s="31"/>
      <c r="AS19" s="31"/>
      <c r="AT19" s="31"/>
      <c r="AU19" s="31"/>
      <c r="AV19" s="31"/>
      <c r="AW19" s="31">
        <v>1</v>
      </c>
      <c r="AX19" s="31"/>
      <c r="AY19" s="31"/>
      <c r="AZ19" s="31">
        <v>20</v>
      </c>
      <c r="BA19" s="31"/>
      <c r="BB19" s="31"/>
      <c r="BC19" s="31"/>
      <c r="BD19" s="31">
        <v>2</v>
      </c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3"/>
      <c r="CD19" s="33"/>
      <c r="CE19" s="33"/>
      <c r="CF19" s="33"/>
      <c r="CG19" s="33"/>
      <c r="CH19" s="33"/>
      <c r="CI19" s="33"/>
      <c r="CJ19" s="33"/>
      <c r="CK19" s="33"/>
      <c r="CL19" s="33">
        <v>8</v>
      </c>
      <c r="CM19" s="33"/>
      <c r="CN19" s="33"/>
      <c r="CO19" s="33"/>
      <c r="CP19" s="33">
        <v>15</v>
      </c>
      <c r="CQ19" s="33"/>
      <c r="CR19" s="33">
        <v>25</v>
      </c>
      <c r="CS19" s="33"/>
      <c r="CT19" s="33">
        <v>13</v>
      </c>
      <c r="CU19" s="33"/>
      <c r="CV19" s="33"/>
      <c r="CW19" s="33"/>
      <c r="CX19" s="33">
        <v>2</v>
      </c>
      <c r="CY19" s="33"/>
      <c r="CZ19" s="33"/>
      <c r="DA19" s="33">
        <v>16</v>
      </c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4"/>
      <c r="DM19" s="34"/>
      <c r="DN19" s="34"/>
      <c r="DO19" s="33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>
        <v>11</v>
      </c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3"/>
      <c r="ER19" s="33"/>
      <c r="ES19" s="34"/>
      <c r="ET19" s="34"/>
      <c r="EU19" s="34"/>
      <c r="EV19" s="34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</row>
    <row r="20" spans="1:174" x14ac:dyDescent="0.25">
      <c r="A20" s="50" t="str">
        <f t="shared" si="0"/>
        <v>FC_L_2_E_09_2023</v>
      </c>
      <c r="B20" s="26" t="str">
        <f t="shared" si="1"/>
        <v>FC_L_2_E_09</v>
      </c>
      <c r="C20" s="26" t="str">
        <f t="shared" si="2"/>
        <v>FC_2023</v>
      </c>
      <c r="D20" s="27" t="s">
        <v>23</v>
      </c>
      <c r="E20" s="28">
        <v>45122</v>
      </c>
      <c r="F20" s="27">
        <v>2023</v>
      </c>
      <c r="G20" s="27" t="s">
        <v>262</v>
      </c>
      <c r="H20" s="27" t="s">
        <v>276</v>
      </c>
      <c r="I20" s="27">
        <v>9</v>
      </c>
      <c r="J20" s="27" t="s">
        <v>230</v>
      </c>
      <c r="K20" s="27">
        <v>2</v>
      </c>
      <c r="L20" s="27" t="s">
        <v>204</v>
      </c>
      <c r="N20" s="27" t="s">
        <v>264</v>
      </c>
      <c r="O20" s="11">
        <f t="shared" si="3"/>
        <v>100.1</v>
      </c>
      <c r="P20" s="29">
        <v>12</v>
      </c>
      <c r="Q20" s="29"/>
      <c r="R20" s="29"/>
      <c r="S20" s="29">
        <v>9</v>
      </c>
      <c r="T20" s="29"/>
      <c r="U20" s="29"/>
      <c r="V20" s="29"/>
      <c r="W20" s="29"/>
      <c r="X20" s="29"/>
      <c r="Y20" s="29"/>
      <c r="Z20" s="29">
        <v>1</v>
      </c>
      <c r="AA20" s="29"/>
      <c r="AB20" s="29"/>
      <c r="AC20" s="29"/>
      <c r="AD20" s="29">
        <v>7</v>
      </c>
      <c r="AE20" s="29"/>
      <c r="AF20" s="29">
        <v>0.1</v>
      </c>
      <c r="AG20" s="29"/>
      <c r="AH20" s="29">
        <v>68</v>
      </c>
      <c r="AI20" s="29">
        <v>3</v>
      </c>
      <c r="AJ20" s="30"/>
      <c r="AK20" s="30"/>
      <c r="AL20" s="30"/>
      <c r="AM20" s="30"/>
      <c r="AN20" s="30"/>
      <c r="AO20" s="30"/>
      <c r="AP20" s="31"/>
      <c r="AQ20" s="31"/>
      <c r="AR20" s="31"/>
      <c r="AS20" s="31"/>
      <c r="AT20" s="31"/>
      <c r="AU20" s="31"/>
      <c r="AV20" s="31"/>
      <c r="AW20" s="31">
        <v>1</v>
      </c>
      <c r="AX20" s="31"/>
      <c r="AY20" s="31"/>
      <c r="AZ20" s="31">
        <v>23</v>
      </c>
      <c r="BA20" s="31"/>
      <c r="BB20" s="31"/>
      <c r="BC20" s="31"/>
      <c r="BD20" s="31">
        <v>1</v>
      </c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3"/>
      <c r="CD20" s="33"/>
      <c r="CE20" s="33"/>
      <c r="CF20" s="33"/>
      <c r="CG20" s="33"/>
      <c r="CH20" s="33"/>
      <c r="CI20" s="33"/>
      <c r="CJ20" s="33"/>
      <c r="CK20" s="33">
        <v>22</v>
      </c>
      <c r="CL20" s="33">
        <v>3</v>
      </c>
      <c r="CM20" s="33"/>
      <c r="CN20" s="33"/>
      <c r="CO20" s="33"/>
      <c r="CP20" s="33"/>
      <c r="CQ20" s="33">
        <v>3</v>
      </c>
      <c r="CR20" s="33">
        <v>22</v>
      </c>
      <c r="CS20" s="33"/>
      <c r="CT20" s="33"/>
      <c r="CU20" s="33"/>
      <c r="CV20" s="33"/>
      <c r="CW20" s="33"/>
      <c r="CX20" s="33">
        <v>5</v>
      </c>
      <c r="CY20" s="33"/>
      <c r="CZ20" s="33"/>
      <c r="DA20" s="33">
        <v>15</v>
      </c>
      <c r="DB20" s="33"/>
      <c r="DC20" s="33"/>
      <c r="DD20" s="33">
        <v>7</v>
      </c>
      <c r="DE20" s="33"/>
      <c r="DF20" s="33"/>
      <c r="DG20" s="33"/>
      <c r="DH20" s="33"/>
      <c r="DI20" s="33"/>
      <c r="DJ20" s="33">
        <v>2</v>
      </c>
      <c r="DK20" s="33"/>
      <c r="DL20" s="34"/>
      <c r="DM20" s="34"/>
      <c r="DN20" s="34"/>
      <c r="DO20" s="33"/>
      <c r="DP20" s="34"/>
      <c r="DQ20" s="34"/>
      <c r="DR20" s="34"/>
      <c r="DS20" s="34"/>
      <c r="DT20" s="34"/>
      <c r="DU20" s="34"/>
      <c r="DV20" s="34"/>
      <c r="DW20" s="34"/>
      <c r="DX20" s="34"/>
      <c r="DY20" s="34">
        <v>3</v>
      </c>
      <c r="DZ20" s="34"/>
      <c r="EA20" s="34"/>
      <c r="EB20" s="34">
        <v>8</v>
      </c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3"/>
      <c r="ER20" s="33"/>
      <c r="ES20" s="34"/>
      <c r="ET20" s="34"/>
      <c r="EU20" s="34"/>
      <c r="EV20" s="34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</row>
    <row r="21" spans="1:174" x14ac:dyDescent="0.25">
      <c r="A21" s="50" t="str">
        <f t="shared" si="0"/>
        <v>FC_L_2_E_10_2023</v>
      </c>
      <c r="B21" s="26" t="str">
        <f t="shared" si="1"/>
        <v>FC_L_2_E_10</v>
      </c>
      <c r="C21" s="26" t="str">
        <f t="shared" si="2"/>
        <v>FC_2023</v>
      </c>
      <c r="D21" s="27" t="s">
        <v>23</v>
      </c>
      <c r="E21" s="28">
        <v>45122</v>
      </c>
      <c r="F21" s="27">
        <v>2023</v>
      </c>
      <c r="G21" s="27" t="s">
        <v>262</v>
      </c>
      <c r="H21" s="27" t="s">
        <v>276</v>
      </c>
      <c r="I21" s="27">
        <v>10</v>
      </c>
      <c r="J21" s="27" t="s">
        <v>230</v>
      </c>
      <c r="K21" s="27">
        <v>2</v>
      </c>
      <c r="L21" s="27" t="s">
        <v>204</v>
      </c>
      <c r="N21" s="27" t="s">
        <v>264</v>
      </c>
      <c r="O21" s="11">
        <f t="shared" si="3"/>
        <v>100</v>
      </c>
      <c r="P21" s="29">
        <v>7</v>
      </c>
      <c r="Q21" s="29"/>
      <c r="R21" s="29">
        <v>5</v>
      </c>
      <c r="S21" s="29">
        <v>3</v>
      </c>
      <c r="T21" s="29">
        <v>3</v>
      </c>
      <c r="U21" s="29"/>
      <c r="V21" s="29"/>
      <c r="W21" s="29">
        <v>1</v>
      </c>
      <c r="X21" s="29"/>
      <c r="Y21" s="29"/>
      <c r="Z21" s="29"/>
      <c r="AA21" s="29"/>
      <c r="AB21" s="29">
        <v>2</v>
      </c>
      <c r="AC21" s="29"/>
      <c r="AD21" s="29"/>
      <c r="AE21" s="29">
        <v>1</v>
      </c>
      <c r="AF21" s="29">
        <v>1</v>
      </c>
      <c r="AG21" s="29"/>
      <c r="AH21" s="29">
        <v>75</v>
      </c>
      <c r="AI21" s="29">
        <v>2</v>
      </c>
      <c r="AJ21" s="30"/>
      <c r="AK21" s="30"/>
      <c r="AL21" s="30"/>
      <c r="AM21" s="30"/>
      <c r="AN21" s="30"/>
      <c r="AO21" s="30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>
        <v>12</v>
      </c>
      <c r="BA21" s="31"/>
      <c r="BB21" s="31"/>
      <c r="BC21" s="31"/>
      <c r="BD21" s="31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3"/>
      <c r="CD21" s="33"/>
      <c r="CE21" s="33"/>
      <c r="CF21" s="33">
        <v>6</v>
      </c>
      <c r="CG21" s="33"/>
      <c r="CH21" s="33"/>
      <c r="CI21" s="33"/>
      <c r="CJ21" s="33"/>
      <c r="CK21" s="33"/>
      <c r="CL21" s="33">
        <v>2</v>
      </c>
      <c r="CM21" s="33"/>
      <c r="CN21" s="33"/>
      <c r="CO21" s="33"/>
      <c r="CP21" s="33"/>
      <c r="CQ21" s="33">
        <v>2</v>
      </c>
      <c r="CR21" s="33">
        <v>10</v>
      </c>
      <c r="CS21" s="33"/>
      <c r="CT21" s="33"/>
      <c r="CU21" s="33"/>
      <c r="CV21" s="33"/>
      <c r="CW21" s="33"/>
      <c r="CX21" s="33">
        <v>3</v>
      </c>
      <c r="CY21" s="33"/>
      <c r="CZ21" s="33">
        <v>12</v>
      </c>
      <c r="DA21" s="33">
        <v>28</v>
      </c>
      <c r="DB21" s="33"/>
      <c r="DC21" s="33"/>
      <c r="DD21" s="33"/>
      <c r="DE21" s="33"/>
      <c r="DF21" s="33"/>
      <c r="DG21" s="33">
        <v>2</v>
      </c>
      <c r="DH21" s="33"/>
      <c r="DI21" s="33"/>
      <c r="DJ21" s="33"/>
      <c r="DK21" s="33"/>
      <c r="DL21" s="34"/>
      <c r="DM21" s="34"/>
      <c r="DN21" s="34"/>
      <c r="DO21" s="33"/>
      <c r="DP21" s="34"/>
      <c r="DQ21" s="34"/>
      <c r="DR21" s="34"/>
      <c r="DS21" s="34"/>
      <c r="DT21" s="34"/>
      <c r="DU21" s="34"/>
      <c r="DV21" s="34"/>
      <c r="DW21" s="34"/>
      <c r="DX21" s="34"/>
      <c r="DY21" s="34">
        <v>11</v>
      </c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3"/>
      <c r="ER21" s="33"/>
      <c r="ES21" s="34"/>
      <c r="ET21" s="34"/>
      <c r="EU21" s="34"/>
      <c r="EV21" s="34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</row>
    <row r="22" spans="1:174" x14ac:dyDescent="0.25">
      <c r="A22" s="50" t="str">
        <f t="shared" si="0"/>
        <v>FC_L_3_E_01_2023</v>
      </c>
      <c r="B22" s="26" t="str">
        <f t="shared" si="1"/>
        <v>FC_L_3_E_01</v>
      </c>
      <c r="C22" s="26" t="str">
        <f t="shared" si="2"/>
        <v>FC_2023</v>
      </c>
      <c r="D22" s="27" t="s">
        <v>23</v>
      </c>
      <c r="E22" s="28">
        <v>45109</v>
      </c>
      <c r="F22" s="27">
        <v>2023</v>
      </c>
      <c r="G22" s="27" t="s">
        <v>262</v>
      </c>
      <c r="H22" s="27" t="s">
        <v>277</v>
      </c>
      <c r="I22" s="27">
        <v>1</v>
      </c>
      <c r="J22" s="27" t="s">
        <v>230</v>
      </c>
      <c r="K22" s="27">
        <v>3</v>
      </c>
      <c r="L22" s="27" t="s">
        <v>204</v>
      </c>
      <c r="N22" s="27" t="s">
        <v>264</v>
      </c>
      <c r="O22" s="11">
        <f t="shared" si="3"/>
        <v>100</v>
      </c>
      <c r="P22" s="29">
        <v>8</v>
      </c>
      <c r="Q22" s="29"/>
      <c r="R22" s="29"/>
      <c r="S22" s="29">
        <v>18</v>
      </c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>
        <v>27</v>
      </c>
      <c r="AF22" s="29"/>
      <c r="AG22" s="29"/>
      <c r="AH22" s="29">
        <v>17</v>
      </c>
      <c r="AI22" s="29">
        <v>30</v>
      </c>
      <c r="AJ22" s="30"/>
      <c r="AK22" s="30"/>
      <c r="AL22" s="30"/>
      <c r="AM22" s="30"/>
      <c r="AN22" s="30"/>
      <c r="AO22" s="30"/>
      <c r="AP22" s="31"/>
      <c r="AQ22" s="31"/>
      <c r="AR22" s="31"/>
      <c r="AS22" s="31"/>
      <c r="AT22" s="31"/>
      <c r="AU22" s="31"/>
      <c r="AV22" s="31">
        <v>5</v>
      </c>
      <c r="AW22" s="31">
        <v>7</v>
      </c>
      <c r="AX22" s="31"/>
      <c r="AY22" s="31"/>
      <c r="AZ22" s="31">
        <v>7</v>
      </c>
      <c r="BA22" s="31">
        <v>1</v>
      </c>
      <c r="BB22" s="31"/>
      <c r="BC22" s="31"/>
      <c r="BD22" s="31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3"/>
      <c r="CD22" s="33"/>
      <c r="CE22" s="33"/>
      <c r="CF22" s="33">
        <v>90</v>
      </c>
      <c r="CG22" s="33"/>
      <c r="CH22" s="33"/>
      <c r="CI22" s="33"/>
      <c r="CJ22" s="33"/>
      <c r="CK22" s="33"/>
      <c r="CL22" s="33"/>
      <c r="CM22" s="33">
        <v>26</v>
      </c>
      <c r="CN22" s="33"/>
      <c r="CO22" s="33"/>
      <c r="CP22" s="33"/>
      <c r="CQ22" s="33"/>
      <c r="CR22" s="33"/>
      <c r="CS22" s="33"/>
      <c r="CT22" s="33"/>
      <c r="CU22" s="33"/>
      <c r="CV22" s="33"/>
      <c r="CW22" s="33">
        <v>7</v>
      </c>
      <c r="CX22" s="33">
        <v>14</v>
      </c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4"/>
      <c r="DM22" s="34"/>
      <c r="DN22" s="34"/>
      <c r="DO22" s="33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3"/>
      <c r="ER22" s="33"/>
      <c r="ES22" s="34"/>
      <c r="ET22" s="34"/>
      <c r="EU22" s="34"/>
      <c r="EV22" s="34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</row>
    <row r="23" spans="1:174" x14ac:dyDescent="0.25">
      <c r="A23" s="50" t="str">
        <f t="shared" si="0"/>
        <v>FC_L_3_E_02_2023</v>
      </c>
      <c r="B23" s="26" t="str">
        <f t="shared" si="1"/>
        <v>FC_L_3_E_02</v>
      </c>
      <c r="C23" s="26" t="str">
        <f t="shared" si="2"/>
        <v>FC_2023</v>
      </c>
      <c r="D23" s="27" t="s">
        <v>23</v>
      </c>
      <c r="E23" s="28">
        <v>45109</v>
      </c>
      <c r="F23" s="27">
        <v>2023</v>
      </c>
      <c r="G23" s="27" t="s">
        <v>262</v>
      </c>
      <c r="H23" s="27" t="s">
        <v>263</v>
      </c>
      <c r="I23" s="27">
        <v>2</v>
      </c>
      <c r="J23" s="27" t="s">
        <v>230</v>
      </c>
      <c r="K23" s="27">
        <v>3</v>
      </c>
      <c r="L23" s="27" t="s">
        <v>204</v>
      </c>
      <c r="N23" s="27" t="s">
        <v>264</v>
      </c>
      <c r="O23" s="11">
        <f t="shared" si="3"/>
        <v>100</v>
      </c>
      <c r="P23" s="29">
        <v>96</v>
      </c>
      <c r="Q23" s="29"/>
      <c r="R23" s="29"/>
      <c r="S23" s="29">
        <v>4</v>
      </c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30"/>
      <c r="AK23" s="30"/>
      <c r="AL23" s="30"/>
      <c r="AM23" s="30"/>
      <c r="AN23" s="30"/>
      <c r="AO23" s="30"/>
      <c r="AP23" s="31"/>
      <c r="AQ23" s="31">
        <v>1</v>
      </c>
      <c r="AR23" s="31"/>
      <c r="AS23" s="31"/>
      <c r="AT23" s="31"/>
      <c r="AU23" s="31"/>
      <c r="AV23" s="31"/>
      <c r="AW23" s="31"/>
      <c r="AX23" s="31"/>
      <c r="AY23" s="31"/>
      <c r="AZ23" s="31">
        <v>37</v>
      </c>
      <c r="BA23" s="31">
        <v>1</v>
      </c>
      <c r="BB23" s="31"/>
      <c r="BC23" s="31"/>
      <c r="BD23" s="31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3"/>
      <c r="CD23" s="33"/>
      <c r="CE23" s="33"/>
      <c r="CF23" s="33"/>
      <c r="CG23" s="33">
        <v>0.1</v>
      </c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>
        <v>7</v>
      </c>
      <c r="CS23" s="33"/>
      <c r="CT23" s="33"/>
      <c r="CU23" s="33"/>
      <c r="CV23" s="33">
        <v>1</v>
      </c>
      <c r="CW23" s="33">
        <v>0.1</v>
      </c>
      <c r="CX23" s="33"/>
      <c r="CY23" s="33"/>
      <c r="CZ23" s="33">
        <v>0.1</v>
      </c>
      <c r="DA23" s="33">
        <v>27</v>
      </c>
      <c r="DB23" s="33"/>
      <c r="DC23" s="33"/>
      <c r="DD23" s="33">
        <v>3</v>
      </c>
      <c r="DE23" s="33"/>
      <c r="DF23" s="33"/>
      <c r="DG23" s="33"/>
      <c r="DH23" s="33"/>
      <c r="DI23" s="33"/>
      <c r="DJ23" s="33"/>
      <c r="DK23" s="33">
        <v>0.1</v>
      </c>
      <c r="DL23" s="34"/>
      <c r="DM23" s="34"/>
      <c r="DN23" s="34"/>
      <c r="DO23" s="33"/>
      <c r="DP23" s="34"/>
      <c r="DQ23" s="34"/>
      <c r="DR23" s="34"/>
      <c r="DS23" s="34"/>
      <c r="DT23" s="34"/>
      <c r="DU23" s="34"/>
      <c r="DV23" s="34"/>
      <c r="DW23" s="34"/>
      <c r="DX23" s="34"/>
      <c r="DY23" s="34">
        <v>3</v>
      </c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3"/>
      <c r="ER23" s="33"/>
      <c r="ES23" s="34"/>
      <c r="ET23" s="34"/>
      <c r="EU23" s="34"/>
      <c r="EV23" s="34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</row>
    <row r="24" spans="1:174" x14ac:dyDescent="0.25">
      <c r="A24" s="50" t="str">
        <f t="shared" si="0"/>
        <v>FC_L_3_E_03_2023</v>
      </c>
      <c r="B24" s="26" t="str">
        <f t="shared" si="1"/>
        <v>FC_L_3_E_03</v>
      </c>
      <c r="C24" s="26" t="str">
        <f t="shared" si="2"/>
        <v>FC_2023</v>
      </c>
      <c r="D24" s="27" t="s">
        <v>23</v>
      </c>
      <c r="E24" s="28">
        <v>45109</v>
      </c>
      <c r="F24" s="27">
        <v>2023</v>
      </c>
      <c r="G24" s="27" t="s">
        <v>263</v>
      </c>
      <c r="H24" s="27" t="s">
        <v>281</v>
      </c>
      <c r="I24" s="27">
        <v>3</v>
      </c>
      <c r="J24" s="27" t="s">
        <v>230</v>
      </c>
      <c r="K24" s="27">
        <v>3</v>
      </c>
      <c r="L24" s="27" t="s">
        <v>204</v>
      </c>
      <c r="N24" s="27" t="s">
        <v>264</v>
      </c>
      <c r="O24" s="67">
        <f t="shared" si="3"/>
        <v>100</v>
      </c>
      <c r="P24" s="29">
        <v>2</v>
      </c>
      <c r="Q24" s="29"/>
      <c r="R24" s="29">
        <v>2</v>
      </c>
      <c r="S24" s="29">
        <v>6</v>
      </c>
      <c r="T24" s="29"/>
      <c r="U24" s="29"/>
      <c r="V24" s="29"/>
      <c r="W24" s="29"/>
      <c r="X24" s="29"/>
      <c r="Y24" s="29">
        <v>1</v>
      </c>
      <c r="Z24" s="29"/>
      <c r="AA24" s="29"/>
      <c r="AB24" s="29"/>
      <c r="AC24" s="29"/>
      <c r="AD24" s="29"/>
      <c r="AE24" s="29"/>
      <c r="AF24" s="29"/>
      <c r="AG24" s="29"/>
      <c r="AH24" s="29">
        <v>86</v>
      </c>
      <c r="AI24" s="29">
        <v>3</v>
      </c>
      <c r="AJ24" s="30"/>
      <c r="AK24" s="30"/>
      <c r="AL24" s="30"/>
      <c r="AM24" s="30"/>
      <c r="AN24" s="30"/>
      <c r="AO24" s="30"/>
      <c r="AP24" s="31"/>
      <c r="AQ24" s="31">
        <v>1</v>
      </c>
      <c r="AR24" s="31">
        <v>1</v>
      </c>
      <c r="AS24" s="31"/>
      <c r="AT24" s="31"/>
      <c r="AU24" s="31"/>
      <c r="AV24" s="31">
        <v>1</v>
      </c>
      <c r="AW24" s="31"/>
      <c r="AX24" s="31"/>
      <c r="AY24" s="31"/>
      <c r="AZ24" s="31">
        <v>14</v>
      </c>
      <c r="BA24" s="31"/>
      <c r="BB24" s="31"/>
      <c r="BC24" s="31"/>
      <c r="BD24" s="31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3"/>
      <c r="CD24" s="33"/>
      <c r="CE24" s="33"/>
      <c r="CF24" s="33">
        <v>64</v>
      </c>
      <c r="CG24" s="33"/>
      <c r="CH24" s="33"/>
      <c r="CI24" s="33"/>
      <c r="CJ24" s="33"/>
      <c r="CK24" s="33"/>
      <c r="CL24" s="33">
        <v>9</v>
      </c>
      <c r="CM24" s="33"/>
      <c r="CN24" s="33"/>
      <c r="CO24" s="33"/>
      <c r="CP24" s="33"/>
      <c r="CQ24" s="33"/>
      <c r="CR24" s="33">
        <v>5</v>
      </c>
      <c r="CS24" s="33"/>
      <c r="CT24" s="33">
        <v>6</v>
      </c>
      <c r="CU24" s="33"/>
      <c r="CV24" s="33"/>
      <c r="CW24" s="33"/>
      <c r="CX24" s="33"/>
      <c r="CY24" s="33"/>
      <c r="CZ24" s="33">
        <v>7</v>
      </c>
      <c r="DA24" s="33">
        <v>9</v>
      </c>
      <c r="DB24" s="33"/>
      <c r="DC24" s="33"/>
      <c r="DD24" s="33">
        <v>2</v>
      </c>
      <c r="DE24" s="33"/>
      <c r="DF24" s="33"/>
      <c r="DG24" s="33"/>
      <c r="DH24" s="33"/>
      <c r="DI24" s="33"/>
      <c r="DJ24" s="33"/>
      <c r="DK24" s="33"/>
      <c r="DL24" s="34"/>
      <c r="DM24" s="34"/>
      <c r="DN24" s="34"/>
      <c r="DO24" s="33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3"/>
      <c r="ER24" s="33"/>
      <c r="ES24" s="34"/>
      <c r="ET24" s="34"/>
      <c r="EU24" s="34"/>
      <c r="EV24" s="34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</row>
    <row r="25" spans="1:174" x14ac:dyDescent="0.25">
      <c r="A25" s="50" t="str">
        <f t="shared" si="0"/>
        <v>FC_L_3_E_04_2023</v>
      </c>
      <c r="B25" s="26" t="str">
        <f t="shared" si="1"/>
        <v>FC_L_3_E_04</v>
      </c>
      <c r="C25" s="26" t="str">
        <f t="shared" si="2"/>
        <v>FC_2023</v>
      </c>
      <c r="D25" s="27" t="s">
        <v>23</v>
      </c>
      <c r="E25" s="28">
        <v>45109</v>
      </c>
      <c r="F25" s="27">
        <v>2023</v>
      </c>
      <c r="G25" s="27" t="s">
        <v>262</v>
      </c>
      <c r="H25" s="27" t="s">
        <v>277</v>
      </c>
      <c r="I25" s="27">
        <v>4</v>
      </c>
      <c r="J25" s="27" t="s">
        <v>230</v>
      </c>
      <c r="K25" s="27">
        <v>3</v>
      </c>
      <c r="L25" s="27" t="s">
        <v>204</v>
      </c>
      <c r="N25" s="27" t="s">
        <v>264</v>
      </c>
      <c r="O25" s="11">
        <f t="shared" si="3"/>
        <v>100</v>
      </c>
      <c r="P25" s="29">
        <v>5</v>
      </c>
      <c r="Q25" s="29"/>
      <c r="R25" s="29">
        <v>5</v>
      </c>
      <c r="S25" s="29"/>
      <c r="T25" s="29">
        <v>19</v>
      </c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>
        <v>16</v>
      </c>
      <c r="AG25" s="29"/>
      <c r="AH25" s="29">
        <v>45</v>
      </c>
      <c r="AI25" s="29">
        <v>10</v>
      </c>
      <c r="AJ25" s="30"/>
      <c r="AK25" s="30"/>
      <c r="AL25" s="30"/>
      <c r="AM25" s="30"/>
      <c r="AN25" s="30"/>
      <c r="AO25" s="30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>
        <v>29</v>
      </c>
      <c r="BA25" s="31"/>
      <c r="BB25" s="31"/>
      <c r="BC25" s="31"/>
      <c r="BD25" s="31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3"/>
      <c r="CD25" s="33"/>
      <c r="CE25" s="33"/>
      <c r="CF25" s="33"/>
      <c r="CG25" s="33"/>
      <c r="CH25" s="33"/>
      <c r="CI25" s="33"/>
      <c r="CJ25" s="33"/>
      <c r="CK25" s="33"/>
      <c r="CL25" s="33">
        <v>5</v>
      </c>
      <c r="CM25" s="33"/>
      <c r="CN25" s="33"/>
      <c r="CO25" s="33"/>
      <c r="CP25" s="33">
        <v>3</v>
      </c>
      <c r="CQ25" s="33"/>
      <c r="CR25" s="33"/>
      <c r="CS25" s="33"/>
      <c r="CT25" s="33"/>
      <c r="CU25" s="33"/>
      <c r="CV25" s="33"/>
      <c r="CW25" s="33"/>
      <c r="CX25" s="33">
        <v>25</v>
      </c>
      <c r="CY25" s="33"/>
      <c r="CZ25" s="33"/>
      <c r="DA25" s="33">
        <v>23</v>
      </c>
      <c r="DB25" s="33"/>
      <c r="DC25" s="33"/>
      <c r="DD25" s="33">
        <v>8</v>
      </c>
      <c r="DE25" s="33"/>
      <c r="DF25" s="33"/>
      <c r="DG25" s="33"/>
      <c r="DH25" s="33"/>
      <c r="DI25" s="33"/>
      <c r="DJ25" s="33"/>
      <c r="DK25" s="33">
        <v>1</v>
      </c>
      <c r="DL25" s="34"/>
      <c r="DM25" s="34"/>
      <c r="DN25" s="34"/>
      <c r="DO25" s="33"/>
      <c r="DP25" s="34"/>
      <c r="DQ25" s="34"/>
      <c r="DR25" s="34"/>
      <c r="DS25" s="34"/>
      <c r="DT25" s="34"/>
      <c r="DU25" s="34"/>
      <c r="DV25" s="34"/>
      <c r="DW25" s="34"/>
      <c r="DX25" s="34"/>
      <c r="DY25" s="34">
        <v>17</v>
      </c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3"/>
      <c r="ER25" s="33"/>
      <c r="ES25" s="34"/>
      <c r="ET25" s="34"/>
      <c r="EU25" s="34"/>
      <c r="EV25" s="34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</row>
    <row r="26" spans="1:174" x14ac:dyDescent="0.25">
      <c r="A26" s="50" t="str">
        <f t="shared" si="0"/>
        <v>FC_L_3_E_05_2023</v>
      </c>
      <c r="B26" s="26" t="str">
        <f t="shared" si="1"/>
        <v>FC_L_3_E_05</v>
      </c>
      <c r="C26" s="26" t="str">
        <f t="shared" si="2"/>
        <v>FC_2023</v>
      </c>
      <c r="D26" s="27" t="s">
        <v>23</v>
      </c>
      <c r="E26" s="28">
        <v>45109</v>
      </c>
      <c r="F26" s="27">
        <v>2023</v>
      </c>
      <c r="G26" s="27" t="s">
        <v>262</v>
      </c>
      <c r="H26" s="27" t="s">
        <v>263</v>
      </c>
      <c r="I26" s="27">
        <v>5</v>
      </c>
      <c r="J26" s="27" t="s">
        <v>230</v>
      </c>
      <c r="K26" s="27">
        <v>3</v>
      </c>
      <c r="L26" s="27" t="s">
        <v>204</v>
      </c>
      <c r="N26" s="27" t="s">
        <v>264</v>
      </c>
      <c r="O26" s="11">
        <f t="shared" si="3"/>
        <v>100</v>
      </c>
      <c r="P26" s="29">
        <v>10</v>
      </c>
      <c r="Q26" s="29"/>
      <c r="R26" s="29"/>
      <c r="S26" s="29">
        <v>8</v>
      </c>
      <c r="T26" s="29">
        <v>2</v>
      </c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>
        <v>1</v>
      </c>
      <c r="AG26" s="29"/>
      <c r="AH26" s="29">
        <v>79</v>
      </c>
      <c r="AI26" s="29"/>
      <c r="AJ26" s="30"/>
      <c r="AK26" s="30"/>
      <c r="AL26" s="30"/>
      <c r="AM26" s="30"/>
      <c r="AN26" s="30"/>
      <c r="AO26" s="30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>
        <v>12</v>
      </c>
      <c r="BA26" s="31"/>
      <c r="BB26" s="31"/>
      <c r="BC26" s="31"/>
      <c r="BD26" s="31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3"/>
      <c r="CD26" s="33"/>
      <c r="CE26" s="33"/>
      <c r="CF26" s="33">
        <v>9</v>
      </c>
      <c r="CG26" s="33"/>
      <c r="CH26" s="33"/>
      <c r="CI26" s="33"/>
      <c r="CJ26" s="33"/>
      <c r="CK26" s="33"/>
      <c r="CL26" s="33"/>
      <c r="CM26" s="33">
        <v>0.1</v>
      </c>
      <c r="CN26" s="33"/>
      <c r="CO26" s="33"/>
      <c r="CP26" s="33"/>
      <c r="CQ26" s="33"/>
      <c r="CR26" s="33"/>
      <c r="CS26" s="33">
        <v>9</v>
      </c>
      <c r="CT26" s="33"/>
      <c r="CU26" s="33"/>
      <c r="CV26" s="33"/>
      <c r="CW26" s="33"/>
      <c r="CX26" s="33"/>
      <c r="CY26" s="33"/>
      <c r="CZ26" s="33">
        <v>10</v>
      </c>
      <c r="DA26" s="33"/>
      <c r="DB26" s="33"/>
      <c r="DC26" s="33"/>
      <c r="DD26" s="33">
        <v>2</v>
      </c>
      <c r="DE26" s="33"/>
      <c r="DF26" s="33"/>
      <c r="DG26" s="33"/>
      <c r="DH26" s="33"/>
      <c r="DI26" s="33"/>
      <c r="DJ26" s="33"/>
      <c r="DK26" s="33"/>
      <c r="DL26" s="34"/>
      <c r="DM26" s="34"/>
      <c r="DN26" s="34"/>
      <c r="DO26" s="33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>
        <v>2</v>
      </c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3"/>
      <c r="ER26" s="33"/>
      <c r="ES26" s="34"/>
      <c r="ET26" s="34"/>
      <c r="EU26" s="34"/>
      <c r="EV26" s="34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</row>
    <row r="27" spans="1:174" x14ac:dyDescent="0.25">
      <c r="A27" s="50" t="str">
        <f t="shared" si="0"/>
        <v>FC_L_3_E_06_2023</v>
      </c>
      <c r="B27" s="26" t="str">
        <f t="shared" si="1"/>
        <v>FC_L_3_E_06</v>
      </c>
      <c r="C27" s="26" t="str">
        <f t="shared" si="2"/>
        <v>FC_2023</v>
      </c>
      <c r="D27" s="27" t="s">
        <v>23</v>
      </c>
      <c r="E27" s="28">
        <v>45109</v>
      </c>
      <c r="F27" s="27">
        <v>2023</v>
      </c>
      <c r="G27" s="27" t="s">
        <v>263</v>
      </c>
      <c r="H27" s="27" t="s">
        <v>281</v>
      </c>
      <c r="I27" s="27">
        <v>6</v>
      </c>
      <c r="J27" s="27" t="s">
        <v>230</v>
      </c>
      <c r="K27" s="27">
        <v>3</v>
      </c>
      <c r="L27" s="27" t="s">
        <v>204</v>
      </c>
      <c r="N27" s="27" t="s">
        <v>264</v>
      </c>
      <c r="O27" s="67">
        <f t="shared" si="3"/>
        <v>100</v>
      </c>
      <c r="P27" s="29">
        <v>5</v>
      </c>
      <c r="Q27" s="29"/>
      <c r="R27" s="29"/>
      <c r="S27" s="29">
        <v>2</v>
      </c>
      <c r="T27" s="29"/>
      <c r="U27" s="29"/>
      <c r="V27" s="29"/>
      <c r="W27" s="29"/>
      <c r="X27" s="29"/>
      <c r="Y27" s="29"/>
      <c r="Z27" s="29"/>
      <c r="AA27" s="29"/>
      <c r="AB27" s="29">
        <v>3</v>
      </c>
      <c r="AC27" s="29"/>
      <c r="AD27" s="29"/>
      <c r="AE27" s="29">
        <v>3</v>
      </c>
      <c r="AF27" s="29"/>
      <c r="AG27" s="29"/>
      <c r="AH27" s="29">
        <v>87</v>
      </c>
      <c r="AI27" s="29"/>
      <c r="AJ27" s="30"/>
      <c r="AK27" s="30"/>
      <c r="AL27" s="30"/>
      <c r="AM27" s="30"/>
      <c r="AN27" s="30"/>
      <c r="AO27" s="30"/>
      <c r="AP27" s="31"/>
      <c r="AQ27" s="31"/>
      <c r="AR27" s="31"/>
      <c r="AS27" s="31"/>
      <c r="AT27" s="31"/>
      <c r="AU27" s="31"/>
      <c r="AV27" s="31"/>
      <c r="AW27" s="31">
        <v>1</v>
      </c>
      <c r="AX27" s="31"/>
      <c r="AY27" s="31"/>
      <c r="AZ27" s="31">
        <v>14</v>
      </c>
      <c r="BA27" s="31"/>
      <c r="BB27" s="31"/>
      <c r="BC27" s="31"/>
      <c r="BD27" s="31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3"/>
      <c r="CD27" s="33"/>
      <c r="CE27" s="33"/>
      <c r="CF27" s="33">
        <v>29</v>
      </c>
      <c r="CG27" s="33"/>
      <c r="CH27" s="33"/>
      <c r="CI27" s="33"/>
      <c r="CJ27" s="33"/>
      <c r="CK27" s="33"/>
      <c r="CL27" s="33">
        <v>1</v>
      </c>
      <c r="CM27" s="33"/>
      <c r="CN27" s="33"/>
      <c r="CO27" s="33"/>
      <c r="CP27" s="33"/>
      <c r="CQ27" s="33"/>
      <c r="CR27" s="33">
        <v>2</v>
      </c>
      <c r="CS27" s="33"/>
      <c r="CT27" s="33">
        <v>1</v>
      </c>
      <c r="CU27" s="33"/>
      <c r="CV27" s="33"/>
      <c r="CW27" s="33"/>
      <c r="CX27" s="33"/>
      <c r="CY27" s="33"/>
      <c r="CZ27" s="33">
        <v>8</v>
      </c>
      <c r="DA27" s="33">
        <v>12</v>
      </c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4"/>
      <c r="DM27" s="34"/>
      <c r="DN27" s="34"/>
      <c r="DO27" s="33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3"/>
      <c r="ER27" s="33"/>
      <c r="ES27" s="34"/>
      <c r="ET27" s="34"/>
      <c r="EU27" s="34"/>
      <c r="EV27" s="34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</row>
    <row r="28" spans="1:174" x14ac:dyDescent="0.25">
      <c r="A28" s="50" t="str">
        <f t="shared" si="0"/>
        <v>FC_L_3_E_07_2023</v>
      </c>
      <c r="B28" s="26" t="str">
        <f t="shared" si="1"/>
        <v>FC_L_3_E_07</v>
      </c>
      <c r="C28" s="26" t="str">
        <f t="shared" si="2"/>
        <v>FC_2023</v>
      </c>
      <c r="D28" s="27" t="s">
        <v>23</v>
      </c>
      <c r="E28" s="28">
        <v>45109</v>
      </c>
      <c r="F28" s="27">
        <v>2023</v>
      </c>
      <c r="G28" s="27" t="s">
        <v>262</v>
      </c>
      <c r="H28" s="27" t="s">
        <v>277</v>
      </c>
      <c r="I28" s="27">
        <v>7</v>
      </c>
      <c r="J28" s="27" t="s">
        <v>230</v>
      </c>
      <c r="K28" s="27">
        <v>3</v>
      </c>
      <c r="L28" s="27" t="s">
        <v>204</v>
      </c>
      <c r="N28" s="27" t="s">
        <v>264</v>
      </c>
      <c r="O28" s="11">
        <f t="shared" si="3"/>
        <v>100</v>
      </c>
      <c r="P28" s="29">
        <v>8</v>
      </c>
      <c r="Q28" s="29"/>
      <c r="R28" s="29"/>
      <c r="S28" s="29"/>
      <c r="T28" s="29"/>
      <c r="U28" s="29"/>
      <c r="V28" s="29"/>
      <c r="W28" s="29"/>
      <c r="X28" s="29"/>
      <c r="Y28" s="29"/>
      <c r="Z28" s="29">
        <v>4</v>
      </c>
      <c r="AA28" s="29"/>
      <c r="AB28" s="29"/>
      <c r="AC28" s="29"/>
      <c r="AD28" s="29"/>
      <c r="AE28" s="29">
        <v>20</v>
      </c>
      <c r="AF28" s="29"/>
      <c r="AG28" s="29"/>
      <c r="AH28" s="29">
        <v>65</v>
      </c>
      <c r="AI28" s="29">
        <v>3</v>
      </c>
      <c r="AJ28" s="30"/>
      <c r="AK28" s="30"/>
      <c r="AL28" s="30"/>
      <c r="AM28" s="30"/>
      <c r="AN28" s="30"/>
      <c r="AO28" s="30"/>
      <c r="AP28" s="31"/>
      <c r="AQ28" s="31"/>
      <c r="AR28" s="31">
        <v>1</v>
      </c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>
        <v>1</v>
      </c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3"/>
      <c r="CD28" s="33"/>
      <c r="CE28" s="33"/>
      <c r="CF28" s="33">
        <v>34</v>
      </c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>
        <v>82</v>
      </c>
      <c r="DA28" s="33">
        <v>24</v>
      </c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4"/>
      <c r="DM28" s="34"/>
      <c r="DN28" s="34"/>
      <c r="DO28" s="33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3"/>
      <c r="ER28" s="33"/>
      <c r="ES28" s="34"/>
      <c r="ET28" s="34"/>
      <c r="EU28" s="34"/>
      <c r="EV28" s="34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</row>
    <row r="29" spans="1:174" x14ac:dyDescent="0.25">
      <c r="A29" s="50" t="str">
        <f t="shared" si="0"/>
        <v>FC_L_3_E_08_2023</v>
      </c>
      <c r="B29" s="26" t="str">
        <f t="shared" si="1"/>
        <v>FC_L_3_E_08</v>
      </c>
      <c r="C29" s="26" t="str">
        <f t="shared" si="2"/>
        <v>FC_2023</v>
      </c>
      <c r="D29" s="27" t="s">
        <v>23</v>
      </c>
      <c r="E29" s="28">
        <v>45122</v>
      </c>
      <c r="F29" s="27">
        <v>2023</v>
      </c>
      <c r="G29" s="27" t="s">
        <v>262</v>
      </c>
      <c r="H29" s="27" t="s">
        <v>276</v>
      </c>
      <c r="I29" s="27">
        <v>8</v>
      </c>
      <c r="J29" s="27" t="s">
        <v>230</v>
      </c>
      <c r="K29" s="27">
        <v>3</v>
      </c>
      <c r="L29" s="27" t="s">
        <v>204</v>
      </c>
      <c r="N29" s="27" t="s">
        <v>264</v>
      </c>
      <c r="O29" s="11">
        <f t="shared" si="3"/>
        <v>100.2</v>
      </c>
      <c r="P29" s="29">
        <v>7</v>
      </c>
      <c r="Q29" s="29"/>
      <c r="R29" s="29"/>
      <c r="S29" s="29">
        <v>12</v>
      </c>
      <c r="T29" s="29"/>
      <c r="U29" s="29"/>
      <c r="V29" s="29"/>
      <c r="W29" s="29">
        <v>2</v>
      </c>
      <c r="X29" s="29"/>
      <c r="Y29" s="29">
        <v>0.1</v>
      </c>
      <c r="Z29" s="29"/>
      <c r="AA29" s="29"/>
      <c r="AB29" s="29">
        <v>6</v>
      </c>
      <c r="AC29" s="29">
        <v>0.1</v>
      </c>
      <c r="AD29" s="29"/>
      <c r="AE29" s="29">
        <v>5</v>
      </c>
      <c r="AF29" s="29"/>
      <c r="AG29" s="29"/>
      <c r="AH29" s="29">
        <v>56</v>
      </c>
      <c r="AI29" s="29">
        <v>12</v>
      </c>
      <c r="AJ29" s="30"/>
      <c r="AK29" s="30"/>
      <c r="AL29" s="30"/>
      <c r="AM29" s="30"/>
      <c r="AN29" s="30"/>
      <c r="AO29" s="30"/>
      <c r="AP29" s="31"/>
      <c r="AQ29" s="31">
        <v>1</v>
      </c>
      <c r="AR29" s="31"/>
      <c r="AS29" s="31"/>
      <c r="AT29" s="31"/>
      <c r="AU29" s="31"/>
      <c r="AV29" s="31">
        <v>1</v>
      </c>
      <c r="AW29" s="31">
        <v>3</v>
      </c>
      <c r="AX29" s="31"/>
      <c r="AY29" s="31"/>
      <c r="AZ29" s="31">
        <v>13</v>
      </c>
      <c r="BA29" s="31">
        <v>1</v>
      </c>
      <c r="BB29" s="31"/>
      <c r="BC29" s="31"/>
      <c r="BD29" s="31">
        <v>1</v>
      </c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3"/>
      <c r="CD29" s="33"/>
      <c r="CE29" s="33"/>
      <c r="CF29" s="33">
        <v>44</v>
      </c>
      <c r="CG29" s="33"/>
      <c r="CH29" s="33"/>
      <c r="CI29" s="33"/>
      <c r="CJ29" s="33"/>
      <c r="CK29" s="33"/>
      <c r="CL29" s="33">
        <v>6</v>
      </c>
      <c r="CM29" s="33">
        <v>6</v>
      </c>
      <c r="CN29" s="33"/>
      <c r="CO29" s="33"/>
      <c r="CP29" s="33"/>
      <c r="CQ29" s="33"/>
      <c r="CR29" s="33"/>
      <c r="CS29" s="33"/>
      <c r="CT29" s="33">
        <v>23</v>
      </c>
      <c r="CU29" s="33"/>
      <c r="CV29" s="33"/>
      <c r="CW29" s="33"/>
      <c r="CX29" s="33">
        <v>3</v>
      </c>
      <c r="CY29" s="33"/>
      <c r="CZ29" s="33">
        <v>2</v>
      </c>
      <c r="DA29" s="33">
        <v>19</v>
      </c>
      <c r="DB29" s="33"/>
      <c r="DC29" s="33"/>
      <c r="DD29" s="33"/>
      <c r="DE29" s="33"/>
      <c r="DF29" s="33"/>
      <c r="DG29" s="33"/>
      <c r="DH29" s="33"/>
      <c r="DI29" s="33"/>
      <c r="DJ29" s="33">
        <v>7</v>
      </c>
      <c r="DK29" s="33"/>
      <c r="DL29" s="34"/>
      <c r="DM29" s="34"/>
      <c r="DN29" s="34"/>
      <c r="DO29" s="33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>
        <v>1</v>
      </c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3"/>
      <c r="ER29" s="33"/>
      <c r="ES29" s="34"/>
      <c r="ET29" s="34"/>
      <c r="EU29" s="34"/>
      <c r="EV29" s="34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</row>
    <row r="30" spans="1:174" x14ac:dyDescent="0.25">
      <c r="A30" s="50" t="str">
        <f t="shared" si="0"/>
        <v>FC_L_3_E_09_2023</v>
      </c>
      <c r="B30" s="26" t="str">
        <f t="shared" si="1"/>
        <v>FC_L_3_E_09</v>
      </c>
      <c r="C30" s="26" t="str">
        <f t="shared" si="2"/>
        <v>FC_2023</v>
      </c>
      <c r="D30" s="27" t="s">
        <v>23</v>
      </c>
      <c r="E30" s="28">
        <v>45122</v>
      </c>
      <c r="F30" s="27">
        <v>2023</v>
      </c>
      <c r="G30" s="27" t="s">
        <v>262</v>
      </c>
      <c r="H30" s="27" t="s">
        <v>276</v>
      </c>
      <c r="I30" s="27">
        <v>9</v>
      </c>
      <c r="J30" s="27" t="s">
        <v>230</v>
      </c>
      <c r="K30" s="27">
        <v>3</v>
      </c>
      <c r="L30" s="27" t="s">
        <v>204</v>
      </c>
      <c r="N30" s="27" t="s">
        <v>264</v>
      </c>
      <c r="O30" s="11">
        <f t="shared" si="3"/>
        <v>100.1</v>
      </c>
      <c r="P30" s="29">
        <v>22</v>
      </c>
      <c r="Q30" s="29"/>
      <c r="R30" s="29"/>
      <c r="S30" s="29">
        <v>9</v>
      </c>
      <c r="T30" s="29"/>
      <c r="U30" s="29"/>
      <c r="V30" s="29"/>
      <c r="W30" s="29">
        <v>8</v>
      </c>
      <c r="X30" s="29"/>
      <c r="Y30" s="29">
        <v>7</v>
      </c>
      <c r="Z30" s="29">
        <v>15</v>
      </c>
      <c r="AA30" s="29"/>
      <c r="AB30" s="29"/>
      <c r="AC30" s="29">
        <v>0.1</v>
      </c>
      <c r="AD30" s="29"/>
      <c r="AE30" s="29">
        <v>15</v>
      </c>
      <c r="AF30" s="29"/>
      <c r="AG30" s="29"/>
      <c r="AH30" s="29">
        <v>6</v>
      </c>
      <c r="AI30" s="29">
        <v>17</v>
      </c>
      <c r="AJ30" s="30"/>
      <c r="AK30" s="30"/>
      <c r="AL30" s="30"/>
      <c r="AM30" s="30"/>
      <c r="AN30" s="30">
        <v>1</v>
      </c>
      <c r="AO30" s="30"/>
      <c r="AP30" s="31">
        <v>2</v>
      </c>
      <c r="AQ30" s="31">
        <v>1</v>
      </c>
      <c r="AR30" s="31">
        <v>3</v>
      </c>
      <c r="AS30" s="31"/>
      <c r="AT30" s="31">
        <v>5</v>
      </c>
      <c r="AU30" s="31"/>
      <c r="AV30" s="31">
        <v>2</v>
      </c>
      <c r="AW30" s="31"/>
      <c r="AX30" s="31"/>
      <c r="AY30" s="31"/>
      <c r="AZ30" s="31"/>
      <c r="BA30" s="31"/>
      <c r="BB30" s="31"/>
      <c r="BC30" s="31">
        <v>2</v>
      </c>
      <c r="BD30" s="31">
        <v>18</v>
      </c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3"/>
      <c r="CD30" s="33"/>
      <c r="CE30" s="33"/>
      <c r="CF30" s="33">
        <v>95</v>
      </c>
      <c r="CG30" s="33"/>
      <c r="CH30" s="33"/>
      <c r="CI30" s="33"/>
      <c r="CJ30" s="33"/>
      <c r="CK30" s="33"/>
      <c r="CL30" s="33"/>
      <c r="CM30" s="33">
        <v>17</v>
      </c>
      <c r="CN30" s="33"/>
      <c r="CO30" s="33"/>
      <c r="CP30" s="33"/>
      <c r="CQ30" s="33"/>
      <c r="CR30" s="33">
        <v>1</v>
      </c>
      <c r="CS30" s="33"/>
      <c r="CT30" s="33">
        <v>7</v>
      </c>
      <c r="CU30" s="33"/>
      <c r="CV30" s="33"/>
      <c r="CW30" s="33"/>
      <c r="CX30" s="33"/>
      <c r="CY30" s="33"/>
      <c r="CZ30" s="33"/>
      <c r="DA30" s="33">
        <v>2</v>
      </c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4"/>
      <c r="DM30" s="34"/>
      <c r="DN30" s="34"/>
      <c r="DO30" s="33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3"/>
      <c r="ER30" s="33"/>
      <c r="ES30" s="34"/>
      <c r="ET30" s="34"/>
      <c r="EU30" s="34"/>
      <c r="EV30" s="34"/>
      <c r="EW30" s="35"/>
      <c r="EX30" s="35"/>
      <c r="EY30" s="35">
        <v>5</v>
      </c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>
        <v>4</v>
      </c>
      <c r="FL30" s="35"/>
      <c r="FM30" s="35"/>
    </row>
    <row r="31" spans="1:174" x14ac:dyDescent="0.25">
      <c r="A31" s="50" t="str">
        <f t="shared" si="0"/>
        <v>FC_L_3_E_10_2023</v>
      </c>
      <c r="B31" s="26" t="str">
        <f t="shared" si="1"/>
        <v>FC_L_3_E_10</v>
      </c>
      <c r="C31" s="26" t="str">
        <f t="shared" si="2"/>
        <v>FC_2023</v>
      </c>
      <c r="D31" s="27" t="s">
        <v>23</v>
      </c>
      <c r="E31" s="28">
        <v>45122</v>
      </c>
      <c r="F31" s="27">
        <v>2023</v>
      </c>
      <c r="G31" s="27" t="s">
        <v>262</v>
      </c>
      <c r="H31" s="27" t="s">
        <v>276</v>
      </c>
      <c r="I31" s="27">
        <v>10</v>
      </c>
      <c r="J31" s="27" t="s">
        <v>230</v>
      </c>
      <c r="K31" s="27">
        <v>3</v>
      </c>
      <c r="L31" s="27" t="s">
        <v>204</v>
      </c>
      <c r="N31" s="27" t="s">
        <v>264</v>
      </c>
      <c r="O31" s="11">
        <f t="shared" si="3"/>
        <v>100</v>
      </c>
      <c r="P31" s="29">
        <v>21</v>
      </c>
      <c r="Q31" s="29"/>
      <c r="R31" s="29"/>
      <c r="S31" s="29"/>
      <c r="T31" s="29"/>
      <c r="U31" s="29">
        <v>1</v>
      </c>
      <c r="V31" s="29"/>
      <c r="W31" s="29">
        <v>17</v>
      </c>
      <c r="X31" s="29">
        <v>1</v>
      </c>
      <c r="Y31" s="29"/>
      <c r="Z31" s="29"/>
      <c r="AA31" s="29"/>
      <c r="AB31" s="29"/>
      <c r="AC31" s="29">
        <v>2</v>
      </c>
      <c r="AD31" s="29"/>
      <c r="AE31" s="29">
        <v>2</v>
      </c>
      <c r="AF31" s="29"/>
      <c r="AG31" s="29"/>
      <c r="AH31" s="29">
        <v>33</v>
      </c>
      <c r="AI31" s="29">
        <v>23</v>
      </c>
      <c r="AJ31" s="30"/>
      <c r="AK31" s="30"/>
      <c r="AL31" s="30"/>
      <c r="AM31" s="30"/>
      <c r="AN31" s="30"/>
      <c r="AO31" s="30"/>
      <c r="AP31" s="31">
        <v>4</v>
      </c>
      <c r="AQ31" s="31">
        <v>4</v>
      </c>
      <c r="AR31" s="31"/>
      <c r="AS31" s="31"/>
      <c r="AT31" s="31"/>
      <c r="AU31" s="31"/>
      <c r="AV31" s="31">
        <v>2</v>
      </c>
      <c r="AW31" s="31"/>
      <c r="AX31" s="31"/>
      <c r="AY31" s="31"/>
      <c r="AZ31" s="31"/>
      <c r="BA31" s="31"/>
      <c r="BB31" s="31"/>
      <c r="BC31" s="31"/>
      <c r="BD31" s="31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3"/>
      <c r="CD31" s="33"/>
      <c r="CE31" s="33"/>
      <c r="CF31" s="33">
        <v>62</v>
      </c>
      <c r="CG31" s="33"/>
      <c r="CH31" s="33"/>
      <c r="CI31" s="33"/>
      <c r="CJ31" s="33"/>
      <c r="CK31" s="33"/>
      <c r="CL31" s="33">
        <v>23</v>
      </c>
      <c r="CM31" s="33"/>
      <c r="CN31" s="33"/>
      <c r="CO31" s="33"/>
      <c r="CP31" s="33"/>
      <c r="CQ31" s="33"/>
      <c r="CR31" s="33"/>
      <c r="CS31" s="33"/>
      <c r="CT31" s="33">
        <v>21</v>
      </c>
      <c r="CU31" s="33"/>
      <c r="CV31" s="33"/>
      <c r="CW31" s="33"/>
      <c r="CX31" s="33">
        <v>2</v>
      </c>
      <c r="CY31" s="33"/>
      <c r="CZ31" s="33"/>
      <c r="DA31" s="33">
        <v>7</v>
      </c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4"/>
      <c r="DM31" s="34"/>
      <c r="DN31" s="34"/>
      <c r="DO31" s="33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3"/>
      <c r="ER31" s="33"/>
      <c r="ES31" s="34"/>
      <c r="ET31" s="34"/>
      <c r="EU31" s="34"/>
      <c r="EV31" s="34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</row>
    <row r="32" spans="1:174" x14ac:dyDescent="0.25">
      <c r="A32" s="50" t="str">
        <f t="shared" si="0"/>
        <v>FC_M_1_E_01_2023</v>
      </c>
      <c r="B32" s="26" t="str">
        <f t="shared" si="1"/>
        <v>FC_M_1_E_01</v>
      </c>
      <c r="C32" s="26" t="str">
        <f t="shared" si="2"/>
        <v>FC_2023</v>
      </c>
      <c r="D32" s="27" t="s">
        <v>23</v>
      </c>
      <c r="E32" s="28">
        <v>45109</v>
      </c>
      <c r="F32" s="27">
        <v>2023</v>
      </c>
      <c r="G32" s="27" t="s">
        <v>262</v>
      </c>
      <c r="H32" s="27" t="s">
        <v>277</v>
      </c>
      <c r="I32" s="27">
        <v>1</v>
      </c>
      <c r="J32" s="27" t="s">
        <v>231</v>
      </c>
      <c r="K32" s="27">
        <v>1</v>
      </c>
      <c r="L32" s="27" t="s">
        <v>204</v>
      </c>
      <c r="M32" s="27" t="s">
        <v>279</v>
      </c>
      <c r="N32" s="27" t="s">
        <v>264</v>
      </c>
      <c r="O32" s="11">
        <f t="shared" si="3"/>
        <v>100.1</v>
      </c>
      <c r="P32" s="29">
        <v>9</v>
      </c>
      <c r="Q32" s="29"/>
      <c r="R32" s="29">
        <v>3</v>
      </c>
      <c r="S32" s="29"/>
      <c r="T32" s="29"/>
      <c r="U32" s="29">
        <v>2</v>
      </c>
      <c r="V32" s="29"/>
      <c r="W32" s="29">
        <v>1</v>
      </c>
      <c r="X32" s="29">
        <v>6</v>
      </c>
      <c r="Y32" s="29">
        <v>72</v>
      </c>
      <c r="Z32" s="29">
        <v>6</v>
      </c>
      <c r="AA32" s="29"/>
      <c r="AB32" s="29">
        <v>1</v>
      </c>
      <c r="AC32" s="29"/>
      <c r="AD32" s="29"/>
      <c r="AE32" s="29"/>
      <c r="AF32" s="29">
        <v>0.1</v>
      </c>
      <c r="AG32" s="29"/>
      <c r="AH32" s="29"/>
      <c r="AI32" s="29"/>
      <c r="AJ32" s="30"/>
      <c r="AK32" s="30"/>
      <c r="AL32" s="30"/>
      <c r="AM32" s="30"/>
      <c r="AN32" s="30"/>
      <c r="AO32" s="30"/>
      <c r="AP32" s="31"/>
      <c r="AQ32" s="31"/>
      <c r="AR32" s="31">
        <v>2</v>
      </c>
      <c r="AS32" s="31">
        <v>7</v>
      </c>
      <c r="AT32" s="31">
        <v>17</v>
      </c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>
        <v>2</v>
      </c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4"/>
      <c r="DM32" s="34"/>
      <c r="DN32" s="34"/>
      <c r="DO32" s="33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3"/>
      <c r="ER32" s="33"/>
      <c r="ES32" s="34"/>
      <c r="ET32" s="34"/>
      <c r="EU32" s="34"/>
      <c r="EV32" s="34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</row>
    <row r="33" spans="1:171" x14ac:dyDescent="0.25">
      <c r="A33" s="50" t="str">
        <f t="shared" si="0"/>
        <v>FC_M_1_E_02_2023</v>
      </c>
      <c r="B33" s="26" t="str">
        <f t="shared" si="1"/>
        <v>FC_M_1_E_02</v>
      </c>
      <c r="C33" s="26" t="str">
        <f t="shared" si="2"/>
        <v>FC_2023</v>
      </c>
      <c r="D33" s="27" t="s">
        <v>23</v>
      </c>
      <c r="E33" s="28">
        <v>45109</v>
      </c>
      <c r="F33" s="27">
        <v>2023</v>
      </c>
      <c r="G33" s="27" t="s">
        <v>262</v>
      </c>
      <c r="H33" s="27" t="s">
        <v>263</v>
      </c>
      <c r="I33" s="27">
        <v>2</v>
      </c>
      <c r="J33" s="27" t="s">
        <v>231</v>
      </c>
      <c r="K33" s="27">
        <v>1</v>
      </c>
      <c r="L33" s="27" t="s">
        <v>204</v>
      </c>
      <c r="M33" s="27" t="s">
        <v>270</v>
      </c>
      <c r="N33" s="27" t="s">
        <v>264</v>
      </c>
      <c r="O33" s="11">
        <f t="shared" si="3"/>
        <v>100</v>
      </c>
      <c r="P33" s="29"/>
      <c r="Q33" s="29"/>
      <c r="R33" s="29"/>
      <c r="S33" s="29"/>
      <c r="T33" s="29"/>
      <c r="U33" s="29">
        <v>8</v>
      </c>
      <c r="V33" s="29"/>
      <c r="W33" s="29"/>
      <c r="X33" s="29">
        <v>10</v>
      </c>
      <c r="Y33" s="29">
        <v>19</v>
      </c>
      <c r="Z33" s="29">
        <v>63</v>
      </c>
      <c r="AA33" s="29"/>
      <c r="AB33" s="29"/>
      <c r="AC33" s="29"/>
      <c r="AD33" s="29"/>
      <c r="AE33" s="29"/>
      <c r="AF33" s="29"/>
      <c r="AG33" s="29"/>
      <c r="AH33" s="29"/>
      <c r="AI33" s="29"/>
      <c r="AJ33" s="30"/>
      <c r="AK33" s="30"/>
      <c r="AL33" s="30"/>
      <c r="AM33" s="30"/>
      <c r="AN33" s="30"/>
      <c r="AO33" s="30"/>
      <c r="AP33" s="31"/>
      <c r="AQ33" s="31"/>
      <c r="AR33" s="31">
        <v>2</v>
      </c>
      <c r="AS33" s="31">
        <v>18</v>
      </c>
      <c r="AT33" s="31">
        <v>131</v>
      </c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4"/>
      <c r="DM33" s="34"/>
      <c r="DN33" s="34"/>
      <c r="DO33" s="33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3"/>
      <c r="ER33" s="33"/>
      <c r="ES33" s="34"/>
      <c r="ET33" s="34"/>
      <c r="EU33" s="34"/>
      <c r="EV33" s="34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</row>
    <row r="34" spans="1:171" x14ac:dyDescent="0.25">
      <c r="A34" s="50" t="str">
        <f t="shared" si="0"/>
        <v>FC_M_1_E_04_2023</v>
      </c>
      <c r="B34" s="26" t="str">
        <f t="shared" si="1"/>
        <v>FC_M_1_E_04</v>
      </c>
      <c r="C34" s="26" t="str">
        <f t="shared" si="2"/>
        <v>FC_2023</v>
      </c>
      <c r="D34" s="27" t="s">
        <v>23</v>
      </c>
      <c r="E34" s="28">
        <v>45109</v>
      </c>
      <c r="F34" s="27">
        <v>2023</v>
      </c>
      <c r="G34" s="27" t="s">
        <v>262</v>
      </c>
      <c r="H34" s="27" t="s">
        <v>263</v>
      </c>
      <c r="I34" s="27">
        <v>4</v>
      </c>
      <c r="J34" s="27" t="s">
        <v>231</v>
      </c>
      <c r="K34" s="27">
        <v>1</v>
      </c>
      <c r="L34" s="27" t="s">
        <v>204</v>
      </c>
      <c r="M34" s="27" t="s">
        <v>269</v>
      </c>
      <c r="N34" s="27" t="s">
        <v>264</v>
      </c>
      <c r="O34" s="11">
        <f t="shared" si="3"/>
        <v>100</v>
      </c>
      <c r="P34" s="29"/>
      <c r="Q34" s="29"/>
      <c r="R34" s="29"/>
      <c r="S34" s="29"/>
      <c r="T34" s="29"/>
      <c r="U34" s="29">
        <v>20</v>
      </c>
      <c r="V34" s="29"/>
      <c r="W34" s="29">
        <v>4</v>
      </c>
      <c r="X34" s="29">
        <v>10</v>
      </c>
      <c r="Y34" s="29">
        <v>2</v>
      </c>
      <c r="Z34" s="29">
        <v>64</v>
      </c>
      <c r="AA34" s="29"/>
      <c r="AB34" s="29"/>
      <c r="AC34" s="29"/>
      <c r="AD34" s="29"/>
      <c r="AE34" s="29"/>
      <c r="AF34" s="29"/>
      <c r="AG34" s="29"/>
      <c r="AH34" s="29"/>
      <c r="AI34" s="29"/>
      <c r="AJ34" s="30"/>
      <c r="AK34" s="30"/>
      <c r="AL34" s="30"/>
      <c r="AM34" s="30"/>
      <c r="AN34" s="30"/>
      <c r="AO34" s="30"/>
      <c r="AP34" s="31"/>
      <c r="AQ34" s="31"/>
      <c r="AR34" s="31">
        <v>13</v>
      </c>
      <c r="AS34" s="31">
        <v>9</v>
      </c>
      <c r="AT34" s="31">
        <v>3</v>
      </c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4"/>
      <c r="DM34" s="34"/>
      <c r="DN34" s="34"/>
      <c r="DO34" s="33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3"/>
      <c r="ER34" s="33"/>
      <c r="ES34" s="34"/>
      <c r="ET34" s="34"/>
      <c r="EU34" s="34"/>
      <c r="EV34" s="34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</row>
    <row r="35" spans="1:171" x14ac:dyDescent="0.25">
      <c r="A35" s="50" t="str">
        <f t="shared" si="0"/>
        <v>FC_M_1_E_06_2023</v>
      </c>
      <c r="B35" s="26" t="str">
        <f t="shared" si="1"/>
        <v>FC_M_1_E_06</v>
      </c>
      <c r="C35" s="26" t="str">
        <f t="shared" si="2"/>
        <v>FC_2023</v>
      </c>
      <c r="D35" s="27" t="s">
        <v>23</v>
      </c>
      <c r="E35" s="28">
        <v>45109</v>
      </c>
      <c r="F35" s="27">
        <v>2023</v>
      </c>
      <c r="G35" s="27" t="s">
        <v>262</v>
      </c>
      <c r="H35" s="27" t="s">
        <v>263</v>
      </c>
      <c r="I35" s="27">
        <v>6</v>
      </c>
      <c r="J35" s="27" t="s">
        <v>231</v>
      </c>
      <c r="K35" s="27">
        <v>1</v>
      </c>
      <c r="L35" s="27" t="s">
        <v>204</v>
      </c>
      <c r="M35" s="27" t="s">
        <v>267</v>
      </c>
      <c r="N35" s="27" t="s">
        <v>264</v>
      </c>
      <c r="O35" s="11">
        <f t="shared" si="3"/>
        <v>100</v>
      </c>
      <c r="P35" s="29"/>
      <c r="Q35" s="29"/>
      <c r="R35" s="29"/>
      <c r="S35" s="29"/>
      <c r="T35" s="29"/>
      <c r="U35" s="29">
        <v>10</v>
      </c>
      <c r="V35" s="29">
        <v>7</v>
      </c>
      <c r="W35" s="29">
        <v>4</v>
      </c>
      <c r="X35" s="29">
        <v>9</v>
      </c>
      <c r="Y35" s="29">
        <v>20</v>
      </c>
      <c r="Z35" s="29">
        <v>50</v>
      </c>
      <c r="AA35" s="29"/>
      <c r="AB35" s="29"/>
      <c r="AC35" s="29"/>
      <c r="AD35" s="29"/>
      <c r="AE35" s="29"/>
      <c r="AF35" s="29"/>
      <c r="AG35" s="29"/>
      <c r="AH35" s="29"/>
      <c r="AI35" s="29"/>
      <c r="AJ35" s="30"/>
      <c r="AK35" s="30"/>
      <c r="AL35" s="30"/>
      <c r="AM35" s="30"/>
      <c r="AN35" s="30"/>
      <c r="AO35" s="30"/>
      <c r="AP35" s="31"/>
      <c r="AQ35" s="31"/>
      <c r="AR35" s="31">
        <v>20</v>
      </c>
      <c r="AS35" s="31">
        <v>2</v>
      </c>
      <c r="AT35" s="31">
        <v>3</v>
      </c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3"/>
      <c r="CD35" s="33"/>
      <c r="CE35" s="33"/>
      <c r="CF35" s="33"/>
      <c r="CG35" s="33"/>
      <c r="CH35" s="33"/>
      <c r="CI35" s="33"/>
      <c r="CJ35" s="33"/>
      <c r="CK35" s="33"/>
      <c r="CL35" s="33">
        <v>1</v>
      </c>
      <c r="CM35" s="33"/>
      <c r="CN35" s="33"/>
      <c r="CO35" s="33">
        <v>1</v>
      </c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4"/>
      <c r="DM35" s="34"/>
      <c r="DN35" s="34"/>
      <c r="DO35" s="33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3"/>
      <c r="ER35" s="33"/>
      <c r="ES35" s="34"/>
      <c r="ET35" s="34"/>
      <c r="EU35" s="34"/>
      <c r="EV35" s="34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</row>
    <row r="36" spans="1:171" x14ac:dyDescent="0.25">
      <c r="A36" s="50" t="str">
        <f t="shared" si="0"/>
        <v>FC_M_1_E_07_2023</v>
      </c>
      <c r="B36" s="26" t="str">
        <f t="shared" si="1"/>
        <v>FC_M_1_E_07</v>
      </c>
      <c r="C36" s="26" t="str">
        <f t="shared" si="2"/>
        <v>FC_2023</v>
      </c>
      <c r="D36" s="27" t="s">
        <v>23</v>
      </c>
      <c r="E36" s="28">
        <v>45109</v>
      </c>
      <c r="F36" s="27">
        <v>2023</v>
      </c>
      <c r="G36" s="27" t="s">
        <v>262</v>
      </c>
      <c r="H36" s="27" t="s">
        <v>277</v>
      </c>
      <c r="I36" s="27">
        <v>7</v>
      </c>
      <c r="J36" s="27" t="s">
        <v>231</v>
      </c>
      <c r="K36" s="27">
        <v>1</v>
      </c>
      <c r="L36" s="27" t="s">
        <v>204</v>
      </c>
      <c r="M36" s="27" t="s">
        <v>278</v>
      </c>
      <c r="N36" s="27" t="s">
        <v>264</v>
      </c>
      <c r="O36" s="11">
        <f t="shared" si="3"/>
        <v>98</v>
      </c>
      <c r="P36" s="29">
        <v>21</v>
      </c>
      <c r="Q36" s="29"/>
      <c r="R36" s="29"/>
      <c r="S36" s="29"/>
      <c r="T36" s="29"/>
      <c r="U36" s="29">
        <v>5</v>
      </c>
      <c r="V36" s="29"/>
      <c r="W36" s="29">
        <v>2</v>
      </c>
      <c r="X36" s="29">
        <v>3</v>
      </c>
      <c r="Y36" s="29">
        <v>4</v>
      </c>
      <c r="Z36" s="29">
        <v>55</v>
      </c>
      <c r="AA36" s="29"/>
      <c r="AB36" s="29"/>
      <c r="AC36" s="29"/>
      <c r="AD36" s="29"/>
      <c r="AE36" s="29"/>
      <c r="AF36" s="29"/>
      <c r="AG36" s="29"/>
      <c r="AH36" s="29"/>
      <c r="AI36" s="29">
        <v>8</v>
      </c>
      <c r="AJ36" s="30"/>
      <c r="AK36" s="30"/>
      <c r="AL36" s="30"/>
      <c r="AM36" s="30"/>
      <c r="AN36" s="30"/>
      <c r="AO36" s="30"/>
      <c r="AP36" s="31"/>
      <c r="AQ36" s="31">
        <v>1</v>
      </c>
      <c r="AR36" s="31">
        <v>4</v>
      </c>
      <c r="AS36" s="31">
        <v>5</v>
      </c>
      <c r="AT36" s="31">
        <v>22</v>
      </c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3"/>
      <c r="CD36" s="33"/>
      <c r="CE36" s="33"/>
      <c r="CF36" s="33"/>
      <c r="CG36" s="33"/>
      <c r="CH36" s="33"/>
      <c r="CI36" s="33"/>
      <c r="CJ36" s="33"/>
      <c r="CK36" s="33"/>
      <c r="CL36" s="33">
        <v>8</v>
      </c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>
        <v>6</v>
      </c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4"/>
      <c r="DM36" s="34"/>
      <c r="DN36" s="34"/>
      <c r="DO36" s="33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3"/>
      <c r="ER36" s="33"/>
      <c r="ES36" s="34"/>
      <c r="ET36" s="34"/>
      <c r="EU36" s="34"/>
      <c r="EV36" s="34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</row>
    <row r="37" spans="1:171" x14ac:dyDescent="0.25">
      <c r="A37" s="50" t="str">
        <f t="shared" si="0"/>
        <v>FC_M_1_E_08_2023</v>
      </c>
      <c r="B37" s="26" t="str">
        <f t="shared" si="1"/>
        <v>FC_M_1_E_08</v>
      </c>
      <c r="C37" s="26" t="str">
        <f t="shared" si="2"/>
        <v>FC_2023</v>
      </c>
      <c r="D37" s="27" t="s">
        <v>23</v>
      </c>
      <c r="E37" s="28">
        <v>45109</v>
      </c>
      <c r="F37" s="27">
        <v>2023</v>
      </c>
      <c r="G37" s="27" t="s">
        <v>262</v>
      </c>
      <c r="H37" s="27" t="s">
        <v>263</v>
      </c>
      <c r="I37" s="27">
        <v>8</v>
      </c>
      <c r="J37" s="27" t="s">
        <v>231</v>
      </c>
      <c r="K37" s="27">
        <v>1</v>
      </c>
      <c r="L37" s="27" t="s">
        <v>204</v>
      </c>
      <c r="M37" s="27" t="s">
        <v>266</v>
      </c>
      <c r="N37" s="27" t="s">
        <v>264</v>
      </c>
      <c r="O37" s="11">
        <f>SUM(P37:AO37)</f>
        <v>100</v>
      </c>
      <c r="P37" s="29"/>
      <c r="Q37" s="29"/>
      <c r="R37" s="29"/>
      <c r="S37" s="29"/>
      <c r="T37" s="29"/>
      <c r="U37" s="29"/>
      <c r="V37" s="29"/>
      <c r="W37" s="29"/>
      <c r="X37" s="29">
        <v>15</v>
      </c>
      <c r="Y37" s="29">
        <v>6</v>
      </c>
      <c r="Z37" s="29">
        <v>79</v>
      </c>
      <c r="AA37" s="29"/>
      <c r="AB37" s="29"/>
      <c r="AC37" s="29"/>
      <c r="AD37" s="29"/>
      <c r="AE37" s="29"/>
      <c r="AF37" s="29"/>
      <c r="AG37" s="29"/>
      <c r="AH37" s="29"/>
      <c r="AI37" s="29"/>
      <c r="AJ37" s="30"/>
      <c r="AK37" s="30"/>
      <c r="AL37" s="30"/>
      <c r="AM37" s="30"/>
      <c r="AN37" s="30"/>
      <c r="AO37" s="30"/>
      <c r="AP37" s="31">
        <v>2</v>
      </c>
      <c r="AQ37" s="31"/>
      <c r="AR37" s="31">
        <v>2</v>
      </c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4"/>
      <c r="DM37" s="34"/>
      <c r="DN37" s="34"/>
      <c r="DO37" s="33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3"/>
      <c r="ER37" s="33"/>
      <c r="ES37" s="34"/>
      <c r="ET37" s="34"/>
      <c r="EU37" s="34"/>
      <c r="EV37" s="34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</row>
    <row r="38" spans="1:171" x14ac:dyDescent="0.25">
      <c r="A38" s="50" t="str">
        <f t="shared" si="0"/>
        <v>FC_M_1_E_10_2023</v>
      </c>
      <c r="B38" s="26" t="str">
        <f t="shared" si="1"/>
        <v>FC_M_1_E_10</v>
      </c>
      <c r="C38" s="26" t="str">
        <f t="shared" si="2"/>
        <v>FC_2023</v>
      </c>
      <c r="D38" s="27" t="s">
        <v>23</v>
      </c>
      <c r="E38" s="28">
        <v>45109</v>
      </c>
      <c r="F38" s="27">
        <v>2023</v>
      </c>
      <c r="G38" s="27" t="s">
        <v>262</v>
      </c>
      <c r="H38" s="27" t="s">
        <v>263</v>
      </c>
      <c r="I38" s="27">
        <v>10</v>
      </c>
      <c r="J38" s="27" t="s">
        <v>231</v>
      </c>
      <c r="K38" s="27">
        <v>1</v>
      </c>
      <c r="L38" s="27" t="s">
        <v>204</v>
      </c>
      <c r="M38" s="27" t="s">
        <v>265</v>
      </c>
      <c r="N38" s="27" t="s">
        <v>264</v>
      </c>
      <c r="O38" s="11">
        <f t="shared" si="3"/>
        <v>100</v>
      </c>
      <c r="P38" s="29"/>
      <c r="Q38" s="29"/>
      <c r="R38" s="29"/>
      <c r="S38" s="29"/>
      <c r="T38" s="29"/>
      <c r="U38" s="29">
        <v>27</v>
      </c>
      <c r="V38" s="29"/>
      <c r="W38" s="29"/>
      <c r="X38" s="29">
        <v>27</v>
      </c>
      <c r="Y38" s="29"/>
      <c r="Z38" s="29">
        <v>44</v>
      </c>
      <c r="AA38" s="29"/>
      <c r="AB38" s="29"/>
      <c r="AC38" s="29">
        <v>2</v>
      </c>
      <c r="AD38" s="29"/>
      <c r="AE38" s="29"/>
      <c r="AF38" s="29"/>
      <c r="AG38" s="29"/>
      <c r="AH38" s="29"/>
      <c r="AI38" s="29"/>
      <c r="AJ38" s="30"/>
      <c r="AK38" s="30"/>
      <c r="AL38" s="30"/>
      <c r="AM38" s="30"/>
      <c r="AN38" s="30"/>
      <c r="AO38" s="30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3"/>
      <c r="CD38" s="33"/>
      <c r="CE38" s="33"/>
      <c r="CF38" s="33"/>
      <c r="CG38" s="33"/>
      <c r="CH38" s="33"/>
      <c r="CI38" s="33"/>
      <c r="CJ38" s="33"/>
      <c r="CK38" s="33"/>
      <c r="CL38" s="33">
        <v>1</v>
      </c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>
        <v>0.1</v>
      </c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>
        <v>0.1</v>
      </c>
      <c r="DL38" s="34"/>
      <c r="DM38" s="34"/>
      <c r="DN38" s="34"/>
      <c r="DO38" s="33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3"/>
      <c r="ER38" s="33"/>
      <c r="ES38" s="34"/>
      <c r="ET38" s="34"/>
      <c r="EU38" s="34"/>
      <c r="EV38" s="34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</row>
    <row r="39" spans="1:171" x14ac:dyDescent="0.25">
      <c r="A39" s="50" t="str">
        <f t="shared" si="0"/>
        <v>FC_M_1_E_11_2023</v>
      </c>
      <c r="B39" s="26" t="str">
        <f t="shared" si="1"/>
        <v>FC_M_1_E_11</v>
      </c>
      <c r="C39" s="26" t="str">
        <f t="shared" si="2"/>
        <v>FC_2023</v>
      </c>
      <c r="D39" s="27" t="s">
        <v>23</v>
      </c>
      <c r="E39" s="28">
        <v>45109</v>
      </c>
      <c r="F39" s="27">
        <v>2023</v>
      </c>
      <c r="G39" s="27" t="s">
        <v>263</v>
      </c>
      <c r="H39" s="27" t="s">
        <v>281</v>
      </c>
      <c r="I39" s="27">
        <v>11</v>
      </c>
      <c r="J39" s="27" t="s">
        <v>231</v>
      </c>
      <c r="K39" s="27">
        <v>1</v>
      </c>
      <c r="L39" s="27" t="s">
        <v>204</v>
      </c>
      <c r="M39" s="27" t="s">
        <v>275</v>
      </c>
      <c r="N39" s="27" t="s">
        <v>264</v>
      </c>
      <c r="O39" s="11">
        <f t="shared" si="3"/>
        <v>100.19999999999999</v>
      </c>
      <c r="P39" s="29">
        <v>1</v>
      </c>
      <c r="Q39" s="29"/>
      <c r="R39" s="29"/>
      <c r="S39" s="29">
        <v>0.1</v>
      </c>
      <c r="T39" s="29"/>
      <c r="U39" s="29">
        <v>1</v>
      </c>
      <c r="V39" s="29"/>
      <c r="W39" s="29"/>
      <c r="X39" s="29">
        <v>15</v>
      </c>
      <c r="Y39" s="29">
        <v>37</v>
      </c>
      <c r="Z39" s="29">
        <v>43</v>
      </c>
      <c r="AA39" s="29"/>
      <c r="AB39" s="29"/>
      <c r="AC39" s="29">
        <v>2</v>
      </c>
      <c r="AD39" s="29"/>
      <c r="AE39" s="29"/>
      <c r="AF39" s="29"/>
      <c r="AG39" s="29"/>
      <c r="AH39" s="29">
        <v>0.1</v>
      </c>
      <c r="AI39" s="29">
        <v>1</v>
      </c>
      <c r="AJ39" s="30"/>
      <c r="AK39" s="30"/>
      <c r="AL39" s="30"/>
      <c r="AM39" s="30"/>
      <c r="AN39" s="30"/>
      <c r="AO39" s="30"/>
      <c r="AP39" s="31"/>
      <c r="AQ39" s="31">
        <v>1</v>
      </c>
      <c r="AR39" s="31">
        <v>11</v>
      </c>
      <c r="AS39" s="31">
        <v>1</v>
      </c>
      <c r="AT39" s="31"/>
      <c r="AU39" s="31"/>
      <c r="AV39" s="31"/>
      <c r="AW39" s="31"/>
      <c r="AX39" s="31"/>
      <c r="AY39" s="31"/>
      <c r="AZ39" s="31"/>
      <c r="BA39" s="31"/>
      <c r="BB39" s="31">
        <v>1</v>
      </c>
      <c r="BC39" s="31"/>
      <c r="BD39" s="31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3"/>
      <c r="CD39" s="33"/>
      <c r="CE39" s="33"/>
      <c r="CF39" s="33"/>
      <c r="CG39" s="33"/>
      <c r="CH39" s="33"/>
      <c r="CI39" s="33"/>
      <c r="CJ39" s="33"/>
      <c r="CK39" s="33"/>
      <c r="CL39" s="33">
        <v>2</v>
      </c>
      <c r="CM39" s="33">
        <v>3</v>
      </c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4"/>
      <c r="DM39" s="34"/>
      <c r="DN39" s="34"/>
      <c r="DO39" s="33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3"/>
      <c r="ER39" s="33"/>
      <c r="ES39" s="34"/>
      <c r="ET39" s="34"/>
      <c r="EU39" s="34"/>
      <c r="EV39" s="34"/>
      <c r="EW39" s="35"/>
      <c r="EX39" s="35">
        <v>1</v>
      </c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</row>
    <row r="40" spans="1:171" x14ac:dyDescent="0.25">
      <c r="A40" s="50" t="str">
        <f t="shared" si="0"/>
        <v>FC_M_1_E_12_2023</v>
      </c>
      <c r="B40" s="26" t="str">
        <f t="shared" si="1"/>
        <v>FC_M_1_E_12</v>
      </c>
      <c r="C40" s="26" t="str">
        <f t="shared" si="2"/>
        <v>FC_2023</v>
      </c>
      <c r="D40" s="27" t="s">
        <v>23</v>
      </c>
      <c r="E40" s="28">
        <v>45109</v>
      </c>
      <c r="F40" s="27">
        <v>2023</v>
      </c>
      <c r="G40" s="27" t="s">
        <v>263</v>
      </c>
      <c r="H40" s="27" t="s">
        <v>281</v>
      </c>
      <c r="I40" s="27">
        <v>12</v>
      </c>
      <c r="J40" s="27" t="s">
        <v>231</v>
      </c>
      <c r="K40" s="27">
        <v>1</v>
      </c>
      <c r="L40" s="27" t="s">
        <v>204</v>
      </c>
      <c r="M40" s="27" t="s">
        <v>282</v>
      </c>
      <c r="N40" s="27" t="s">
        <v>264</v>
      </c>
      <c r="O40" s="11">
        <f t="shared" si="3"/>
        <v>100.39999999999998</v>
      </c>
      <c r="P40" s="29">
        <v>1</v>
      </c>
      <c r="Q40" s="29"/>
      <c r="R40" s="29"/>
      <c r="S40" s="29">
        <v>0.1</v>
      </c>
      <c r="T40" s="29"/>
      <c r="U40" s="29"/>
      <c r="V40" s="29"/>
      <c r="W40" s="29"/>
      <c r="X40" s="29">
        <v>20</v>
      </c>
      <c r="Y40" s="29">
        <v>35</v>
      </c>
      <c r="Z40" s="29">
        <v>43</v>
      </c>
      <c r="AA40" s="29"/>
      <c r="AB40" s="29">
        <v>1</v>
      </c>
      <c r="AC40" s="29">
        <v>0.1</v>
      </c>
      <c r="AD40" s="29"/>
      <c r="AE40" s="29"/>
      <c r="AF40" s="29">
        <v>0.1</v>
      </c>
      <c r="AG40" s="29"/>
      <c r="AH40" s="29"/>
      <c r="AI40" s="29">
        <v>0.1</v>
      </c>
      <c r="AJ40" s="30"/>
      <c r="AK40" s="30"/>
      <c r="AL40" s="30"/>
      <c r="AM40" s="30"/>
      <c r="AN40" s="30"/>
      <c r="AO40" s="30"/>
      <c r="AP40" s="31">
        <v>1</v>
      </c>
      <c r="AQ40" s="31">
        <v>2</v>
      </c>
      <c r="AR40" s="31">
        <v>10</v>
      </c>
      <c r="AS40" s="31"/>
      <c r="AT40" s="31">
        <v>4</v>
      </c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3"/>
      <c r="CD40" s="33"/>
      <c r="CE40" s="33"/>
      <c r="CF40" s="33"/>
      <c r="CG40" s="33"/>
      <c r="CH40" s="33"/>
      <c r="CI40" s="33"/>
      <c r="CJ40" s="33"/>
      <c r="CK40" s="33"/>
      <c r="CL40" s="33">
        <v>1</v>
      </c>
      <c r="CM40" s="33"/>
      <c r="CN40" s="33"/>
      <c r="CO40" s="33">
        <v>6</v>
      </c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4"/>
      <c r="DM40" s="34"/>
      <c r="DN40" s="34"/>
      <c r="DO40" s="33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3"/>
      <c r="ER40" s="33"/>
      <c r="ES40" s="34"/>
      <c r="ET40" s="34"/>
      <c r="EU40" s="34"/>
      <c r="EV40" s="34"/>
      <c r="EW40" s="35"/>
      <c r="EX40" s="35">
        <v>3</v>
      </c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</row>
    <row r="41" spans="1:171" x14ac:dyDescent="0.25">
      <c r="A41" s="6" t="str">
        <f t="shared" si="0"/>
        <v>FC_M_1_E_09_2023</v>
      </c>
      <c r="B41" s="6" t="str">
        <f t="shared" si="1"/>
        <v>FC_M_1_E_09</v>
      </c>
      <c r="C41" s="26" t="str">
        <f t="shared" si="2"/>
        <v>FC_2023</v>
      </c>
      <c r="D41" s="27" t="s">
        <v>23</v>
      </c>
      <c r="E41" s="28">
        <v>45109</v>
      </c>
      <c r="F41" s="27">
        <v>2023</v>
      </c>
      <c r="G41" s="27" t="s">
        <v>263</v>
      </c>
      <c r="H41" s="27" t="s">
        <v>281</v>
      </c>
      <c r="I41" s="68">
        <v>9</v>
      </c>
      <c r="J41" s="68" t="s">
        <v>231</v>
      </c>
      <c r="K41" s="68">
        <v>1</v>
      </c>
      <c r="L41" s="68" t="s">
        <v>204</v>
      </c>
      <c r="M41" s="68" t="s">
        <v>283</v>
      </c>
      <c r="N41" s="68" t="s">
        <v>264</v>
      </c>
      <c r="O41" s="11">
        <f t="shared" si="3"/>
        <v>100</v>
      </c>
      <c r="P41" s="69"/>
      <c r="Q41" s="69"/>
      <c r="R41" s="69"/>
      <c r="S41" s="69"/>
      <c r="T41" s="69"/>
      <c r="U41" s="69"/>
      <c r="V41" s="69"/>
      <c r="W41" s="69"/>
      <c r="X41" s="69">
        <v>18</v>
      </c>
      <c r="Y41" s="69">
        <v>26</v>
      </c>
      <c r="Z41" s="69">
        <v>55</v>
      </c>
      <c r="AA41" s="69"/>
      <c r="AB41" s="69"/>
      <c r="AC41" s="69">
        <v>1</v>
      </c>
      <c r="AD41" s="69"/>
      <c r="AE41" s="69"/>
      <c r="AF41" s="69"/>
      <c r="AG41" s="69"/>
      <c r="AH41" s="69"/>
      <c r="AI41" s="69"/>
      <c r="AJ41" s="70"/>
      <c r="AK41" s="70"/>
      <c r="AL41" s="70"/>
      <c r="AM41" s="70"/>
      <c r="AN41" s="70"/>
      <c r="AO41" s="70"/>
      <c r="AP41" s="71"/>
      <c r="AQ41" s="71"/>
      <c r="AR41" s="71">
        <v>8</v>
      </c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2"/>
      <c r="CC41" s="33"/>
      <c r="CD41" s="33"/>
      <c r="CE41" s="33"/>
      <c r="CF41" s="33"/>
      <c r="CG41" s="33"/>
      <c r="CH41" s="33"/>
      <c r="CI41" s="33"/>
      <c r="CJ41" s="33"/>
      <c r="CK41" s="33"/>
      <c r="CL41" s="33">
        <v>6</v>
      </c>
      <c r="CM41" s="33"/>
      <c r="CN41" s="33"/>
      <c r="CO41" s="33">
        <v>2</v>
      </c>
      <c r="CP41" s="33"/>
      <c r="CQ41" s="33"/>
      <c r="CR41" s="33"/>
      <c r="CS41" s="33"/>
      <c r="CT41" s="34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EW41" s="35"/>
      <c r="EX41" s="35">
        <v>6</v>
      </c>
      <c r="EY41" s="35">
        <v>2</v>
      </c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</row>
    <row r="42" spans="1:171" x14ac:dyDescent="0.25">
      <c r="A42" s="6" t="str">
        <f t="shared" si="0"/>
        <v>FC_M_1_E_05_2023</v>
      </c>
      <c r="B42" s="6" t="str">
        <f t="shared" si="1"/>
        <v>FC_M_1_E_05</v>
      </c>
      <c r="C42" s="26" t="str">
        <f t="shared" si="2"/>
        <v>FC_2023</v>
      </c>
      <c r="D42" s="27" t="s">
        <v>23</v>
      </c>
      <c r="E42" s="28">
        <v>45109</v>
      </c>
      <c r="F42" s="27">
        <v>2023</v>
      </c>
      <c r="G42" s="27" t="s">
        <v>263</v>
      </c>
      <c r="H42" s="27" t="s">
        <v>281</v>
      </c>
      <c r="I42" s="68">
        <v>5</v>
      </c>
      <c r="J42" s="68" t="s">
        <v>231</v>
      </c>
      <c r="K42" s="68">
        <v>1</v>
      </c>
      <c r="L42" s="68" t="s">
        <v>204</v>
      </c>
      <c r="M42" s="68" t="s">
        <v>284</v>
      </c>
      <c r="N42" s="68" t="s">
        <v>264</v>
      </c>
      <c r="O42" s="11">
        <f t="shared" si="3"/>
        <v>100</v>
      </c>
      <c r="P42" s="69">
        <v>6</v>
      </c>
      <c r="Q42" s="69"/>
      <c r="R42" s="69"/>
      <c r="S42" s="69"/>
      <c r="T42" s="69"/>
      <c r="U42" s="69">
        <v>2</v>
      </c>
      <c r="V42" s="69"/>
      <c r="W42" s="69">
        <v>1</v>
      </c>
      <c r="X42" s="69">
        <v>1</v>
      </c>
      <c r="Y42" s="69"/>
      <c r="Z42" s="69">
        <v>84</v>
      </c>
      <c r="AA42" s="69"/>
      <c r="AB42" s="69"/>
      <c r="AC42" s="69">
        <v>2</v>
      </c>
      <c r="AD42" s="69"/>
      <c r="AE42" s="69"/>
      <c r="AF42" s="69"/>
      <c r="AG42" s="69"/>
      <c r="AH42" s="69">
        <v>4</v>
      </c>
      <c r="AI42" s="69"/>
      <c r="AJ42" s="70"/>
      <c r="AK42" s="70"/>
      <c r="AL42" s="70"/>
      <c r="AM42" s="70"/>
      <c r="AN42" s="70"/>
      <c r="AO42" s="70"/>
      <c r="AP42" s="71"/>
      <c r="AQ42" s="71"/>
      <c r="AR42" s="71">
        <v>3</v>
      </c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2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>
        <v>6</v>
      </c>
      <c r="CP42" s="33"/>
      <c r="CQ42" s="33"/>
      <c r="CR42" s="33"/>
      <c r="CS42" s="33"/>
      <c r="CT42" s="34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EW42" s="35"/>
      <c r="EX42" s="35">
        <v>5</v>
      </c>
      <c r="EY42" s="35">
        <v>3</v>
      </c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>
        <v>3</v>
      </c>
      <c r="FL42" s="35"/>
      <c r="FM42" s="35"/>
    </row>
    <row r="43" spans="1:171" x14ac:dyDescent="0.25">
      <c r="A43" s="6" t="str">
        <f t="shared" si="0"/>
        <v>FC_M_1_E_03_2023</v>
      </c>
      <c r="B43" s="6" t="str">
        <f t="shared" si="1"/>
        <v>FC_M_1_E_03</v>
      </c>
      <c r="C43" s="26" t="str">
        <f t="shared" si="2"/>
        <v>FC_2023</v>
      </c>
      <c r="D43" s="27" t="s">
        <v>23</v>
      </c>
      <c r="E43" s="28">
        <v>45109</v>
      </c>
      <c r="F43" s="27">
        <v>2023</v>
      </c>
      <c r="G43" s="27" t="s">
        <v>263</v>
      </c>
      <c r="H43" s="27" t="s">
        <v>281</v>
      </c>
      <c r="I43" s="68">
        <v>3</v>
      </c>
      <c r="J43" s="68" t="s">
        <v>231</v>
      </c>
      <c r="K43" s="68">
        <v>1</v>
      </c>
      <c r="L43" s="68" t="s">
        <v>204</v>
      </c>
      <c r="M43" s="68" t="s">
        <v>285</v>
      </c>
      <c r="N43" s="68" t="s">
        <v>264</v>
      </c>
      <c r="O43" s="11">
        <f t="shared" si="3"/>
        <v>100</v>
      </c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>
        <v>100</v>
      </c>
      <c r="AA43" s="69"/>
      <c r="AB43" s="69"/>
      <c r="AC43" s="69"/>
      <c r="AD43" s="69"/>
      <c r="AE43" s="69"/>
      <c r="AF43" s="69"/>
      <c r="AG43" s="69"/>
      <c r="AH43" s="69"/>
      <c r="AI43" s="69"/>
      <c r="AJ43" s="70"/>
      <c r="AK43" s="70"/>
      <c r="AL43" s="70"/>
      <c r="AM43" s="70"/>
      <c r="AN43" s="70"/>
      <c r="AO43" s="70"/>
      <c r="AP43" s="71"/>
      <c r="AQ43" s="71">
        <v>1</v>
      </c>
      <c r="AR43" s="71">
        <v>4</v>
      </c>
      <c r="AS43" s="71">
        <v>22</v>
      </c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2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4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EW43" s="35"/>
      <c r="EX43" s="35">
        <v>3</v>
      </c>
      <c r="EY43" s="35">
        <v>2</v>
      </c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>
        <v>3</v>
      </c>
      <c r="FL43" s="35"/>
      <c r="FM43" s="35"/>
    </row>
    <row r="44" spans="1:171" x14ac:dyDescent="0.25">
      <c r="A44" s="6" t="str">
        <f t="shared" si="0"/>
        <v>RP_L_1_E_01_2023</v>
      </c>
      <c r="B44" s="6" t="str">
        <f t="shared" si="1"/>
        <v>RP_L_1_E_01</v>
      </c>
      <c r="C44" s="26" t="str">
        <f t="shared" si="2"/>
        <v>RP_2023</v>
      </c>
      <c r="D44" s="27" t="s">
        <v>27</v>
      </c>
      <c r="E44" s="73">
        <v>45115</v>
      </c>
      <c r="F44" s="27">
        <v>2023</v>
      </c>
      <c r="G44" s="27" t="s">
        <v>289</v>
      </c>
      <c r="H44" s="27" t="s">
        <v>290</v>
      </c>
      <c r="I44" s="68">
        <v>1</v>
      </c>
      <c r="J44" s="68" t="s">
        <v>230</v>
      </c>
      <c r="K44" s="68">
        <v>1</v>
      </c>
      <c r="L44" s="68" t="s">
        <v>204</v>
      </c>
      <c r="M44" s="68"/>
      <c r="N44" s="68" t="s">
        <v>264</v>
      </c>
      <c r="O44" s="11">
        <f t="shared" si="3"/>
        <v>100.1</v>
      </c>
      <c r="P44" s="69">
        <v>19</v>
      </c>
      <c r="Q44" s="69"/>
      <c r="R44" s="69"/>
      <c r="S44" s="69"/>
      <c r="T44" s="69"/>
      <c r="U44" s="69"/>
      <c r="V44" s="69"/>
      <c r="W44" s="69">
        <v>73</v>
      </c>
      <c r="X44" s="69"/>
      <c r="Y44" s="69">
        <v>0.1</v>
      </c>
      <c r="Z44" s="69"/>
      <c r="AA44" s="69"/>
      <c r="AB44" s="69"/>
      <c r="AC44" s="69"/>
      <c r="AD44" s="69"/>
      <c r="AE44" s="69"/>
      <c r="AF44" s="69"/>
      <c r="AG44" s="69"/>
      <c r="AH44" s="69">
        <v>8</v>
      </c>
      <c r="AI44" s="69"/>
      <c r="AJ44" s="70"/>
      <c r="AK44" s="70"/>
      <c r="AL44" s="70"/>
      <c r="AM44" s="70"/>
      <c r="AN44" s="70"/>
      <c r="AO44" s="70"/>
      <c r="AP44" s="71"/>
      <c r="AQ44" s="71"/>
      <c r="AR44" s="71"/>
      <c r="AS44" s="71"/>
      <c r="AT44" s="71">
        <v>69</v>
      </c>
      <c r="AU44" s="71">
        <v>81</v>
      </c>
      <c r="AV44" s="71"/>
      <c r="AW44" s="71"/>
      <c r="AX44" s="71"/>
      <c r="AY44" s="71"/>
      <c r="AZ44" s="71"/>
      <c r="BA44" s="71"/>
      <c r="BB44" s="71"/>
      <c r="BC44" s="71"/>
      <c r="BD44" s="71"/>
      <c r="BE44" s="72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4"/>
      <c r="CU44" s="33">
        <v>2</v>
      </c>
      <c r="CV44" s="33"/>
      <c r="CW44" s="33">
        <v>25</v>
      </c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>
        <v>24</v>
      </c>
      <c r="DJ44" s="33"/>
      <c r="DK44" s="33"/>
      <c r="DL44" s="33"/>
      <c r="DM44" s="33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</row>
    <row r="45" spans="1:171" x14ac:dyDescent="0.25">
      <c r="A45" s="6" t="str">
        <f t="shared" si="0"/>
        <v>RP_L_1_E_02_2023</v>
      </c>
      <c r="B45" s="6" t="str">
        <f t="shared" si="1"/>
        <v>RP_L_1_E_02</v>
      </c>
      <c r="C45" s="26" t="str">
        <f t="shared" si="2"/>
        <v>RP_2023</v>
      </c>
      <c r="D45" s="27" t="s">
        <v>27</v>
      </c>
      <c r="E45" s="73">
        <v>45115</v>
      </c>
      <c r="F45" s="27">
        <v>2023</v>
      </c>
      <c r="G45" s="27" t="s">
        <v>289</v>
      </c>
      <c r="H45" s="27" t="s">
        <v>290</v>
      </c>
      <c r="I45" s="27">
        <v>2</v>
      </c>
      <c r="J45" s="27" t="s">
        <v>230</v>
      </c>
      <c r="K45" s="27">
        <v>1</v>
      </c>
      <c r="L45" s="68" t="s">
        <v>204</v>
      </c>
      <c r="N45" s="68" t="s">
        <v>264</v>
      </c>
      <c r="O45" s="11">
        <f t="shared" si="3"/>
        <v>100.1</v>
      </c>
      <c r="P45" s="29">
        <v>65</v>
      </c>
      <c r="Q45" s="29"/>
      <c r="R45" s="29"/>
      <c r="S45" s="29">
        <v>3</v>
      </c>
      <c r="T45" s="29">
        <v>1</v>
      </c>
      <c r="U45" s="29"/>
      <c r="V45" s="29"/>
      <c r="W45" s="29">
        <v>9</v>
      </c>
      <c r="X45" s="29"/>
      <c r="Y45" s="29">
        <v>0.1</v>
      </c>
      <c r="Z45" s="29"/>
      <c r="AA45" s="29"/>
      <c r="AB45" s="29"/>
      <c r="AC45" s="29">
        <v>1</v>
      </c>
      <c r="AD45" s="29"/>
      <c r="AE45" s="29">
        <v>0.5</v>
      </c>
      <c r="AF45" s="29"/>
      <c r="AG45" s="29"/>
      <c r="AH45" s="29">
        <v>20</v>
      </c>
      <c r="AI45" s="29">
        <v>0.5</v>
      </c>
      <c r="AJ45" s="30"/>
      <c r="AK45" s="30"/>
      <c r="AL45" s="30"/>
      <c r="AM45" s="30"/>
      <c r="AN45" s="30"/>
      <c r="AO45" s="30"/>
      <c r="AP45" s="31">
        <v>2</v>
      </c>
      <c r="AQ45" s="31"/>
      <c r="AR45" s="31"/>
      <c r="AS45" s="31">
        <v>2</v>
      </c>
      <c r="AT45" s="31">
        <v>9</v>
      </c>
      <c r="AU45" s="31">
        <v>2</v>
      </c>
      <c r="AV45" s="31"/>
      <c r="AW45" s="31"/>
      <c r="AX45" s="31"/>
      <c r="AY45" s="31"/>
      <c r="AZ45" s="31"/>
      <c r="BA45" s="31">
        <v>5</v>
      </c>
      <c r="BB45" s="31"/>
      <c r="BC45" s="31"/>
      <c r="BD45" s="31"/>
      <c r="BE45" s="32"/>
      <c r="BF45" s="32"/>
      <c r="BG45" s="32"/>
      <c r="BH45" s="32"/>
      <c r="BI45" s="32"/>
      <c r="BJ45" s="32"/>
      <c r="BK45" s="32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2">
        <v>24</v>
      </c>
      <c r="BW45" s="74"/>
      <c r="BX45" s="74"/>
      <c r="BY45" s="74"/>
      <c r="BZ45" s="74"/>
      <c r="CA45" s="74"/>
      <c r="CB45" s="74"/>
      <c r="CC45" s="75"/>
      <c r="CD45" s="33"/>
      <c r="CE45" s="33"/>
      <c r="CF45" s="33">
        <v>1</v>
      </c>
      <c r="CG45" s="33"/>
      <c r="CH45" s="33"/>
      <c r="CI45" s="33"/>
      <c r="CJ45" s="33"/>
      <c r="CK45" s="33"/>
      <c r="CL45" s="33">
        <v>1</v>
      </c>
      <c r="CM45" s="75"/>
      <c r="CN45" s="75"/>
      <c r="CO45" s="75"/>
      <c r="CP45" s="33"/>
      <c r="CQ45" s="33"/>
      <c r="CR45" s="33"/>
      <c r="CS45" s="33"/>
      <c r="CT45" s="34"/>
      <c r="CU45" s="33">
        <v>6</v>
      </c>
      <c r="CV45" s="33">
        <v>11</v>
      </c>
      <c r="CW45" s="33">
        <v>8</v>
      </c>
      <c r="CX45" s="33"/>
      <c r="CY45" s="33"/>
      <c r="CZ45" s="33"/>
      <c r="DA45" s="33">
        <v>10</v>
      </c>
      <c r="DB45" s="33">
        <v>10</v>
      </c>
      <c r="DC45" s="33"/>
      <c r="DD45" s="33"/>
      <c r="DE45" s="33"/>
      <c r="DF45" s="33"/>
      <c r="DG45" s="33"/>
      <c r="DH45" s="33"/>
      <c r="DI45" s="33">
        <v>36</v>
      </c>
      <c r="DJ45" s="33"/>
      <c r="DK45" s="33"/>
      <c r="DL45" s="75"/>
      <c r="DM45" s="7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</row>
    <row r="46" spans="1:171" x14ac:dyDescent="0.25">
      <c r="A46" s="6" t="str">
        <f t="shared" si="0"/>
        <v>RP_L_1_E_03_2023</v>
      </c>
      <c r="B46" s="6" t="str">
        <f t="shared" si="1"/>
        <v>RP_L_1_E_03</v>
      </c>
      <c r="C46" s="26" t="str">
        <f t="shared" si="2"/>
        <v>RP_2023</v>
      </c>
      <c r="D46" s="27" t="s">
        <v>27</v>
      </c>
      <c r="E46" s="73">
        <v>45115</v>
      </c>
      <c r="F46" s="27">
        <v>2023</v>
      </c>
      <c r="G46" s="27" t="s">
        <v>289</v>
      </c>
      <c r="H46" s="27" t="s">
        <v>290</v>
      </c>
      <c r="I46" s="27">
        <v>3</v>
      </c>
      <c r="J46" s="27" t="s">
        <v>230</v>
      </c>
      <c r="K46" s="27">
        <v>1</v>
      </c>
      <c r="L46" s="68" t="s">
        <v>204</v>
      </c>
      <c r="N46" s="68" t="s">
        <v>264</v>
      </c>
      <c r="O46" s="11">
        <f>SUM(P46:AO46)</f>
        <v>100</v>
      </c>
      <c r="P46" s="29">
        <v>57.5</v>
      </c>
      <c r="Q46" s="29"/>
      <c r="R46" s="29">
        <v>8</v>
      </c>
      <c r="S46" s="29">
        <v>16</v>
      </c>
      <c r="T46" s="29"/>
      <c r="U46" s="29"/>
      <c r="V46" s="29"/>
      <c r="W46" s="29">
        <v>5</v>
      </c>
      <c r="X46" s="29"/>
      <c r="Y46" s="29"/>
      <c r="Z46" s="29"/>
      <c r="AA46" s="29"/>
      <c r="AB46" s="29"/>
      <c r="AC46" s="29">
        <v>1</v>
      </c>
      <c r="AD46" s="29"/>
      <c r="AE46" s="29">
        <v>5</v>
      </c>
      <c r="AF46" s="29"/>
      <c r="AG46" s="29">
        <v>0.5</v>
      </c>
      <c r="AH46" s="29">
        <v>7</v>
      </c>
      <c r="AI46" s="29"/>
      <c r="AJ46" s="30"/>
      <c r="AK46" s="30"/>
      <c r="AL46" s="30"/>
      <c r="AM46" s="30"/>
      <c r="AN46" s="30"/>
      <c r="AO46" s="30"/>
      <c r="AP46" s="31">
        <v>2</v>
      </c>
      <c r="AQ46" s="31">
        <v>1</v>
      </c>
      <c r="AR46" s="31"/>
      <c r="AS46" s="31"/>
      <c r="AT46" s="31">
        <v>49</v>
      </c>
      <c r="AU46" s="31"/>
      <c r="AV46" s="31">
        <v>2</v>
      </c>
      <c r="AW46" s="31"/>
      <c r="AX46" s="31"/>
      <c r="AY46" s="31"/>
      <c r="AZ46" s="31"/>
      <c r="BA46" s="31"/>
      <c r="BB46" s="31">
        <v>5</v>
      </c>
      <c r="BC46" s="31">
        <v>1</v>
      </c>
      <c r="BD46" s="31"/>
      <c r="BE46" s="32"/>
      <c r="BF46" s="32"/>
      <c r="BG46" s="32"/>
      <c r="BH46" s="32"/>
      <c r="BI46" s="32"/>
      <c r="BJ46" s="32"/>
      <c r="BK46" s="32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2"/>
      <c r="BW46" s="74"/>
      <c r="BX46" s="74"/>
      <c r="BY46" s="74"/>
      <c r="BZ46" s="74"/>
      <c r="CA46" s="74"/>
      <c r="CB46" s="74"/>
      <c r="CC46" s="75"/>
      <c r="CD46" s="33"/>
      <c r="CE46" s="33"/>
      <c r="CF46" s="33">
        <v>60</v>
      </c>
      <c r="CG46" s="33"/>
      <c r="CH46" s="33"/>
      <c r="CI46" s="33"/>
      <c r="CJ46" s="33"/>
      <c r="CK46" s="33"/>
      <c r="CL46" s="33">
        <v>6</v>
      </c>
      <c r="CM46" s="75">
        <v>1</v>
      </c>
      <c r="CN46" s="75"/>
      <c r="CO46" s="75"/>
      <c r="CP46" s="33"/>
      <c r="CQ46" s="33"/>
      <c r="CR46" s="33"/>
      <c r="CS46" s="33"/>
      <c r="CT46" s="34"/>
      <c r="CU46" s="33"/>
      <c r="CV46" s="33">
        <v>0.5</v>
      </c>
      <c r="CW46" s="33"/>
      <c r="CX46" s="33"/>
      <c r="CY46" s="33"/>
      <c r="CZ46" s="33"/>
      <c r="DA46" s="33">
        <v>1</v>
      </c>
      <c r="DB46" s="33">
        <v>24</v>
      </c>
      <c r="DC46" s="33"/>
      <c r="DD46" s="33"/>
      <c r="DE46" s="33"/>
      <c r="DF46" s="33"/>
      <c r="DG46" s="33"/>
      <c r="DH46" s="33"/>
      <c r="DI46" s="33"/>
      <c r="DJ46" s="33"/>
      <c r="DK46" s="33">
        <v>0.1</v>
      </c>
      <c r="DL46" s="75">
        <v>3</v>
      </c>
      <c r="DM46" s="7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O46" s="37">
        <v>1</v>
      </c>
    </row>
    <row r="47" spans="1:171" x14ac:dyDescent="0.25">
      <c r="A47" s="6" t="str">
        <f t="shared" si="0"/>
        <v>RP_L_1_E_04_2023</v>
      </c>
      <c r="B47" s="6" t="str">
        <f t="shared" si="1"/>
        <v>RP_L_1_E_04</v>
      </c>
      <c r="C47" s="26" t="str">
        <f t="shared" si="2"/>
        <v>RP_2023</v>
      </c>
      <c r="D47" s="27" t="s">
        <v>27</v>
      </c>
      <c r="E47" s="73">
        <v>45115</v>
      </c>
      <c r="F47" s="27">
        <v>2023</v>
      </c>
      <c r="G47" s="27" t="s">
        <v>289</v>
      </c>
      <c r="H47" s="27" t="s">
        <v>290</v>
      </c>
      <c r="I47" s="27">
        <v>4</v>
      </c>
      <c r="J47" s="27" t="s">
        <v>230</v>
      </c>
      <c r="K47" s="27">
        <v>1</v>
      </c>
      <c r="L47" s="68" t="s">
        <v>204</v>
      </c>
      <c r="N47" s="68" t="s">
        <v>264</v>
      </c>
      <c r="O47" s="11">
        <f t="shared" si="3"/>
        <v>100</v>
      </c>
      <c r="P47" s="29">
        <v>61</v>
      </c>
      <c r="Q47" s="29">
        <v>2</v>
      </c>
      <c r="R47" s="29">
        <v>6</v>
      </c>
      <c r="S47" s="29">
        <v>1</v>
      </c>
      <c r="T47" s="29"/>
      <c r="U47" s="29"/>
      <c r="V47" s="29"/>
      <c r="W47" s="29">
        <v>10</v>
      </c>
      <c r="X47" s="29"/>
      <c r="Y47" s="29"/>
      <c r="Z47" s="29"/>
      <c r="AA47" s="29"/>
      <c r="AB47" s="29">
        <v>5</v>
      </c>
      <c r="AC47" s="29">
        <v>2</v>
      </c>
      <c r="AD47" s="29"/>
      <c r="AE47" s="29"/>
      <c r="AF47" s="29"/>
      <c r="AG47" s="29">
        <v>6</v>
      </c>
      <c r="AH47" s="29">
        <v>7</v>
      </c>
      <c r="AI47" s="29"/>
      <c r="AJ47" s="30"/>
      <c r="AK47" s="30"/>
      <c r="AL47" s="30"/>
      <c r="AM47" s="30"/>
      <c r="AN47" s="30"/>
      <c r="AO47" s="30"/>
      <c r="AP47" s="31"/>
      <c r="AQ47" s="31">
        <v>2</v>
      </c>
      <c r="AR47" s="31"/>
      <c r="AS47" s="31"/>
      <c r="AT47" s="31">
        <v>3</v>
      </c>
      <c r="AU47" s="31"/>
      <c r="AV47" s="31"/>
      <c r="AW47" s="31"/>
      <c r="AX47" s="31"/>
      <c r="AY47" s="31"/>
      <c r="AZ47" s="31">
        <v>6</v>
      </c>
      <c r="BA47" s="31"/>
      <c r="BB47" s="31">
        <v>1</v>
      </c>
      <c r="BC47" s="31"/>
      <c r="BD47" s="31"/>
      <c r="BE47" s="32"/>
      <c r="BF47" s="32"/>
      <c r="BG47" s="32"/>
      <c r="BH47" s="32"/>
      <c r="BI47" s="32"/>
      <c r="BJ47" s="32"/>
      <c r="BK47" s="32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5"/>
      <c r="CD47" s="33"/>
      <c r="CE47" s="33"/>
      <c r="CF47" s="33">
        <v>4</v>
      </c>
      <c r="CG47" s="33"/>
      <c r="CH47" s="33"/>
      <c r="CI47" s="33"/>
      <c r="CJ47" s="33"/>
      <c r="CK47" s="33"/>
      <c r="CL47" s="33"/>
      <c r="CM47" s="75"/>
      <c r="CN47" s="75"/>
      <c r="CO47" s="75"/>
      <c r="CP47" s="33"/>
      <c r="CQ47" s="33"/>
      <c r="CR47" s="33"/>
      <c r="CS47" s="33"/>
      <c r="CT47" s="34"/>
      <c r="CU47" s="33"/>
      <c r="CV47" s="33">
        <v>6</v>
      </c>
      <c r="CW47" s="33">
        <v>2</v>
      </c>
      <c r="CX47" s="33"/>
      <c r="CY47" s="33"/>
      <c r="CZ47" s="33"/>
      <c r="DA47" s="33">
        <v>4</v>
      </c>
      <c r="DB47" s="33"/>
      <c r="DC47" s="33"/>
      <c r="DD47" s="33"/>
      <c r="DE47" s="33"/>
      <c r="DF47" s="33"/>
      <c r="DG47" s="33"/>
      <c r="DH47" s="33"/>
      <c r="DI47" s="33">
        <v>9</v>
      </c>
      <c r="DJ47" s="33"/>
      <c r="DK47" s="33">
        <v>4</v>
      </c>
      <c r="DL47" s="75">
        <v>12</v>
      </c>
      <c r="DM47" s="7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</row>
    <row r="48" spans="1:171" x14ac:dyDescent="0.25">
      <c r="A48" s="6" t="str">
        <f t="shared" si="0"/>
        <v>RP_L_1_E_05_2023</v>
      </c>
      <c r="B48" s="6" t="str">
        <f t="shared" si="1"/>
        <v>RP_L_1_E_05</v>
      </c>
      <c r="C48" s="26" t="str">
        <f t="shared" si="2"/>
        <v>RP_2023</v>
      </c>
      <c r="D48" s="27" t="s">
        <v>27</v>
      </c>
      <c r="E48" s="73">
        <v>45115</v>
      </c>
      <c r="F48" s="27">
        <v>2023</v>
      </c>
      <c r="G48" s="27" t="s">
        <v>289</v>
      </c>
      <c r="H48" s="27" t="s">
        <v>290</v>
      </c>
      <c r="I48" s="27">
        <v>5</v>
      </c>
      <c r="J48" s="27" t="s">
        <v>230</v>
      </c>
      <c r="K48" s="27">
        <v>1</v>
      </c>
      <c r="L48" s="68" t="s">
        <v>204</v>
      </c>
      <c r="N48" s="68" t="s">
        <v>264</v>
      </c>
      <c r="O48" s="11">
        <f t="shared" si="3"/>
        <v>100</v>
      </c>
      <c r="P48" s="29">
        <v>72</v>
      </c>
      <c r="Q48" s="29"/>
      <c r="R48" s="29">
        <v>3</v>
      </c>
      <c r="S48" s="29">
        <v>8</v>
      </c>
      <c r="T48" s="29"/>
      <c r="U48" s="29"/>
      <c r="V48" s="29"/>
      <c r="W48" s="29">
        <v>1</v>
      </c>
      <c r="X48" s="29"/>
      <c r="Y48" s="29"/>
      <c r="Z48" s="29"/>
      <c r="AA48" s="29"/>
      <c r="AB48" s="29"/>
      <c r="AC48" s="29"/>
      <c r="AD48" s="29"/>
      <c r="AE48" s="29">
        <v>8</v>
      </c>
      <c r="AF48" s="29"/>
      <c r="AG48" s="29"/>
      <c r="AH48" s="29">
        <v>4</v>
      </c>
      <c r="AI48" s="29">
        <v>4</v>
      </c>
      <c r="AJ48" s="30"/>
      <c r="AK48" s="30"/>
      <c r="AL48" s="30"/>
      <c r="AM48" s="30"/>
      <c r="AN48" s="30"/>
      <c r="AO48" s="30"/>
      <c r="AP48" s="31">
        <v>1</v>
      </c>
      <c r="AQ48" s="31"/>
      <c r="AR48" s="31"/>
      <c r="AS48" s="31"/>
      <c r="AT48" s="31">
        <v>1</v>
      </c>
      <c r="AU48" s="31"/>
      <c r="AV48" s="31"/>
      <c r="AW48" s="31"/>
      <c r="AX48" s="31">
        <v>3</v>
      </c>
      <c r="AY48" s="31"/>
      <c r="AZ48" s="31"/>
      <c r="BA48" s="31"/>
      <c r="BB48" s="31">
        <v>1</v>
      </c>
      <c r="BC48" s="31"/>
      <c r="BD48" s="31"/>
      <c r="BE48" s="32"/>
      <c r="BF48" s="32"/>
      <c r="BG48" s="32"/>
      <c r="BH48" s="32"/>
      <c r="BI48" s="32"/>
      <c r="BJ48" s="32"/>
      <c r="BK48" s="32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32"/>
      <c r="CC48" s="33">
        <v>3</v>
      </c>
      <c r="CD48" s="33"/>
      <c r="CE48" s="33"/>
      <c r="CF48" s="33">
        <v>97</v>
      </c>
      <c r="CG48" s="33"/>
      <c r="CH48" s="33"/>
      <c r="CI48" s="33"/>
      <c r="CJ48" s="33"/>
      <c r="CK48" s="33">
        <v>0.5</v>
      </c>
      <c r="CL48" s="33"/>
      <c r="CM48" s="33">
        <v>27</v>
      </c>
      <c r="CN48" s="33"/>
      <c r="CO48" s="33"/>
      <c r="CP48" s="33"/>
      <c r="CQ48" s="33"/>
      <c r="CR48" s="33">
        <v>2</v>
      </c>
      <c r="CS48" s="33"/>
      <c r="CT48" s="34"/>
      <c r="CU48" s="33"/>
      <c r="CV48" s="33">
        <v>0.1</v>
      </c>
      <c r="CW48" s="33"/>
      <c r="CX48" s="33"/>
      <c r="CY48" s="33"/>
      <c r="CZ48" s="33">
        <v>4</v>
      </c>
      <c r="DA48" s="33"/>
      <c r="DB48" s="33">
        <v>5</v>
      </c>
      <c r="DC48" s="33">
        <v>3</v>
      </c>
      <c r="DD48" s="33">
        <v>1</v>
      </c>
      <c r="DE48" s="33"/>
      <c r="DF48" s="33"/>
      <c r="DG48" s="33"/>
      <c r="DH48" s="33"/>
      <c r="DI48" s="33"/>
      <c r="DJ48" s="33"/>
      <c r="DK48" s="33"/>
      <c r="DL48" s="33"/>
      <c r="DM48" s="33"/>
      <c r="DN48" s="34"/>
      <c r="DO48" s="34"/>
    </row>
    <row r="49" spans="1:169" x14ac:dyDescent="0.25">
      <c r="A49" s="6" t="str">
        <f t="shared" si="0"/>
        <v>RP_L_3_E_01_2023</v>
      </c>
      <c r="B49" s="6" t="str">
        <f t="shared" si="1"/>
        <v>RP_L_3_E_01</v>
      </c>
      <c r="C49" s="26" t="str">
        <f t="shared" si="2"/>
        <v>RP_2023</v>
      </c>
      <c r="D49" s="27" t="s">
        <v>27</v>
      </c>
      <c r="E49" s="73">
        <v>45115</v>
      </c>
      <c r="F49" s="27">
        <v>2023</v>
      </c>
      <c r="G49" s="7" t="s">
        <v>289</v>
      </c>
      <c r="H49" s="7" t="s">
        <v>290</v>
      </c>
      <c r="I49" s="27">
        <v>1</v>
      </c>
      <c r="J49" s="27" t="s">
        <v>230</v>
      </c>
      <c r="K49" s="27">
        <v>3</v>
      </c>
      <c r="L49" s="68" t="s">
        <v>204</v>
      </c>
      <c r="N49" s="68" t="s">
        <v>264</v>
      </c>
      <c r="O49" s="11">
        <f t="shared" si="3"/>
        <v>100</v>
      </c>
      <c r="P49" s="29">
        <v>55</v>
      </c>
      <c r="Q49" s="29"/>
      <c r="R49" s="29">
        <v>5</v>
      </c>
      <c r="S49" s="29">
        <v>9</v>
      </c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>
        <v>3</v>
      </c>
      <c r="AF49" s="29"/>
      <c r="AG49" s="29"/>
      <c r="AH49" s="29">
        <v>23</v>
      </c>
      <c r="AI49" s="29">
        <v>5</v>
      </c>
      <c r="AJ49" s="30"/>
      <c r="AK49" s="30"/>
      <c r="AL49" s="30"/>
      <c r="AM49" s="30"/>
      <c r="AN49" s="30"/>
      <c r="AO49" s="30"/>
      <c r="AP49" s="31"/>
      <c r="AQ49" s="31"/>
      <c r="AR49" s="31"/>
      <c r="AS49" s="31"/>
      <c r="AT49" s="31"/>
      <c r="AU49" s="31"/>
      <c r="AV49" s="31"/>
      <c r="AW49" s="31"/>
      <c r="AX49" s="31">
        <v>1</v>
      </c>
      <c r="AY49" s="31"/>
      <c r="AZ49" s="31"/>
      <c r="BA49" s="31"/>
      <c r="BB49" s="31">
        <v>1</v>
      </c>
      <c r="BC49" s="31"/>
      <c r="BD49" s="31"/>
      <c r="BE49" s="32"/>
      <c r="BF49" s="32"/>
      <c r="BG49" s="32"/>
      <c r="BH49" s="32"/>
      <c r="BI49" s="32"/>
      <c r="BJ49" s="32"/>
      <c r="BK49" s="32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32"/>
      <c r="CC49" s="33"/>
      <c r="CD49" s="33"/>
      <c r="CE49" s="33"/>
      <c r="CF49" s="33">
        <v>21</v>
      </c>
      <c r="CG49" s="33"/>
      <c r="CH49" s="33"/>
      <c r="CI49" s="33"/>
      <c r="CJ49" s="33"/>
      <c r="CK49" s="33"/>
      <c r="CL49" s="33"/>
      <c r="CM49" s="33">
        <v>11</v>
      </c>
      <c r="CN49" s="33"/>
      <c r="CO49" s="33"/>
      <c r="CP49" s="33"/>
      <c r="CQ49" s="33"/>
      <c r="CR49" s="33">
        <v>0.5</v>
      </c>
      <c r="CS49" s="33"/>
      <c r="CT49" s="34"/>
      <c r="CU49" s="33"/>
      <c r="CV49" s="33"/>
      <c r="CW49" s="33">
        <v>0.5</v>
      </c>
      <c r="CX49" s="33"/>
      <c r="CY49" s="33"/>
      <c r="CZ49" s="33">
        <v>7</v>
      </c>
      <c r="DA49" s="33">
        <v>0.1</v>
      </c>
      <c r="DB49" s="33">
        <v>57</v>
      </c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4"/>
      <c r="DO49" s="34"/>
    </row>
    <row r="50" spans="1:169" x14ac:dyDescent="0.25">
      <c r="A50" s="6" t="str">
        <f t="shared" si="0"/>
        <v>RP_L_3_E_02_2023</v>
      </c>
      <c r="B50" s="6" t="str">
        <f t="shared" si="1"/>
        <v>RP_L_3_E_02</v>
      </c>
      <c r="C50" s="26" t="str">
        <f t="shared" si="2"/>
        <v>RP_2023</v>
      </c>
      <c r="D50" s="27" t="s">
        <v>27</v>
      </c>
      <c r="E50" s="73">
        <v>45115</v>
      </c>
      <c r="F50" s="27">
        <v>2023</v>
      </c>
      <c r="G50" s="7" t="s">
        <v>289</v>
      </c>
      <c r="H50" s="7" t="s">
        <v>290</v>
      </c>
      <c r="I50" s="27">
        <v>2</v>
      </c>
      <c r="J50" s="27" t="s">
        <v>230</v>
      </c>
      <c r="K50" s="27">
        <v>3</v>
      </c>
      <c r="L50" s="68" t="s">
        <v>204</v>
      </c>
      <c r="N50" s="68" t="s">
        <v>264</v>
      </c>
      <c r="O50" s="11">
        <f t="shared" si="3"/>
        <v>100</v>
      </c>
      <c r="P50" s="29">
        <v>65</v>
      </c>
      <c r="Q50" s="29">
        <v>12</v>
      </c>
      <c r="R50" s="29">
        <v>5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>
        <v>8</v>
      </c>
      <c r="AE50" s="29"/>
      <c r="AF50" s="29"/>
      <c r="AG50" s="29"/>
      <c r="AH50" s="29">
        <v>2</v>
      </c>
      <c r="AI50" s="29">
        <v>8</v>
      </c>
      <c r="AJ50" s="30"/>
      <c r="AK50" s="30"/>
      <c r="AL50" s="30"/>
      <c r="AM50" s="30"/>
      <c r="AN50" s="30"/>
      <c r="AO50" s="30"/>
      <c r="AP50" s="31"/>
      <c r="AQ50" s="31"/>
      <c r="AR50" s="31"/>
      <c r="AS50" s="31">
        <v>1</v>
      </c>
      <c r="AT50" s="31"/>
      <c r="AU50" s="31"/>
      <c r="AV50" s="31">
        <v>1</v>
      </c>
      <c r="AW50" s="31"/>
      <c r="AX50" s="31">
        <v>1</v>
      </c>
      <c r="AY50" s="31">
        <v>2</v>
      </c>
      <c r="AZ50" s="31">
        <v>13</v>
      </c>
      <c r="BA50" s="31"/>
      <c r="BB50" s="31">
        <v>2</v>
      </c>
      <c r="BC50" s="31"/>
      <c r="BD50" s="31"/>
      <c r="BE50" s="32"/>
      <c r="BF50" s="32"/>
      <c r="BG50" s="32"/>
      <c r="BH50" s="32"/>
      <c r="BI50" s="32"/>
      <c r="BJ50" s="32"/>
      <c r="BK50" s="32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32"/>
      <c r="CC50" s="33"/>
      <c r="CD50" s="33"/>
      <c r="CE50" s="33"/>
      <c r="CF50" s="33">
        <v>2</v>
      </c>
      <c r="CG50" s="33"/>
      <c r="CH50" s="33"/>
      <c r="CI50" s="33"/>
      <c r="CJ50" s="33"/>
      <c r="CK50" s="33">
        <v>39</v>
      </c>
      <c r="CL50" s="33">
        <v>2</v>
      </c>
      <c r="CM50" s="33"/>
      <c r="CN50" s="33"/>
      <c r="CO50" s="33"/>
      <c r="CP50" s="33"/>
      <c r="CQ50" s="33"/>
      <c r="CR50" s="33"/>
      <c r="CS50" s="33"/>
      <c r="CT50" s="34"/>
      <c r="CU50" s="33"/>
      <c r="CV50" s="33"/>
      <c r="CW50" s="33"/>
      <c r="CX50" s="33"/>
      <c r="CY50" s="33"/>
      <c r="CZ50" s="33"/>
      <c r="DA50" s="33"/>
      <c r="DB50" s="33"/>
      <c r="DC50" s="33"/>
      <c r="DD50" s="33">
        <v>5</v>
      </c>
      <c r="DE50" s="33"/>
      <c r="DF50" s="33"/>
      <c r="DG50" s="33"/>
      <c r="DH50" s="33"/>
      <c r="DI50" s="33"/>
      <c r="DJ50" s="33"/>
      <c r="DK50" s="33"/>
      <c r="DL50" s="33"/>
      <c r="DM50" s="33"/>
      <c r="DN50" s="34"/>
      <c r="DO50" s="34"/>
    </row>
    <row r="51" spans="1:169" x14ac:dyDescent="0.25">
      <c r="A51" s="6" t="str">
        <f t="shared" si="0"/>
        <v>RP_L_3_E_03_2023</v>
      </c>
      <c r="B51" s="6" t="str">
        <f t="shared" si="1"/>
        <v>RP_L_3_E_03</v>
      </c>
      <c r="C51" s="26" t="str">
        <f t="shared" si="2"/>
        <v>RP_2023</v>
      </c>
      <c r="D51" s="27" t="s">
        <v>27</v>
      </c>
      <c r="E51" s="73">
        <v>45115</v>
      </c>
      <c r="F51" s="27">
        <v>2023</v>
      </c>
      <c r="G51" s="7" t="s">
        <v>289</v>
      </c>
      <c r="H51" s="7" t="s">
        <v>290</v>
      </c>
      <c r="I51" s="27">
        <v>3</v>
      </c>
      <c r="J51" s="27" t="s">
        <v>230</v>
      </c>
      <c r="K51" s="27">
        <v>3</v>
      </c>
      <c r="L51" s="68" t="s">
        <v>204</v>
      </c>
      <c r="N51" s="68" t="s">
        <v>264</v>
      </c>
      <c r="O51" s="11">
        <f t="shared" si="3"/>
        <v>100</v>
      </c>
      <c r="P51" s="29">
        <v>18</v>
      </c>
      <c r="Q51" s="29">
        <v>61</v>
      </c>
      <c r="R51" s="29"/>
      <c r="S51" s="29">
        <v>1</v>
      </c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>
        <v>3</v>
      </c>
      <c r="AE51" s="29"/>
      <c r="AF51" s="29"/>
      <c r="AG51" s="29"/>
      <c r="AH51" s="29">
        <v>15</v>
      </c>
      <c r="AI51" s="29">
        <v>2</v>
      </c>
      <c r="AJ51" s="30"/>
      <c r="AK51" s="30"/>
      <c r="AL51" s="30"/>
      <c r="AM51" s="30"/>
      <c r="AN51" s="30"/>
      <c r="AO51" s="30"/>
      <c r="AP51" s="31"/>
      <c r="AQ51" s="31"/>
      <c r="AR51" s="31"/>
      <c r="AS51" s="31"/>
      <c r="AT51" s="31"/>
      <c r="AU51" s="31"/>
      <c r="AV51" s="31"/>
      <c r="AW51" s="31"/>
      <c r="AX51" s="31"/>
      <c r="AY51" s="31">
        <v>2</v>
      </c>
      <c r="AZ51" s="31"/>
      <c r="BA51" s="31"/>
      <c r="BB51" s="31"/>
      <c r="BC51" s="31"/>
      <c r="BD51" s="31"/>
      <c r="BE51" s="32"/>
      <c r="BF51" s="32"/>
      <c r="BG51" s="32"/>
      <c r="BH51" s="32"/>
      <c r="BI51" s="32"/>
      <c r="BJ51" s="32"/>
      <c r="BK51" s="32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32"/>
      <c r="CC51" s="33"/>
      <c r="CD51" s="33"/>
      <c r="CE51" s="33"/>
      <c r="CF51" s="33"/>
      <c r="CG51" s="33"/>
      <c r="CH51" s="33"/>
      <c r="CI51" s="33"/>
      <c r="CJ51" s="33"/>
      <c r="CK51" s="33">
        <v>11</v>
      </c>
      <c r="CL51" s="33"/>
      <c r="CM51" s="33">
        <v>2</v>
      </c>
      <c r="CN51" s="33"/>
      <c r="CO51" s="33"/>
      <c r="CP51" s="33"/>
      <c r="CQ51" s="33"/>
      <c r="CR51" s="33">
        <v>0.1</v>
      </c>
      <c r="CS51" s="33">
        <v>4</v>
      </c>
      <c r="CT51" s="34"/>
      <c r="CU51" s="33"/>
      <c r="CV51" s="33"/>
      <c r="CW51" s="33"/>
      <c r="CX51" s="33"/>
      <c r="CY51" s="33"/>
      <c r="CZ51" s="33">
        <v>42</v>
      </c>
      <c r="DA51" s="33">
        <v>0.5</v>
      </c>
      <c r="DB51" s="33">
        <v>8</v>
      </c>
      <c r="DC51" s="33">
        <v>7</v>
      </c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4"/>
      <c r="DO51" s="34"/>
    </row>
    <row r="52" spans="1:169" x14ac:dyDescent="0.25">
      <c r="A52" s="6" t="str">
        <f t="shared" si="0"/>
        <v>RP_L_3_E_04_2023</v>
      </c>
      <c r="B52" s="6" t="str">
        <f t="shared" si="1"/>
        <v>RP_L_3_E_04</v>
      </c>
      <c r="C52" s="26" t="str">
        <f t="shared" si="2"/>
        <v>RP_2023</v>
      </c>
      <c r="D52" s="27" t="s">
        <v>27</v>
      </c>
      <c r="E52" s="73">
        <v>45115</v>
      </c>
      <c r="F52" s="27">
        <v>2023</v>
      </c>
      <c r="G52" s="7" t="s">
        <v>289</v>
      </c>
      <c r="H52" s="7" t="s">
        <v>290</v>
      </c>
      <c r="I52" s="27">
        <v>4</v>
      </c>
      <c r="J52" s="27" t="s">
        <v>230</v>
      </c>
      <c r="K52" s="27">
        <v>3</v>
      </c>
      <c r="L52" s="68" t="s">
        <v>204</v>
      </c>
      <c r="N52" s="68" t="s">
        <v>264</v>
      </c>
      <c r="O52" s="11">
        <f t="shared" si="3"/>
        <v>100</v>
      </c>
      <c r="P52" s="29">
        <v>41</v>
      </c>
      <c r="Q52" s="29">
        <v>19</v>
      </c>
      <c r="R52" s="29"/>
      <c r="S52" s="29">
        <v>4</v>
      </c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>
        <v>30</v>
      </c>
      <c r="AE52" s="29">
        <v>1</v>
      </c>
      <c r="AF52" s="29"/>
      <c r="AG52" s="29"/>
      <c r="AH52" s="29">
        <v>4</v>
      </c>
      <c r="AI52" s="29">
        <v>1</v>
      </c>
      <c r="AJ52" s="30"/>
      <c r="AK52" s="30"/>
      <c r="AL52" s="30"/>
      <c r="AM52" s="30"/>
      <c r="AN52" s="30"/>
      <c r="AO52" s="30"/>
      <c r="AP52" s="31">
        <v>2</v>
      </c>
      <c r="AQ52" s="31"/>
      <c r="AR52" s="31"/>
      <c r="AS52" s="31"/>
      <c r="AT52" s="31">
        <v>1</v>
      </c>
      <c r="AU52" s="31"/>
      <c r="AV52" s="31"/>
      <c r="AW52" s="31"/>
      <c r="AX52" s="31"/>
      <c r="AY52" s="31"/>
      <c r="AZ52" s="31">
        <v>13</v>
      </c>
      <c r="BA52" s="31"/>
      <c r="BB52" s="31"/>
      <c r="BC52" s="31"/>
      <c r="BD52" s="31"/>
      <c r="BE52" s="32"/>
      <c r="BF52" s="32"/>
      <c r="BG52" s="32"/>
      <c r="BH52" s="32"/>
      <c r="BI52" s="32"/>
      <c r="BJ52" s="32"/>
      <c r="BK52" s="32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32">
        <v>2</v>
      </c>
      <c r="BW52" s="74"/>
      <c r="BX52" s="74"/>
      <c r="BY52" s="74"/>
      <c r="BZ52" s="74"/>
      <c r="CA52" s="74"/>
      <c r="CB52" s="32"/>
      <c r="CC52" s="33"/>
      <c r="CD52" s="33"/>
      <c r="CE52" s="33"/>
      <c r="CF52" s="33">
        <v>13</v>
      </c>
      <c r="CG52" s="33"/>
      <c r="CH52" s="33"/>
      <c r="CI52" s="33"/>
      <c r="CJ52" s="33"/>
      <c r="CK52" s="33">
        <v>89</v>
      </c>
      <c r="CL52" s="33"/>
      <c r="CM52" s="33">
        <v>10</v>
      </c>
      <c r="CN52" s="33"/>
      <c r="CO52" s="33"/>
      <c r="CP52" s="33"/>
      <c r="CQ52" s="33"/>
      <c r="CR52" s="33">
        <v>5</v>
      </c>
      <c r="CS52" s="33">
        <v>13</v>
      </c>
      <c r="CT52" s="34"/>
      <c r="CU52" s="33"/>
      <c r="CV52" s="33"/>
      <c r="CW52" s="33"/>
      <c r="CX52" s="33"/>
      <c r="CY52" s="33"/>
      <c r="CZ52" s="33">
        <v>3</v>
      </c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4"/>
      <c r="DO52" s="34"/>
    </row>
    <row r="53" spans="1:169" x14ac:dyDescent="0.25">
      <c r="A53" s="6" t="str">
        <f t="shared" si="0"/>
        <v>RP_L_3_E_05_2023</v>
      </c>
      <c r="B53" s="6" t="str">
        <f t="shared" si="1"/>
        <v>RP_L_3_E_05</v>
      </c>
      <c r="C53" s="26" t="str">
        <f t="shared" si="2"/>
        <v>RP_2023</v>
      </c>
      <c r="D53" s="27" t="s">
        <v>27</v>
      </c>
      <c r="E53" s="73">
        <v>45115</v>
      </c>
      <c r="F53" s="27">
        <v>2023</v>
      </c>
      <c r="G53" s="7" t="s">
        <v>289</v>
      </c>
      <c r="H53" s="7" t="s">
        <v>290</v>
      </c>
      <c r="I53" s="27">
        <v>5</v>
      </c>
      <c r="J53" s="27" t="s">
        <v>230</v>
      </c>
      <c r="K53" s="27">
        <v>3</v>
      </c>
      <c r="L53" s="68" t="s">
        <v>204</v>
      </c>
      <c r="N53" s="68" t="s">
        <v>264</v>
      </c>
      <c r="O53" s="11">
        <f t="shared" si="3"/>
        <v>100</v>
      </c>
      <c r="P53" s="29">
        <v>74.5</v>
      </c>
      <c r="Q53" s="29">
        <v>14</v>
      </c>
      <c r="R53" s="29">
        <v>3</v>
      </c>
      <c r="S53" s="29">
        <v>1</v>
      </c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>
        <v>0.5</v>
      </c>
      <c r="AE53" s="29"/>
      <c r="AF53" s="29">
        <v>7</v>
      </c>
      <c r="AG53" s="29"/>
      <c r="AH53" s="29"/>
      <c r="AI53" s="29"/>
      <c r="AJ53" s="30"/>
      <c r="AK53" s="30"/>
      <c r="AL53" s="30"/>
      <c r="AM53" s="30"/>
      <c r="AN53" s="30"/>
      <c r="AO53" s="30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2"/>
      <c r="BF53" s="32"/>
      <c r="BG53" s="32"/>
      <c r="BH53" s="32"/>
      <c r="BI53" s="32"/>
      <c r="BJ53" s="32"/>
      <c r="BK53" s="32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32">
        <v>1</v>
      </c>
      <c r="BW53" s="74"/>
      <c r="BX53" s="74"/>
      <c r="BY53" s="74"/>
      <c r="BZ53" s="74"/>
      <c r="CA53" s="74"/>
      <c r="CB53" s="32">
        <v>1</v>
      </c>
      <c r="CC53" s="33">
        <v>13</v>
      </c>
      <c r="CD53" s="33"/>
      <c r="CE53" s="33"/>
      <c r="CF53" s="33"/>
      <c r="CG53" s="33"/>
      <c r="CH53" s="33"/>
      <c r="CI53" s="33"/>
      <c r="CJ53" s="33"/>
      <c r="CK53" s="33">
        <v>2</v>
      </c>
      <c r="CL53" s="33"/>
      <c r="CM53" s="33"/>
      <c r="CN53" s="33"/>
      <c r="CO53" s="33"/>
      <c r="CP53" s="33"/>
      <c r="CQ53" s="33"/>
      <c r="CR53" s="33"/>
      <c r="CS53" s="33"/>
      <c r="CT53" s="34"/>
      <c r="CU53" s="33"/>
      <c r="CV53" s="33">
        <v>0.5</v>
      </c>
      <c r="CW53" s="33">
        <v>1</v>
      </c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>
        <v>0.5</v>
      </c>
      <c r="DL53" s="33"/>
      <c r="DM53" s="33"/>
      <c r="DN53" s="34"/>
      <c r="DO53" s="34"/>
      <c r="DZ53" s="15">
        <v>51</v>
      </c>
    </row>
    <row r="54" spans="1:169" x14ac:dyDescent="0.25">
      <c r="A54" s="6" t="str">
        <f t="shared" ref="A54:A93" si="4">CONCATENATE(D54,"_",J54,"_",K54,"_",L54,"_",TEXT(I54,"00"),"_",F54)</f>
        <v>RP_L_1_E_06_2023</v>
      </c>
      <c r="B54" s="6" t="str">
        <f t="shared" ref="B54:B93" si="5">CONCATENATE(D54,"_",J54,"_",K54,"_",L54,"_",TEXT(I54,"00"))</f>
        <v>RP_L_1_E_06</v>
      </c>
      <c r="C54" s="26" t="str">
        <f t="shared" ref="C54:C93" si="6">CONCATENATE(D54,,"_",F54)</f>
        <v>RP_2023</v>
      </c>
      <c r="D54" s="27" t="s">
        <v>27</v>
      </c>
      <c r="E54" s="73">
        <v>45114</v>
      </c>
      <c r="F54" s="27">
        <v>2023</v>
      </c>
      <c r="G54" s="27" t="s">
        <v>277</v>
      </c>
      <c r="H54" s="27" t="s">
        <v>277</v>
      </c>
      <c r="I54" s="27">
        <v>6</v>
      </c>
      <c r="J54" s="27" t="s">
        <v>230</v>
      </c>
      <c r="K54" s="27">
        <v>1</v>
      </c>
      <c r="L54" s="68" t="s">
        <v>204</v>
      </c>
      <c r="N54" s="68" t="s">
        <v>264</v>
      </c>
      <c r="O54" s="11">
        <f t="shared" ref="O54" si="7">SUM(P54:AO54)</f>
        <v>100.1</v>
      </c>
      <c r="P54" s="29">
        <v>36</v>
      </c>
      <c r="Q54" s="29"/>
      <c r="R54" s="29">
        <v>6</v>
      </c>
      <c r="S54" s="29">
        <v>0.1</v>
      </c>
      <c r="T54" s="29"/>
      <c r="U54" s="29">
        <v>3</v>
      </c>
      <c r="V54" s="29"/>
      <c r="W54" s="29">
        <v>7</v>
      </c>
      <c r="X54" s="29"/>
      <c r="Y54" s="29"/>
      <c r="Z54" s="29"/>
      <c r="AA54" s="29"/>
      <c r="AB54" s="29">
        <v>3</v>
      </c>
      <c r="AC54" s="29">
        <v>1</v>
      </c>
      <c r="AD54" s="29">
        <v>1</v>
      </c>
      <c r="AE54" s="29"/>
      <c r="AF54" s="29"/>
      <c r="AG54" s="29">
        <v>2</v>
      </c>
      <c r="AH54" s="29">
        <v>39</v>
      </c>
      <c r="AI54" s="29">
        <v>2</v>
      </c>
      <c r="AJ54" s="30"/>
      <c r="AK54" s="30"/>
      <c r="AL54" s="30"/>
      <c r="AM54" s="30"/>
      <c r="AN54" s="30"/>
      <c r="AO54" s="30"/>
      <c r="AP54" s="31"/>
      <c r="AQ54" s="31"/>
      <c r="AR54" s="31">
        <v>6</v>
      </c>
      <c r="AS54" s="31"/>
      <c r="AT54" s="31"/>
      <c r="AU54" s="31"/>
      <c r="AV54" s="31"/>
      <c r="AW54" s="31"/>
      <c r="AX54" s="31">
        <v>2</v>
      </c>
      <c r="AY54" s="31"/>
      <c r="AZ54" s="31"/>
      <c r="BA54" s="31"/>
      <c r="BB54" s="31"/>
      <c r="BC54" s="31"/>
      <c r="BD54" s="31"/>
      <c r="BE54" s="32"/>
      <c r="BF54" s="32"/>
      <c r="BG54" s="32"/>
      <c r="BH54" s="32"/>
      <c r="BI54" s="32"/>
      <c r="BJ54" s="32"/>
      <c r="BK54" s="32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32"/>
      <c r="CC54" s="33"/>
      <c r="CD54" s="33"/>
      <c r="CE54" s="33"/>
      <c r="CF54" s="33"/>
      <c r="CG54" s="33"/>
      <c r="CH54" s="33"/>
      <c r="CI54" s="33"/>
      <c r="CJ54" s="33"/>
      <c r="CK54" s="33">
        <v>6</v>
      </c>
      <c r="CL54" s="33">
        <v>2</v>
      </c>
      <c r="CM54" s="33">
        <v>1</v>
      </c>
      <c r="CN54" s="33"/>
      <c r="CO54" s="33"/>
      <c r="CP54" s="33"/>
      <c r="CQ54" s="33"/>
      <c r="CR54" s="33"/>
      <c r="CS54" s="33"/>
      <c r="CT54" s="34"/>
      <c r="CU54" s="33"/>
      <c r="CV54" s="33">
        <v>1</v>
      </c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>
        <v>89</v>
      </c>
      <c r="DJ54" s="33"/>
      <c r="DK54" s="33">
        <v>5</v>
      </c>
      <c r="DL54" s="33"/>
      <c r="DM54" s="33"/>
      <c r="DN54" s="34"/>
      <c r="DO54" s="34"/>
    </row>
    <row r="55" spans="1:169" x14ac:dyDescent="0.25">
      <c r="A55" s="6" t="str">
        <f t="shared" si="4"/>
        <v>RP_L_1_E_07_2023</v>
      </c>
      <c r="B55" s="6" t="str">
        <f t="shared" si="5"/>
        <v>RP_L_1_E_07</v>
      </c>
      <c r="C55" s="26" t="str">
        <f t="shared" si="6"/>
        <v>RP_2023</v>
      </c>
      <c r="D55" s="27" t="s">
        <v>27</v>
      </c>
      <c r="E55" s="73">
        <v>45114</v>
      </c>
      <c r="F55" s="27">
        <v>2023</v>
      </c>
      <c r="G55" s="27" t="s">
        <v>277</v>
      </c>
      <c r="H55" s="27" t="s">
        <v>277</v>
      </c>
      <c r="I55" s="27">
        <v>7</v>
      </c>
      <c r="J55" s="27" t="s">
        <v>230</v>
      </c>
      <c r="K55" s="27">
        <v>1</v>
      </c>
      <c r="L55" s="68" t="s">
        <v>204</v>
      </c>
      <c r="N55" s="68" t="s">
        <v>264</v>
      </c>
      <c r="O55" s="11">
        <f t="shared" si="3"/>
        <v>100.1</v>
      </c>
      <c r="P55" s="29">
        <v>48</v>
      </c>
      <c r="Q55" s="29"/>
      <c r="R55" s="29">
        <v>16</v>
      </c>
      <c r="S55" s="29">
        <v>23</v>
      </c>
      <c r="T55" s="29"/>
      <c r="U55" s="29"/>
      <c r="V55" s="29"/>
      <c r="W55" s="29">
        <v>3</v>
      </c>
      <c r="X55" s="29"/>
      <c r="Y55" s="29">
        <v>0.1</v>
      </c>
      <c r="Z55" s="29"/>
      <c r="AA55" s="29"/>
      <c r="AB55" s="29"/>
      <c r="AC55" s="29"/>
      <c r="AD55" s="29"/>
      <c r="AE55" s="29">
        <v>2</v>
      </c>
      <c r="AF55" s="29">
        <v>1</v>
      </c>
      <c r="AG55" s="29">
        <v>1</v>
      </c>
      <c r="AH55" s="29">
        <v>2</v>
      </c>
      <c r="AI55" s="29">
        <v>4</v>
      </c>
      <c r="AJ55" s="30"/>
      <c r="AK55" s="30"/>
      <c r="AL55" s="30"/>
      <c r="AM55" s="30"/>
      <c r="AN55" s="30"/>
      <c r="AO55" s="30"/>
      <c r="AP55" s="31"/>
      <c r="AQ55" s="31"/>
      <c r="AR55" s="31"/>
      <c r="AS55" s="31"/>
      <c r="AT55" s="31">
        <v>4</v>
      </c>
      <c r="AU55" s="31"/>
      <c r="AV55" s="31">
        <v>1</v>
      </c>
      <c r="AW55" s="31"/>
      <c r="AX55" s="31"/>
      <c r="AY55" s="31">
        <v>1</v>
      </c>
      <c r="AZ55" s="31"/>
      <c r="BA55" s="31"/>
      <c r="BB55" s="31"/>
      <c r="BC55" s="31"/>
      <c r="BD55" s="31"/>
      <c r="BE55" s="32"/>
      <c r="BF55" s="32"/>
      <c r="BG55" s="32"/>
      <c r="BH55" s="32"/>
      <c r="BI55" s="32"/>
      <c r="BJ55" s="32"/>
      <c r="BK55" s="32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32"/>
      <c r="CC55" s="33">
        <v>2</v>
      </c>
      <c r="CD55" s="33"/>
      <c r="CE55" s="33"/>
      <c r="CF55" s="33">
        <v>82</v>
      </c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4"/>
      <c r="CU55" s="33"/>
      <c r="CV55" s="33">
        <v>0.1</v>
      </c>
      <c r="CW55" s="33"/>
      <c r="CX55" s="33"/>
      <c r="CY55" s="33"/>
      <c r="CZ55" s="33">
        <v>7</v>
      </c>
      <c r="DA55" s="33">
        <v>2</v>
      </c>
      <c r="DB55" s="33"/>
      <c r="DC55" s="33"/>
      <c r="DD55" s="33"/>
      <c r="DE55" s="33"/>
      <c r="DF55" s="33"/>
      <c r="DG55" s="33"/>
      <c r="DH55" s="33"/>
      <c r="DI55" s="33"/>
      <c r="DJ55" s="33"/>
      <c r="DK55" s="33">
        <v>2</v>
      </c>
      <c r="DL55" s="33"/>
      <c r="DM55" s="33"/>
      <c r="DN55" s="34"/>
      <c r="DO55" s="34"/>
    </row>
    <row r="56" spans="1:169" x14ac:dyDescent="0.25">
      <c r="A56" s="6" t="str">
        <f t="shared" si="4"/>
        <v>RP_L_1_E_08_2023</v>
      </c>
      <c r="B56" s="6" t="str">
        <f t="shared" si="5"/>
        <v>RP_L_1_E_08</v>
      </c>
      <c r="C56" s="26" t="str">
        <f t="shared" si="6"/>
        <v>RP_2023</v>
      </c>
      <c r="D56" s="27" t="s">
        <v>27</v>
      </c>
      <c r="E56" s="73">
        <v>45114</v>
      </c>
      <c r="F56" s="27">
        <v>2023</v>
      </c>
      <c r="G56" s="27" t="s">
        <v>277</v>
      </c>
      <c r="H56" s="27" t="s">
        <v>277</v>
      </c>
      <c r="I56" s="27">
        <v>8</v>
      </c>
      <c r="J56" s="27" t="s">
        <v>230</v>
      </c>
      <c r="K56" s="27">
        <v>1</v>
      </c>
      <c r="L56" s="68" t="s">
        <v>204</v>
      </c>
      <c r="N56" s="68" t="s">
        <v>264</v>
      </c>
      <c r="O56" s="11">
        <f t="shared" ref="O56:O89" si="8">SUM(P56:AO56)</f>
        <v>100.1</v>
      </c>
      <c r="P56" s="29">
        <v>58</v>
      </c>
      <c r="Q56" s="29"/>
      <c r="R56" s="29">
        <v>3</v>
      </c>
      <c r="S56" s="29"/>
      <c r="T56" s="29"/>
      <c r="U56" s="29"/>
      <c r="V56" s="29"/>
      <c r="W56" s="29">
        <v>8</v>
      </c>
      <c r="X56" s="29"/>
      <c r="Y56" s="29">
        <v>0.1</v>
      </c>
      <c r="Z56" s="29"/>
      <c r="AA56" s="29"/>
      <c r="AB56" s="29"/>
      <c r="AC56" s="29">
        <v>11</v>
      </c>
      <c r="AD56" s="29"/>
      <c r="AE56" s="29"/>
      <c r="AF56" s="29"/>
      <c r="AG56" s="29">
        <v>1</v>
      </c>
      <c r="AH56" s="29">
        <v>17</v>
      </c>
      <c r="AI56" s="29">
        <v>2</v>
      </c>
      <c r="AJ56" s="30"/>
      <c r="AK56" s="30"/>
      <c r="AL56" s="30"/>
      <c r="AM56" s="30"/>
      <c r="AN56" s="30"/>
      <c r="AO56" s="30"/>
      <c r="AP56" s="31"/>
      <c r="AQ56" s="31"/>
      <c r="AR56" s="31"/>
      <c r="AS56" s="31"/>
      <c r="AT56" s="31">
        <v>56</v>
      </c>
      <c r="AU56" s="31">
        <v>1</v>
      </c>
      <c r="AV56" s="31"/>
      <c r="AW56" s="31"/>
      <c r="AX56" s="31"/>
      <c r="AY56" s="31"/>
      <c r="AZ56" s="31"/>
      <c r="BA56" s="31">
        <v>1</v>
      </c>
      <c r="BB56" s="31"/>
      <c r="BC56" s="31"/>
      <c r="BD56" s="31"/>
      <c r="BE56" s="32"/>
      <c r="BF56" s="32"/>
      <c r="BG56" s="32"/>
      <c r="BH56" s="32"/>
      <c r="BI56" s="32"/>
      <c r="BJ56" s="32"/>
      <c r="BK56" s="32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32"/>
      <c r="CC56" s="33"/>
      <c r="CD56" s="33"/>
      <c r="CE56" s="33"/>
      <c r="CF56" s="33"/>
      <c r="CG56" s="33"/>
      <c r="CH56" s="33"/>
      <c r="CI56" s="33"/>
      <c r="CJ56" s="33"/>
      <c r="CK56" s="33"/>
      <c r="CL56" s="33">
        <v>1</v>
      </c>
      <c r="CM56" s="33">
        <v>1</v>
      </c>
      <c r="CN56" s="33"/>
      <c r="CO56" s="33"/>
      <c r="CP56" s="33"/>
      <c r="CQ56" s="33"/>
      <c r="CR56" s="33"/>
      <c r="CS56" s="33"/>
      <c r="CT56" s="34"/>
      <c r="CU56" s="33">
        <v>2</v>
      </c>
      <c r="CV56" s="33">
        <v>0.1</v>
      </c>
      <c r="CW56" s="33">
        <v>9</v>
      </c>
      <c r="CX56" s="33"/>
      <c r="CY56" s="33"/>
      <c r="CZ56" s="33">
        <v>1</v>
      </c>
      <c r="DA56" s="33">
        <v>1</v>
      </c>
      <c r="DB56" s="33"/>
      <c r="DC56" s="33"/>
      <c r="DD56" s="33"/>
      <c r="DE56" s="33"/>
      <c r="DF56" s="33"/>
      <c r="DG56" s="33"/>
      <c r="DH56" s="33"/>
      <c r="DI56" s="33">
        <v>24</v>
      </c>
      <c r="DJ56" s="33"/>
      <c r="DK56" s="33">
        <v>7</v>
      </c>
      <c r="DL56" s="33"/>
      <c r="DM56" s="33"/>
      <c r="DN56" s="34"/>
      <c r="DO56" s="34"/>
    </row>
    <row r="57" spans="1:169" x14ac:dyDescent="0.25">
      <c r="A57" s="6" t="str">
        <f t="shared" si="4"/>
        <v>RP_L_1_E_09_2023</v>
      </c>
      <c r="B57" s="6" t="str">
        <f t="shared" si="5"/>
        <v>RP_L_1_E_09</v>
      </c>
      <c r="C57" s="26" t="str">
        <f t="shared" si="6"/>
        <v>RP_2023</v>
      </c>
      <c r="D57" s="27" t="s">
        <v>27</v>
      </c>
      <c r="E57" s="73">
        <v>45114</v>
      </c>
      <c r="F57" s="27">
        <v>2023</v>
      </c>
      <c r="G57" s="27" t="s">
        <v>277</v>
      </c>
      <c r="H57" s="27" t="s">
        <v>277</v>
      </c>
      <c r="I57" s="27">
        <v>9</v>
      </c>
      <c r="J57" s="27" t="s">
        <v>230</v>
      </c>
      <c r="K57" s="27">
        <v>1</v>
      </c>
      <c r="L57" s="68" t="s">
        <v>204</v>
      </c>
      <c r="N57" s="68" t="s">
        <v>264</v>
      </c>
      <c r="O57" s="11">
        <f t="shared" si="8"/>
        <v>100.1</v>
      </c>
      <c r="P57" s="29">
        <v>64</v>
      </c>
      <c r="Q57" s="29"/>
      <c r="R57" s="29">
        <v>4</v>
      </c>
      <c r="S57" s="29"/>
      <c r="T57" s="29"/>
      <c r="U57" s="29"/>
      <c r="V57" s="29"/>
      <c r="W57" s="29">
        <v>0.1</v>
      </c>
      <c r="X57" s="29"/>
      <c r="Y57" s="29"/>
      <c r="Z57" s="29"/>
      <c r="AA57" s="29"/>
      <c r="AB57" s="29"/>
      <c r="AC57" s="29">
        <v>3</v>
      </c>
      <c r="AD57" s="29"/>
      <c r="AE57" s="29">
        <v>1</v>
      </c>
      <c r="AF57" s="29"/>
      <c r="AG57" s="29"/>
      <c r="AH57" s="29">
        <v>28</v>
      </c>
      <c r="AI57" s="29"/>
      <c r="AJ57" s="30"/>
      <c r="AK57" s="30"/>
      <c r="AL57" s="30"/>
      <c r="AM57" s="30"/>
      <c r="AN57" s="30"/>
      <c r="AO57" s="30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2"/>
      <c r="BF57" s="32"/>
      <c r="BG57" s="32"/>
      <c r="BH57" s="32"/>
      <c r="BI57" s="32"/>
      <c r="BJ57" s="32"/>
      <c r="BK57" s="32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32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4"/>
      <c r="CU57" s="33">
        <v>1</v>
      </c>
      <c r="CV57" s="33">
        <v>3</v>
      </c>
      <c r="CW57" s="33">
        <v>5</v>
      </c>
      <c r="CX57" s="33"/>
      <c r="CY57" s="33"/>
      <c r="CZ57" s="33"/>
      <c r="DA57" s="33"/>
      <c r="DB57" s="33">
        <v>24</v>
      </c>
      <c r="DC57" s="33"/>
      <c r="DD57" s="33"/>
      <c r="DE57" s="33"/>
      <c r="DF57" s="33"/>
      <c r="DG57" s="33"/>
      <c r="DH57" s="33"/>
      <c r="DI57" s="33">
        <v>15</v>
      </c>
      <c r="DJ57" s="33"/>
      <c r="DK57" s="33"/>
      <c r="DL57" s="33"/>
      <c r="DM57" s="33"/>
      <c r="DN57" s="34"/>
      <c r="DO57" s="34"/>
    </row>
    <row r="58" spans="1:169" x14ac:dyDescent="0.25">
      <c r="A58" s="6" t="str">
        <f t="shared" si="4"/>
        <v>RP_L_1_E_10_2023</v>
      </c>
      <c r="B58" s="6" t="str">
        <f t="shared" si="5"/>
        <v>RP_L_1_E_10</v>
      </c>
      <c r="C58" s="26" t="str">
        <f t="shared" si="6"/>
        <v>RP_2023</v>
      </c>
      <c r="D58" s="27" t="s">
        <v>27</v>
      </c>
      <c r="E58" s="73">
        <v>45114</v>
      </c>
      <c r="F58" s="27">
        <v>2023</v>
      </c>
      <c r="G58" s="27" t="s">
        <v>277</v>
      </c>
      <c r="H58" s="27" t="s">
        <v>277</v>
      </c>
      <c r="I58" s="27">
        <v>10</v>
      </c>
      <c r="J58" s="27" t="s">
        <v>230</v>
      </c>
      <c r="K58" s="27">
        <v>1</v>
      </c>
      <c r="L58" s="68" t="s">
        <v>204</v>
      </c>
      <c r="N58" s="68" t="s">
        <v>264</v>
      </c>
      <c r="O58" s="11">
        <f t="shared" si="8"/>
        <v>100.1</v>
      </c>
      <c r="P58" s="29">
        <v>60</v>
      </c>
      <c r="Q58" s="76"/>
      <c r="R58" s="29">
        <v>3</v>
      </c>
      <c r="S58" s="29"/>
      <c r="T58" s="29">
        <v>1</v>
      </c>
      <c r="U58" s="29"/>
      <c r="V58" s="29"/>
      <c r="W58" s="29">
        <v>2</v>
      </c>
      <c r="X58" s="29"/>
      <c r="Y58" s="29"/>
      <c r="Z58" s="29"/>
      <c r="AA58" s="29"/>
      <c r="AB58" s="29"/>
      <c r="AC58" s="29">
        <v>0.1</v>
      </c>
      <c r="AD58" s="29"/>
      <c r="AE58" s="29">
        <v>1</v>
      </c>
      <c r="AF58" s="29"/>
      <c r="AG58" s="29">
        <v>1</v>
      </c>
      <c r="AH58" s="29">
        <v>31</v>
      </c>
      <c r="AI58" s="29">
        <v>1</v>
      </c>
      <c r="AJ58" s="30"/>
      <c r="AK58" s="30"/>
      <c r="AL58" s="30"/>
      <c r="AM58" s="30"/>
      <c r="AN58" s="30"/>
      <c r="AO58" s="30"/>
      <c r="AP58" s="31">
        <v>1</v>
      </c>
      <c r="AQ58" s="31"/>
      <c r="AR58" s="31"/>
      <c r="AS58" s="31"/>
      <c r="AT58" s="31">
        <v>4</v>
      </c>
      <c r="AU58" s="31"/>
      <c r="AV58" s="31">
        <v>2</v>
      </c>
      <c r="AW58" s="31"/>
      <c r="AX58" s="31"/>
      <c r="AY58" s="31"/>
      <c r="AZ58" s="31"/>
      <c r="BA58" s="31">
        <v>1</v>
      </c>
      <c r="BB58" s="31"/>
      <c r="BC58" s="31"/>
      <c r="BD58" s="31"/>
      <c r="BE58" s="32"/>
      <c r="BF58" s="32"/>
      <c r="BG58" s="32"/>
      <c r="BH58" s="32"/>
      <c r="BI58" s="32"/>
      <c r="BJ58" s="32"/>
      <c r="BK58" s="32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32"/>
      <c r="CC58" s="33"/>
      <c r="CD58" s="33"/>
      <c r="CE58" s="33"/>
      <c r="CF58" s="33">
        <v>2</v>
      </c>
      <c r="CG58" s="33"/>
      <c r="CH58" s="33"/>
      <c r="CI58" s="33"/>
      <c r="CJ58" s="33"/>
      <c r="CK58" s="33"/>
      <c r="CL58" s="33">
        <v>1</v>
      </c>
      <c r="CM58" s="33"/>
      <c r="CN58" s="33"/>
      <c r="CO58" s="33"/>
      <c r="CP58" s="33"/>
      <c r="CQ58" s="33"/>
      <c r="CR58" s="33"/>
      <c r="CS58" s="33"/>
      <c r="CT58" s="34"/>
      <c r="CU58" s="33"/>
      <c r="CV58" s="33">
        <v>11</v>
      </c>
      <c r="CW58" s="33">
        <v>1</v>
      </c>
      <c r="CX58" s="33"/>
      <c r="CY58" s="33"/>
      <c r="CZ58" s="33">
        <v>4</v>
      </c>
      <c r="DA58" s="33"/>
      <c r="DB58" s="33">
        <v>4</v>
      </c>
      <c r="DC58" s="33">
        <v>6</v>
      </c>
      <c r="DD58" s="33"/>
      <c r="DE58" s="33"/>
      <c r="DF58" s="33"/>
      <c r="DG58" s="33"/>
      <c r="DH58" s="33"/>
      <c r="DI58" s="33">
        <v>26</v>
      </c>
      <c r="DJ58" s="33"/>
      <c r="DK58" s="33">
        <v>2</v>
      </c>
      <c r="DL58" s="33"/>
      <c r="DM58" s="33"/>
      <c r="DN58" s="34"/>
      <c r="DO58" s="34"/>
    </row>
    <row r="59" spans="1:169" x14ac:dyDescent="0.25">
      <c r="A59" s="6" t="str">
        <f t="shared" si="4"/>
        <v>RP_H_1_E_01_2023</v>
      </c>
      <c r="B59" s="6" t="str">
        <f t="shared" si="5"/>
        <v>RP_H_1_E_01</v>
      </c>
      <c r="C59" s="26" t="str">
        <f t="shared" si="6"/>
        <v>RP_2023</v>
      </c>
      <c r="D59" s="27" t="s">
        <v>27</v>
      </c>
      <c r="E59" s="73">
        <v>45114</v>
      </c>
      <c r="F59" s="27">
        <v>2023</v>
      </c>
      <c r="G59" s="27" t="s">
        <v>291</v>
      </c>
      <c r="H59" s="27" t="s">
        <v>292</v>
      </c>
      <c r="I59" s="27">
        <v>1</v>
      </c>
      <c r="J59" s="27" t="s">
        <v>229</v>
      </c>
      <c r="K59" s="27">
        <v>1</v>
      </c>
      <c r="L59" s="27" t="s">
        <v>204</v>
      </c>
      <c r="N59" s="68" t="s">
        <v>264</v>
      </c>
      <c r="O59" s="67">
        <f t="shared" si="8"/>
        <v>100.1</v>
      </c>
      <c r="P59" s="29">
        <v>39</v>
      </c>
      <c r="Q59" s="29"/>
      <c r="R59" s="29"/>
      <c r="S59" s="29"/>
      <c r="T59" s="29"/>
      <c r="U59" s="29">
        <v>58</v>
      </c>
      <c r="V59" s="29"/>
      <c r="W59" s="29">
        <v>3</v>
      </c>
      <c r="X59" s="29"/>
      <c r="Y59" s="29"/>
      <c r="Z59" s="29">
        <v>0.1</v>
      </c>
      <c r="AA59" s="29"/>
      <c r="AB59" s="29"/>
      <c r="AC59" s="29"/>
      <c r="AD59" s="29"/>
      <c r="AE59" s="29"/>
      <c r="AF59" s="29"/>
      <c r="AG59" s="29"/>
      <c r="AH59" s="29"/>
      <c r="AI59" s="29"/>
      <c r="AJ59" s="30"/>
      <c r="AK59" s="30"/>
      <c r="AL59" s="30"/>
      <c r="AM59" s="30"/>
      <c r="AN59" s="30"/>
      <c r="AO59" s="30"/>
      <c r="AP59" s="31"/>
      <c r="AQ59" s="31"/>
      <c r="AR59" s="31"/>
      <c r="AS59" s="31">
        <v>1</v>
      </c>
      <c r="AT59" s="31">
        <v>13</v>
      </c>
      <c r="AU59" s="31">
        <v>28</v>
      </c>
      <c r="AV59" s="31"/>
      <c r="AW59" s="31"/>
      <c r="AX59" s="31"/>
      <c r="AY59" s="31"/>
      <c r="AZ59" s="31"/>
      <c r="BA59" s="31"/>
      <c r="BB59" s="31"/>
      <c r="BC59" s="31"/>
      <c r="BD59" s="31"/>
      <c r="BE59" s="32"/>
      <c r="BF59" s="32"/>
      <c r="BG59" s="32"/>
      <c r="BH59" s="32"/>
      <c r="BI59" s="32"/>
      <c r="BJ59" s="32"/>
      <c r="BK59" s="32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32"/>
      <c r="CC59" s="33"/>
      <c r="CD59" s="33"/>
      <c r="CE59" s="33"/>
      <c r="CF59" s="33"/>
      <c r="CG59" s="33"/>
      <c r="CH59" s="33"/>
      <c r="CI59" s="33"/>
      <c r="CJ59" s="33">
        <v>18</v>
      </c>
      <c r="CK59" s="33"/>
      <c r="CL59" s="33"/>
      <c r="CM59" s="33"/>
      <c r="CN59" s="33"/>
      <c r="CO59" s="33"/>
      <c r="CP59" s="33"/>
      <c r="CQ59" s="33"/>
      <c r="CR59" s="33"/>
      <c r="CS59" s="33"/>
      <c r="CT59" s="34"/>
      <c r="CU59" s="33"/>
      <c r="CV59" s="33"/>
      <c r="CW59" s="33">
        <v>1</v>
      </c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4"/>
      <c r="DO59" s="34"/>
      <c r="EM59" s="34"/>
      <c r="EN59" s="34"/>
      <c r="EO59" s="34"/>
      <c r="EP59" s="34"/>
      <c r="EQ59" s="34"/>
      <c r="ER59" s="34"/>
      <c r="ES59" s="33"/>
      <c r="ET59" s="34"/>
      <c r="EU59" s="34"/>
      <c r="EV59" s="34"/>
      <c r="EW59" s="35"/>
      <c r="EX59" s="35"/>
      <c r="EY59" s="35"/>
      <c r="EZ59" s="35">
        <v>13</v>
      </c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</row>
    <row r="60" spans="1:169" x14ac:dyDescent="0.25">
      <c r="A60" s="6" t="str">
        <f t="shared" si="4"/>
        <v>RP_H_1_E_03_2023</v>
      </c>
      <c r="B60" s="6" t="str">
        <f t="shared" si="5"/>
        <v>RP_H_1_E_03</v>
      </c>
      <c r="C60" s="26" t="str">
        <f t="shared" si="6"/>
        <v>RP_2023</v>
      </c>
      <c r="D60" s="27" t="s">
        <v>27</v>
      </c>
      <c r="E60" s="73">
        <v>45114</v>
      </c>
      <c r="F60" s="27">
        <v>2023</v>
      </c>
      <c r="G60" s="27" t="s">
        <v>291</v>
      </c>
      <c r="H60" s="27" t="s">
        <v>292</v>
      </c>
      <c r="I60" s="27">
        <v>3</v>
      </c>
      <c r="J60" s="27" t="s">
        <v>229</v>
      </c>
      <c r="K60" s="27">
        <v>1</v>
      </c>
      <c r="L60" s="27" t="s">
        <v>204</v>
      </c>
      <c r="N60" s="68" t="s">
        <v>264</v>
      </c>
      <c r="O60" s="67">
        <f t="shared" si="8"/>
        <v>100</v>
      </c>
      <c r="P60" s="29">
        <v>54</v>
      </c>
      <c r="Q60" s="29"/>
      <c r="R60" s="29"/>
      <c r="S60" s="29"/>
      <c r="T60" s="29"/>
      <c r="U60" s="29">
        <v>34</v>
      </c>
      <c r="V60" s="29"/>
      <c r="W60" s="29">
        <v>4</v>
      </c>
      <c r="X60" s="29"/>
      <c r="Y60" s="29"/>
      <c r="Z60" s="29">
        <v>8</v>
      </c>
      <c r="AA60" s="29"/>
      <c r="AB60" s="29"/>
      <c r="AC60" s="29"/>
      <c r="AD60" s="29"/>
      <c r="AE60" s="29"/>
      <c r="AF60" s="29"/>
      <c r="AG60" s="29"/>
      <c r="AH60" s="29"/>
      <c r="AI60" s="29"/>
      <c r="AJ60" s="30"/>
      <c r="AK60" s="30"/>
      <c r="AL60" s="30"/>
      <c r="AM60" s="30"/>
      <c r="AN60" s="30"/>
      <c r="AO60" s="30"/>
      <c r="AP60" s="31"/>
      <c r="AQ60" s="31"/>
      <c r="AR60" s="31">
        <v>2</v>
      </c>
      <c r="AS60" s="31">
        <v>2</v>
      </c>
      <c r="AT60" s="31">
        <v>16</v>
      </c>
      <c r="AU60" s="31">
        <v>7</v>
      </c>
      <c r="AV60" s="31"/>
      <c r="AW60" s="31"/>
      <c r="AX60" s="31"/>
      <c r="AY60" s="31"/>
      <c r="AZ60" s="31"/>
      <c r="BA60" s="31"/>
      <c r="BB60" s="31"/>
      <c r="BC60" s="31">
        <v>1</v>
      </c>
      <c r="BD60" s="31"/>
      <c r="BE60" s="32"/>
      <c r="BF60" s="32"/>
      <c r="BG60" s="32"/>
      <c r="BH60" s="32"/>
      <c r="BI60" s="32"/>
      <c r="BJ60" s="32"/>
      <c r="BK60" s="32"/>
      <c r="BL60" s="74"/>
      <c r="BM60" s="74"/>
      <c r="BN60" s="74"/>
      <c r="BO60" s="74"/>
      <c r="BP60" s="74"/>
      <c r="BQ60" s="74"/>
      <c r="BR60" s="74"/>
      <c r="BS60" s="74"/>
      <c r="BT60" s="74"/>
      <c r="BU60" s="74"/>
      <c r="BV60" s="74"/>
      <c r="BW60" s="74"/>
      <c r="BX60" s="74"/>
      <c r="BY60" s="74"/>
      <c r="BZ60" s="74"/>
      <c r="CA60" s="74"/>
      <c r="CB60" s="32"/>
      <c r="CC60" s="33"/>
      <c r="CD60" s="33"/>
      <c r="CE60" s="33"/>
      <c r="CF60" s="33"/>
      <c r="CG60" s="33"/>
      <c r="CH60" s="33"/>
      <c r="CI60" s="33"/>
      <c r="CJ60" s="33">
        <v>6</v>
      </c>
      <c r="CK60" s="33"/>
      <c r="CL60" s="33"/>
      <c r="CM60" s="33"/>
      <c r="CN60" s="33"/>
      <c r="CO60" s="33"/>
      <c r="CP60" s="33"/>
      <c r="CQ60" s="33"/>
      <c r="CR60" s="33"/>
      <c r="CS60" s="33"/>
      <c r="CT60" s="34"/>
      <c r="CU60" s="33"/>
      <c r="CV60" s="33"/>
      <c r="CW60" s="33">
        <v>3</v>
      </c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>
        <v>1</v>
      </c>
      <c r="DJ60" s="33"/>
      <c r="DK60" s="33"/>
      <c r="DL60" s="33"/>
      <c r="DM60" s="33"/>
      <c r="DN60" s="34"/>
      <c r="DO60" s="34"/>
      <c r="EM60" s="34"/>
      <c r="EN60" s="34"/>
      <c r="EO60" s="34"/>
      <c r="EP60" s="34"/>
      <c r="EQ60" s="34"/>
      <c r="ER60" s="34"/>
      <c r="ES60" s="33"/>
      <c r="ET60" s="34"/>
      <c r="EU60" s="34"/>
      <c r="EV60" s="34"/>
      <c r="EW60" s="35"/>
      <c r="EX60" s="35"/>
      <c r="EY60" s="35"/>
      <c r="EZ60" s="35">
        <v>34</v>
      </c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</row>
    <row r="61" spans="1:169" x14ac:dyDescent="0.25">
      <c r="A61" s="6" t="str">
        <f t="shared" si="4"/>
        <v>RP_H_1_E_05_2023</v>
      </c>
      <c r="B61" s="6" t="str">
        <f t="shared" si="5"/>
        <v>RP_H_1_E_05</v>
      </c>
      <c r="C61" s="26" t="str">
        <f t="shared" si="6"/>
        <v>RP_2023</v>
      </c>
      <c r="D61" s="27" t="s">
        <v>27</v>
      </c>
      <c r="E61" s="73">
        <v>45114</v>
      </c>
      <c r="F61" s="27">
        <v>2023</v>
      </c>
      <c r="G61" s="27" t="s">
        <v>291</v>
      </c>
      <c r="H61" s="27" t="s">
        <v>292</v>
      </c>
      <c r="I61" s="27">
        <v>5</v>
      </c>
      <c r="J61" s="27" t="s">
        <v>229</v>
      </c>
      <c r="K61" s="27">
        <v>1</v>
      </c>
      <c r="L61" s="27" t="s">
        <v>204</v>
      </c>
      <c r="N61" s="68" t="s">
        <v>264</v>
      </c>
      <c r="O61" s="67">
        <f t="shared" si="8"/>
        <v>100</v>
      </c>
      <c r="P61" s="29">
        <v>35</v>
      </c>
      <c r="Q61" s="29"/>
      <c r="R61" s="29"/>
      <c r="S61" s="29"/>
      <c r="T61" s="29"/>
      <c r="U61" s="29">
        <v>60</v>
      </c>
      <c r="V61" s="29"/>
      <c r="W61" s="29">
        <v>2</v>
      </c>
      <c r="X61" s="29"/>
      <c r="Y61" s="29"/>
      <c r="Z61" s="29">
        <v>3</v>
      </c>
      <c r="AA61" s="29"/>
      <c r="AB61" s="29"/>
      <c r="AC61" s="29"/>
      <c r="AD61" s="29"/>
      <c r="AE61" s="29"/>
      <c r="AF61" s="29"/>
      <c r="AG61" s="29"/>
      <c r="AH61" s="29"/>
      <c r="AI61" s="29"/>
      <c r="AJ61" s="30"/>
      <c r="AK61" s="30"/>
      <c r="AL61" s="30"/>
      <c r="AM61" s="30"/>
      <c r="AN61" s="30"/>
      <c r="AO61" s="30"/>
      <c r="AP61" s="31"/>
      <c r="AQ61" s="31"/>
      <c r="AR61" s="31"/>
      <c r="AS61" s="31"/>
      <c r="AT61" s="31">
        <v>13</v>
      </c>
      <c r="AU61" s="31">
        <v>5</v>
      </c>
      <c r="AV61" s="31"/>
      <c r="AW61" s="31"/>
      <c r="AX61" s="31"/>
      <c r="AY61" s="31"/>
      <c r="AZ61" s="31"/>
      <c r="BA61" s="31"/>
      <c r="BB61" s="31"/>
      <c r="BC61" s="31"/>
      <c r="BD61" s="31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CB61" s="32"/>
      <c r="CC61" s="33"/>
      <c r="CD61" s="33"/>
      <c r="CE61" s="33"/>
      <c r="CF61" s="33"/>
      <c r="CG61" s="33"/>
      <c r="CH61" s="33"/>
      <c r="CI61" s="33"/>
      <c r="CJ61" s="33">
        <v>3</v>
      </c>
      <c r="CK61" s="33"/>
      <c r="CL61" s="33"/>
      <c r="CM61" s="33"/>
      <c r="CN61" s="33"/>
      <c r="CO61" s="33"/>
      <c r="CP61" s="33"/>
      <c r="CQ61" s="33"/>
      <c r="CR61" s="33"/>
      <c r="CS61" s="33"/>
      <c r="CT61" s="34"/>
      <c r="CU61" s="33"/>
      <c r="CV61" s="33"/>
      <c r="CW61" s="33">
        <v>4</v>
      </c>
      <c r="CX61" s="33"/>
      <c r="CY61" s="33">
        <v>1</v>
      </c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4"/>
      <c r="DO61" s="34"/>
      <c r="EM61" s="34"/>
      <c r="EN61" s="34"/>
      <c r="EO61" s="34"/>
      <c r="EP61" s="34"/>
      <c r="EQ61" s="34"/>
      <c r="ER61" s="34"/>
      <c r="ES61" s="33"/>
      <c r="ET61" s="34"/>
      <c r="EU61" s="34"/>
      <c r="EV61" s="34"/>
      <c r="EW61" s="35"/>
      <c r="EX61" s="35"/>
      <c r="EY61" s="35"/>
      <c r="EZ61" s="35">
        <v>26</v>
      </c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</row>
    <row r="62" spans="1:169" x14ac:dyDescent="0.25">
      <c r="A62" s="6" t="str">
        <f t="shared" si="4"/>
        <v>RP_H_1_E_07_2023</v>
      </c>
      <c r="B62" s="6" t="str">
        <f t="shared" si="5"/>
        <v>RP_H_1_E_07</v>
      </c>
      <c r="C62" s="26" t="str">
        <f t="shared" si="6"/>
        <v>RP_2023</v>
      </c>
      <c r="D62" s="27" t="s">
        <v>27</v>
      </c>
      <c r="E62" s="73">
        <v>45114</v>
      </c>
      <c r="F62" s="27">
        <v>2023</v>
      </c>
      <c r="G62" s="27" t="s">
        <v>291</v>
      </c>
      <c r="H62" s="27" t="s">
        <v>292</v>
      </c>
      <c r="I62" s="27">
        <v>7</v>
      </c>
      <c r="J62" s="27" t="s">
        <v>229</v>
      </c>
      <c r="K62" s="27">
        <v>1</v>
      </c>
      <c r="L62" s="27" t="s">
        <v>204</v>
      </c>
      <c r="N62" s="68" t="s">
        <v>264</v>
      </c>
      <c r="O62" s="67">
        <f t="shared" si="8"/>
        <v>100</v>
      </c>
      <c r="P62" s="29">
        <v>64</v>
      </c>
      <c r="Q62" s="29"/>
      <c r="R62" s="29"/>
      <c r="S62" s="29"/>
      <c r="T62" s="29"/>
      <c r="U62" s="29">
        <v>33</v>
      </c>
      <c r="V62" s="29"/>
      <c r="W62" s="29">
        <v>2</v>
      </c>
      <c r="X62" s="29"/>
      <c r="Y62" s="29"/>
      <c r="Z62" s="29">
        <v>1</v>
      </c>
      <c r="AA62" s="29"/>
      <c r="AB62" s="29"/>
      <c r="AC62" s="29"/>
      <c r="AD62" s="29"/>
      <c r="AE62" s="29"/>
      <c r="AF62" s="29"/>
      <c r="AG62" s="29"/>
      <c r="AH62" s="29"/>
      <c r="AI62" s="29"/>
      <c r="AJ62" s="30"/>
      <c r="AK62" s="30"/>
      <c r="AL62" s="30"/>
      <c r="AM62" s="30"/>
      <c r="AN62" s="30"/>
      <c r="AO62" s="30"/>
      <c r="AP62" s="31"/>
      <c r="AQ62" s="31"/>
      <c r="AR62" s="31"/>
      <c r="AS62" s="31">
        <v>3</v>
      </c>
      <c r="AT62" s="31">
        <v>9</v>
      </c>
      <c r="AU62" s="31">
        <v>17</v>
      </c>
      <c r="AV62" s="31"/>
      <c r="AW62" s="31"/>
      <c r="AX62" s="31"/>
      <c r="AY62" s="31"/>
      <c r="AZ62" s="31"/>
      <c r="BA62" s="31"/>
      <c r="BB62" s="31"/>
      <c r="BC62" s="31"/>
      <c r="BD62" s="31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CB62" s="32"/>
      <c r="CC62" s="33"/>
      <c r="CD62" s="33"/>
      <c r="CE62" s="33"/>
      <c r="CF62" s="33"/>
      <c r="CG62" s="33"/>
      <c r="CH62" s="33"/>
      <c r="CI62" s="33"/>
      <c r="CJ62" s="33">
        <v>4</v>
      </c>
      <c r="CK62" s="33"/>
      <c r="CL62" s="33"/>
      <c r="CM62" s="33"/>
      <c r="CN62" s="33"/>
      <c r="CO62" s="33"/>
      <c r="CP62" s="33"/>
      <c r="CQ62" s="33"/>
      <c r="CR62" s="33"/>
      <c r="CS62" s="33"/>
      <c r="CT62" s="34"/>
      <c r="CU62" s="33"/>
      <c r="CV62" s="33"/>
      <c r="CW62" s="33">
        <v>0.1</v>
      </c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4"/>
      <c r="DO62" s="34"/>
      <c r="EM62" s="34"/>
      <c r="EN62" s="34"/>
      <c r="EO62" s="34"/>
      <c r="EP62" s="34"/>
      <c r="EQ62" s="34"/>
      <c r="ER62" s="34"/>
      <c r="ES62" s="33"/>
      <c r="ET62" s="34"/>
      <c r="EU62" s="34"/>
      <c r="EV62" s="34"/>
      <c r="EW62" s="35"/>
      <c r="EX62" s="35"/>
      <c r="EY62" s="35"/>
      <c r="EZ62" s="35">
        <v>5</v>
      </c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</row>
    <row r="63" spans="1:169" x14ac:dyDescent="0.25">
      <c r="A63" s="6" t="str">
        <f t="shared" si="4"/>
        <v>RP_H_1_E_08_2023</v>
      </c>
      <c r="B63" s="6" t="str">
        <f t="shared" si="5"/>
        <v>RP_H_1_E_08</v>
      </c>
      <c r="C63" s="26" t="str">
        <f t="shared" si="6"/>
        <v>RP_2023</v>
      </c>
      <c r="D63" s="27" t="s">
        <v>27</v>
      </c>
      <c r="E63" s="73">
        <v>45114</v>
      </c>
      <c r="F63" s="27">
        <v>2023</v>
      </c>
      <c r="G63" s="27" t="s">
        <v>291</v>
      </c>
      <c r="H63" s="27" t="s">
        <v>292</v>
      </c>
      <c r="I63" s="27">
        <v>8</v>
      </c>
      <c r="J63" s="27" t="s">
        <v>229</v>
      </c>
      <c r="K63" s="27">
        <v>1</v>
      </c>
      <c r="L63" s="27" t="s">
        <v>204</v>
      </c>
      <c r="N63" s="68" t="s">
        <v>264</v>
      </c>
      <c r="O63" s="67">
        <f t="shared" si="8"/>
        <v>100</v>
      </c>
      <c r="P63" s="29">
        <v>68</v>
      </c>
      <c r="Q63" s="29"/>
      <c r="R63" s="29"/>
      <c r="S63" s="29"/>
      <c r="T63" s="29"/>
      <c r="U63" s="29">
        <v>25</v>
      </c>
      <c r="V63" s="29"/>
      <c r="W63" s="29">
        <v>2</v>
      </c>
      <c r="X63" s="29"/>
      <c r="Y63" s="29">
        <v>1</v>
      </c>
      <c r="Z63" s="29">
        <v>4</v>
      </c>
      <c r="AA63" s="29"/>
      <c r="AB63" s="29"/>
      <c r="AC63" s="29"/>
      <c r="AD63" s="29"/>
      <c r="AE63" s="29"/>
      <c r="AF63" s="29"/>
      <c r="AG63" s="29"/>
      <c r="AH63" s="29"/>
      <c r="AI63" s="29"/>
      <c r="AJ63" s="30"/>
      <c r="AK63" s="30"/>
      <c r="AL63" s="30"/>
      <c r="AM63" s="30"/>
      <c r="AN63" s="30"/>
      <c r="AO63" s="30"/>
      <c r="AP63" s="31"/>
      <c r="AQ63" s="31"/>
      <c r="AR63" s="31"/>
      <c r="AS63" s="31">
        <v>4</v>
      </c>
      <c r="AT63" s="31">
        <v>13</v>
      </c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CB63" s="32"/>
      <c r="CC63" s="33"/>
      <c r="CD63" s="33"/>
      <c r="CE63" s="33"/>
      <c r="CF63" s="33"/>
      <c r="CG63" s="33"/>
      <c r="CH63" s="33"/>
      <c r="CI63" s="33"/>
      <c r="CJ63" s="33">
        <v>13</v>
      </c>
      <c r="CK63" s="33"/>
      <c r="CL63" s="33"/>
      <c r="CM63" s="33"/>
      <c r="CN63" s="33"/>
      <c r="CO63" s="33"/>
      <c r="CP63" s="33"/>
      <c r="CQ63" s="33"/>
      <c r="CR63" s="33"/>
      <c r="CS63" s="33"/>
      <c r="CT63" s="34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4"/>
      <c r="DO63" s="34"/>
      <c r="EM63" s="34"/>
      <c r="EN63" s="34"/>
      <c r="EO63" s="34"/>
      <c r="EP63" s="34"/>
      <c r="EQ63" s="34"/>
      <c r="ER63" s="34"/>
      <c r="ES63" s="33"/>
      <c r="ET63" s="34"/>
      <c r="EU63" s="34"/>
      <c r="EV63" s="34"/>
      <c r="EW63" s="35"/>
      <c r="EX63" s="35"/>
      <c r="EY63" s="35"/>
      <c r="EZ63" s="35">
        <v>6</v>
      </c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</row>
    <row r="64" spans="1:169" x14ac:dyDescent="0.25">
      <c r="A64" s="6" t="str">
        <f t="shared" si="4"/>
        <v>RP_H_1_E_10_2023</v>
      </c>
      <c r="B64" s="6" t="str">
        <f t="shared" si="5"/>
        <v>RP_H_1_E_10</v>
      </c>
      <c r="C64" s="26" t="str">
        <f t="shared" si="6"/>
        <v>RP_2023</v>
      </c>
      <c r="D64" s="27" t="s">
        <v>27</v>
      </c>
      <c r="E64" s="73">
        <v>45114</v>
      </c>
      <c r="F64" s="27">
        <v>2023</v>
      </c>
      <c r="G64" s="27" t="s">
        <v>291</v>
      </c>
      <c r="H64" s="27" t="s">
        <v>292</v>
      </c>
      <c r="I64" s="27">
        <v>10</v>
      </c>
      <c r="J64" s="27" t="s">
        <v>229</v>
      </c>
      <c r="K64" s="27">
        <v>1</v>
      </c>
      <c r="L64" s="27" t="s">
        <v>204</v>
      </c>
      <c r="N64" s="68" t="s">
        <v>264</v>
      </c>
      <c r="O64" s="67">
        <f t="shared" si="8"/>
        <v>100</v>
      </c>
      <c r="P64" s="29">
        <v>58</v>
      </c>
      <c r="Q64" s="29"/>
      <c r="R64" s="29"/>
      <c r="S64" s="29"/>
      <c r="T64" s="29"/>
      <c r="U64" s="29">
        <v>34</v>
      </c>
      <c r="V64" s="29"/>
      <c r="W64" s="29">
        <v>3</v>
      </c>
      <c r="X64" s="29"/>
      <c r="Y64" s="29"/>
      <c r="Z64" s="29">
        <v>3</v>
      </c>
      <c r="AA64" s="29">
        <v>2</v>
      </c>
      <c r="AB64" s="29"/>
      <c r="AC64" s="29"/>
      <c r="AD64" s="29"/>
      <c r="AE64" s="29"/>
      <c r="AF64" s="29"/>
      <c r="AG64" s="29"/>
      <c r="AH64" s="29"/>
      <c r="AI64" s="29"/>
      <c r="AJ64" s="30"/>
      <c r="AK64" s="30"/>
      <c r="AL64" s="30"/>
      <c r="AM64" s="30"/>
      <c r="AN64" s="30"/>
      <c r="AO64" s="30"/>
      <c r="AP64" s="31"/>
      <c r="AQ64" s="31"/>
      <c r="AR64" s="31"/>
      <c r="AS64" s="31"/>
      <c r="AT64" s="31">
        <v>15</v>
      </c>
      <c r="AU64" s="31">
        <v>22</v>
      </c>
      <c r="AV64" s="31"/>
      <c r="AW64" s="31"/>
      <c r="AX64" s="31"/>
      <c r="AY64" s="31"/>
      <c r="AZ64" s="31"/>
      <c r="BA64" s="31"/>
      <c r="BB64" s="31"/>
      <c r="BC64" s="31"/>
      <c r="BD64" s="31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CB64" s="32"/>
      <c r="CC64" s="33"/>
      <c r="CD64" s="33"/>
      <c r="CE64" s="33"/>
      <c r="CF64" s="33"/>
      <c r="CG64" s="33"/>
      <c r="CH64" s="33"/>
      <c r="CI64" s="33"/>
      <c r="CJ64" s="33">
        <v>8</v>
      </c>
      <c r="CK64" s="33"/>
      <c r="CL64" s="33"/>
      <c r="CM64" s="33"/>
      <c r="CN64" s="33"/>
      <c r="CO64" s="33"/>
      <c r="CP64" s="33"/>
      <c r="CQ64" s="33"/>
      <c r="CR64" s="33"/>
      <c r="CS64" s="33"/>
      <c r="CT64" s="34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4"/>
      <c r="DO64" s="34"/>
      <c r="EM64" s="34"/>
      <c r="EN64" s="34"/>
      <c r="EO64" s="34"/>
      <c r="EP64" s="34"/>
      <c r="EQ64" s="34"/>
      <c r="ER64" s="34"/>
      <c r="ES64" s="33"/>
      <c r="ET64" s="34"/>
      <c r="EU64" s="34"/>
      <c r="EV64" s="34"/>
      <c r="EW64" s="35"/>
      <c r="EX64" s="35"/>
      <c r="EY64" s="35"/>
      <c r="EZ64" s="35">
        <v>16</v>
      </c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</row>
    <row r="65" spans="1:173" x14ac:dyDescent="0.25">
      <c r="A65" s="6" t="str">
        <f t="shared" si="4"/>
        <v>RP_M_1_E_02_2023</v>
      </c>
      <c r="B65" s="6" t="str">
        <f t="shared" si="5"/>
        <v>RP_M_1_E_02</v>
      </c>
      <c r="C65" s="26" t="str">
        <f t="shared" si="6"/>
        <v>RP_2023</v>
      </c>
      <c r="D65" s="27" t="s">
        <v>27</v>
      </c>
      <c r="E65" s="73">
        <v>45114</v>
      </c>
      <c r="F65" s="27">
        <v>2023</v>
      </c>
      <c r="G65" s="27" t="s">
        <v>291</v>
      </c>
      <c r="H65" s="27" t="s">
        <v>292</v>
      </c>
      <c r="I65" s="27">
        <v>2</v>
      </c>
      <c r="J65" s="27" t="s">
        <v>231</v>
      </c>
      <c r="K65" s="27">
        <v>1</v>
      </c>
      <c r="L65" s="27" t="s">
        <v>204</v>
      </c>
      <c r="N65" s="68" t="s">
        <v>264</v>
      </c>
      <c r="O65" s="67">
        <f t="shared" si="8"/>
        <v>100</v>
      </c>
      <c r="P65" s="29">
        <v>3</v>
      </c>
      <c r="Q65" s="29"/>
      <c r="R65" s="29"/>
      <c r="S65" s="29"/>
      <c r="T65" s="29"/>
      <c r="U65" s="29"/>
      <c r="V65" s="29"/>
      <c r="W65" s="29"/>
      <c r="X65" s="29"/>
      <c r="Y65" s="29"/>
      <c r="Z65" s="29">
        <v>95</v>
      </c>
      <c r="AA65" s="29"/>
      <c r="AB65" s="29">
        <v>2</v>
      </c>
      <c r="AC65" s="29"/>
      <c r="AD65" s="29"/>
      <c r="AE65" s="29"/>
      <c r="AF65" s="29"/>
      <c r="AG65" s="29"/>
      <c r="AH65" s="29"/>
      <c r="AI65" s="29"/>
      <c r="AJ65" s="30"/>
      <c r="AK65" s="30"/>
      <c r="AL65" s="30"/>
      <c r="AM65" s="30"/>
      <c r="AN65" s="30"/>
      <c r="AO65" s="30"/>
      <c r="AP65" s="31"/>
      <c r="AQ65" s="31"/>
      <c r="AR65" s="31">
        <v>7</v>
      </c>
      <c r="AS65" s="31">
        <v>7</v>
      </c>
      <c r="AT65" s="31">
        <v>6</v>
      </c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CA65" s="32"/>
      <c r="CB65" s="32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4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>
        <v>1</v>
      </c>
      <c r="DJ65" s="33"/>
      <c r="DK65" s="33">
        <v>16</v>
      </c>
      <c r="DL65" s="33"/>
      <c r="DM65" s="33"/>
      <c r="DN65" s="34"/>
      <c r="DO65" s="34"/>
      <c r="DP65" s="34"/>
      <c r="DQ65" s="34"/>
      <c r="DR65" s="34"/>
      <c r="DS65" s="34"/>
      <c r="DT65" s="34"/>
      <c r="DU65" s="34"/>
      <c r="EM65" s="34"/>
      <c r="EN65" s="34"/>
      <c r="EO65" s="34"/>
      <c r="EP65" s="34"/>
      <c r="EQ65" s="34"/>
      <c r="ER65" s="34"/>
      <c r="ES65" s="33"/>
      <c r="ET65" s="34"/>
      <c r="EU65" s="34"/>
      <c r="EV65" s="34"/>
      <c r="EW65" s="35"/>
      <c r="EX65" s="35">
        <v>1</v>
      </c>
      <c r="EY65" s="35">
        <v>0.1</v>
      </c>
      <c r="EZ65" s="35">
        <v>2</v>
      </c>
      <c r="FA65" s="35"/>
      <c r="FB65" s="35"/>
      <c r="FC65" s="35"/>
      <c r="FD65" s="35"/>
      <c r="FE65" s="35"/>
      <c r="FF65" s="35"/>
      <c r="FG65" s="35"/>
      <c r="FH65" s="35">
        <v>1</v>
      </c>
      <c r="FI65" s="35"/>
      <c r="FJ65" s="35"/>
      <c r="FK65" s="35">
        <v>2</v>
      </c>
      <c r="FL65" s="35"/>
      <c r="FM65" s="35"/>
    </row>
    <row r="66" spans="1:173" x14ac:dyDescent="0.25">
      <c r="A66" s="6" t="str">
        <f t="shared" si="4"/>
        <v>RP_M_1_E_04_2023</v>
      </c>
      <c r="B66" s="6" t="str">
        <f t="shared" si="5"/>
        <v>RP_M_1_E_04</v>
      </c>
      <c r="C66" s="26" t="str">
        <f t="shared" si="6"/>
        <v>RP_2023</v>
      </c>
      <c r="D66" s="27" t="s">
        <v>27</v>
      </c>
      <c r="E66" s="73">
        <v>45114</v>
      </c>
      <c r="F66" s="27">
        <v>2023</v>
      </c>
      <c r="G66" s="27" t="s">
        <v>291</v>
      </c>
      <c r="H66" s="27" t="s">
        <v>292</v>
      </c>
      <c r="I66" s="27">
        <v>4</v>
      </c>
      <c r="J66" s="27" t="s">
        <v>231</v>
      </c>
      <c r="K66" s="27">
        <v>1</v>
      </c>
      <c r="L66" s="27" t="s">
        <v>204</v>
      </c>
      <c r="N66" s="68" t="s">
        <v>264</v>
      </c>
      <c r="O66" s="67">
        <f t="shared" si="8"/>
        <v>100.1</v>
      </c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>
        <v>100</v>
      </c>
      <c r="AA66" s="29"/>
      <c r="AB66" s="29"/>
      <c r="AC66" s="29"/>
      <c r="AD66" s="29">
        <v>0.1</v>
      </c>
      <c r="AE66" s="29"/>
      <c r="AF66" s="29"/>
      <c r="AG66" s="29"/>
      <c r="AH66" s="29"/>
      <c r="AI66" s="29"/>
      <c r="AJ66" s="30"/>
      <c r="AK66" s="30"/>
      <c r="AL66" s="30"/>
      <c r="AM66" s="30"/>
      <c r="AN66" s="30"/>
      <c r="AO66" s="30"/>
      <c r="AP66" s="31"/>
      <c r="AQ66" s="31"/>
      <c r="AR66" s="31">
        <v>3</v>
      </c>
      <c r="AS66" s="31">
        <v>6</v>
      </c>
      <c r="AT66" s="31">
        <v>10</v>
      </c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CA66" s="32"/>
      <c r="CB66" s="32"/>
      <c r="CC66" s="33"/>
      <c r="CD66" s="33"/>
      <c r="CE66" s="33"/>
      <c r="CF66" s="33"/>
      <c r="CG66" s="33"/>
      <c r="CH66" s="33"/>
      <c r="CI66" s="33"/>
      <c r="CJ66" s="33"/>
      <c r="CK66" s="33">
        <v>0.1</v>
      </c>
      <c r="CL66" s="33"/>
      <c r="CM66" s="33"/>
      <c r="CN66" s="33"/>
      <c r="CO66" s="33"/>
      <c r="CP66" s="33"/>
      <c r="CQ66" s="33"/>
      <c r="CR66" s="33"/>
      <c r="CS66" s="33"/>
      <c r="CT66" s="34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4"/>
      <c r="DO66" s="34"/>
      <c r="DP66" s="34"/>
      <c r="DQ66" s="34"/>
      <c r="DR66" s="34"/>
      <c r="DS66" s="34"/>
      <c r="DT66" s="34"/>
      <c r="DU66" s="34"/>
      <c r="EM66" s="34"/>
      <c r="EN66" s="34"/>
      <c r="EO66" s="34"/>
      <c r="EP66" s="34"/>
      <c r="EQ66" s="34"/>
      <c r="ER66" s="34"/>
      <c r="ES66" s="33"/>
      <c r="ET66" s="34"/>
      <c r="EU66" s="34"/>
      <c r="EV66" s="34"/>
      <c r="EW66" s="35"/>
      <c r="EX66" s="35">
        <v>5</v>
      </c>
      <c r="EY66" s="35">
        <v>1</v>
      </c>
      <c r="EZ66" s="35">
        <v>5</v>
      </c>
      <c r="FA66" s="35"/>
      <c r="FB66" s="35"/>
      <c r="FC66" s="35"/>
      <c r="FD66" s="35"/>
      <c r="FE66" s="35"/>
      <c r="FF66" s="35"/>
      <c r="FG66" s="35"/>
      <c r="FH66" s="35"/>
      <c r="FI66" s="35"/>
      <c r="FJ66" s="35">
        <v>0.1</v>
      </c>
      <c r="FK66" s="35">
        <v>1</v>
      </c>
      <c r="FL66" s="35"/>
      <c r="FM66" s="35"/>
    </row>
    <row r="67" spans="1:173" x14ac:dyDescent="0.25">
      <c r="A67" s="6" t="str">
        <f t="shared" si="4"/>
        <v>RP_M_1_E_06_2023</v>
      </c>
      <c r="B67" s="6" t="str">
        <f t="shared" si="5"/>
        <v>RP_M_1_E_06</v>
      </c>
      <c r="C67" s="26" t="str">
        <f t="shared" si="6"/>
        <v>RP_2023</v>
      </c>
      <c r="D67" s="27" t="s">
        <v>27</v>
      </c>
      <c r="E67" s="73">
        <v>45114</v>
      </c>
      <c r="F67" s="27">
        <v>2023</v>
      </c>
      <c r="G67" s="27" t="s">
        <v>291</v>
      </c>
      <c r="H67" s="27" t="s">
        <v>292</v>
      </c>
      <c r="I67" s="27">
        <v>6</v>
      </c>
      <c r="J67" s="27" t="s">
        <v>231</v>
      </c>
      <c r="K67" s="27">
        <v>1</v>
      </c>
      <c r="L67" s="27" t="s">
        <v>204</v>
      </c>
      <c r="N67" s="68" t="s">
        <v>264</v>
      </c>
      <c r="O67" s="67">
        <f t="shared" si="8"/>
        <v>100</v>
      </c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>
        <v>100</v>
      </c>
      <c r="AA67" s="29"/>
      <c r="AB67" s="29"/>
      <c r="AC67" s="29"/>
      <c r="AD67" s="29"/>
      <c r="AE67" s="29"/>
      <c r="AF67" s="29"/>
      <c r="AG67" s="29"/>
      <c r="AH67" s="29"/>
      <c r="AI67" s="29"/>
      <c r="AJ67" s="30"/>
      <c r="AK67" s="30"/>
      <c r="AL67" s="30"/>
      <c r="AM67" s="30"/>
      <c r="AN67" s="30"/>
      <c r="AO67" s="30"/>
      <c r="AP67" s="31"/>
      <c r="AQ67" s="31"/>
      <c r="AR67" s="31">
        <v>1</v>
      </c>
      <c r="AS67" s="31">
        <v>5</v>
      </c>
      <c r="AT67" s="31">
        <v>15</v>
      </c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CA67" s="32"/>
      <c r="CB67" s="32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4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4"/>
      <c r="DO67" s="34"/>
      <c r="DP67" s="34"/>
      <c r="DQ67" s="34"/>
      <c r="DR67" s="34"/>
      <c r="DS67" s="34"/>
      <c r="DT67" s="34"/>
      <c r="DU67" s="34"/>
      <c r="EM67" s="34"/>
      <c r="EN67" s="34"/>
      <c r="EO67" s="34"/>
      <c r="EP67" s="34"/>
      <c r="EQ67" s="34"/>
      <c r="ER67" s="34"/>
      <c r="ES67" s="33"/>
      <c r="ET67" s="34"/>
      <c r="EU67" s="34"/>
      <c r="EV67" s="34"/>
      <c r="EW67" s="35"/>
      <c r="EX67" s="35">
        <v>2</v>
      </c>
      <c r="EY67" s="35">
        <v>1</v>
      </c>
      <c r="EZ67" s="35">
        <v>4</v>
      </c>
      <c r="FA67" s="35"/>
      <c r="FB67" s="35"/>
      <c r="FC67" s="35"/>
      <c r="FD67" s="35"/>
      <c r="FE67" s="35"/>
      <c r="FF67" s="35"/>
      <c r="FG67" s="35"/>
      <c r="FH67" s="35">
        <v>0.1</v>
      </c>
      <c r="FI67" s="35"/>
      <c r="FJ67" s="35"/>
      <c r="FK67" s="35">
        <v>2</v>
      </c>
      <c r="FL67" s="35">
        <v>2</v>
      </c>
      <c r="FM67" s="35"/>
    </row>
    <row r="68" spans="1:173" x14ac:dyDescent="0.25">
      <c r="A68" s="6" t="str">
        <f t="shared" si="4"/>
        <v>RP_M_1_E_07_2023</v>
      </c>
      <c r="B68" s="6" t="str">
        <f t="shared" si="5"/>
        <v>RP_M_1_E_07</v>
      </c>
      <c r="C68" s="26" t="str">
        <f t="shared" si="6"/>
        <v>RP_2023</v>
      </c>
      <c r="D68" s="27" t="s">
        <v>27</v>
      </c>
      <c r="E68" s="73">
        <v>45114</v>
      </c>
      <c r="F68" s="27">
        <v>2023</v>
      </c>
      <c r="G68" s="27" t="s">
        <v>291</v>
      </c>
      <c r="H68" s="27" t="s">
        <v>292</v>
      </c>
      <c r="I68" s="27">
        <v>7</v>
      </c>
      <c r="J68" s="27" t="s">
        <v>231</v>
      </c>
      <c r="K68" s="27">
        <v>1</v>
      </c>
      <c r="L68" s="27" t="s">
        <v>204</v>
      </c>
      <c r="N68" s="68" t="s">
        <v>264</v>
      </c>
      <c r="O68" s="67">
        <f t="shared" si="8"/>
        <v>100</v>
      </c>
      <c r="P68" s="29">
        <v>4</v>
      </c>
      <c r="Q68" s="29"/>
      <c r="R68" s="29"/>
      <c r="S68" s="29"/>
      <c r="T68" s="29"/>
      <c r="U68" s="29"/>
      <c r="V68" s="29"/>
      <c r="W68" s="29"/>
      <c r="X68" s="29">
        <v>3</v>
      </c>
      <c r="Y68" s="29"/>
      <c r="Z68" s="29">
        <v>84</v>
      </c>
      <c r="AA68" s="29"/>
      <c r="AB68" s="29">
        <v>9</v>
      </c>
      <c r="AC68" s="29"/>
      <c r="AD68" s="29"/>
      <c r="AE68" s="29"/>
      <c r="AF68" s="29"/>
      <c r="AG68" s="29"/>
      <c r="AH68" s="29"/>
      <c r="AI68" s="29"/>
      <c r="AJ68" s="30"/>
      <c r="AK68" s="30"/>
      <c r="AL68" s="30"/>
      <c r="AM68" s="30"/>
      <c r="AN68" s="30"/>
      <c r="AO68" s="30"/>
      <c r="AP68" s="31"/>
      <c r="AQ68" s="31"/>
      <c r="AR68" s="31">
        <v>4</v>
      </c>
      <c r="AS68" s="31">
        <v>6</v>
      </c>
      <c r="AT68" s="31">
        <v>3</v>
      </c>
      <c r="AU68" s="31"/>
      <c r="AV68" s="31"/>
      <c r="AW68" s="31"/>
      <c r="AX68" s="31"/>
      <c r="AY68" s="31"/>
      <c r="AZ68" s="31"/>
      <c r="BA68" s="31"/>
      <c r="BB68" s="31"/>
      <c r="BC68" s="31"/>
      <c r="CA68" s="32"/>
      <c r="CB68" s="32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4"/>
      <c r="CU68" s="33">
        <v>1</v>
      </c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4"/>
      <c r="DO68" s="34"/>
      <c r="DP68" s="34"/>
      <c r="DQ68" s="34"/>
      <c r="DR68" s="34"/>
      <c r="DS68" s="34"/>
      <c r="DT68" s="34"/>
      <c r="DU68" s="34"/>
      <c r="EM68" s="34"/>
      <c r="EN68" s="34"/>
      <c r="EO68" s="34"/>
      <c r="EP68" s="34"/>
      <c r="EQ68" s="34"/>
      <c r="ER68" s="34"/>
      <c r="ES68" s="33"/>
      <c r="ET68" s="34"/>
      <c r="EU68" s="34"/>
      <c r="EV68" s="34"/>
      <c r="EW68" s="35"/>
      <c r="EX68" s="35">
        <v>0.1</v>
      </c>
      <c r="EY68" s="35">
        <v>0.1</v>
      </c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</row>
    <row r="69" spans="1:173" x14ac:dyDescent="0.25">
      <c r="A69" s="6" t="str">
        <f t="shared" si="4"/>
        <v>RP_M_1_E_08_2023</v>
      </c>
      <c r="B69" s="6" t="str">
        <f t="shared" si="5"/>
        <v>RP_M_1_E_08</v>
      </c>
      <c r="C69" s="26" t="str">
        <f t="shared" si="6"/>
        <v>RP_2023</v>
      </c>
      <c r="D69" s="27" t="s">
        <v>27</v>
      </c>
      <c r="E69" s="73">
        <v>45114</v>
      </c>
      <c r="F69" s="27">
        <v>2023</v>
      </c>
      <c r="G69" s="27" t="s">
        <v>291</v>
      </c>
      <c r="H69" s="27" t="s">
        <v>292</v>
      </c>
      <c r="I69" s="27">
        <v>8</v>
      </c>
      <c r="J69" s="27" t="s">
        <v>231</v>
      </c>
      <c r="K69" s="27">
        <v>1</v>
      </c>
      <c r="L69" s="27" t="s">
        <v>204</v>
      </c>
      <c r="N69" s="68" t="s">
        <v>264</v>
      </c>
      <c r="O69" s="67">
        <f t="shared" si="8"/>
        <v>100</v>
      </c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>
        <v>100</v>
      </c>
      <c r="AA69" s="29"/>
      <c r="AB69" s="29"/>
      <c r="AC69" s="29"/>
      <c r="AD69" s="29"/>
      <c r="AE69" s="29"/>
      <c r="AF69" s="29"/>
      <c r="AG69" s="29"/>
      <c r="AH69" s="29"/>
      <c r="AI69" s="29"/>
      <c r="AJ69" s="30"/>
      <c r="AK69" s="30"/>
      <c r="AL69" s="30"/>
      <c r="AM69" s="30"/>
      <c r="AN69" s="30"/>
      <c r="AO69" s="30"/>
      <c r="AP69" s="31"/>
      <c r="AQ69" s="31"/>
      <c r="AR69" s="31">
        <v>2</v>
      </c>
      <c r="AS69" s="31">
        <v>1</v>
      </c>
      <c r="AT69" s="31">
        <v>2</v>
      </c>
      <c r="AU69" s="31"/>
      <c r="AV69" s="31"/>
      <c r="AW69" s="31"/>
      <c r="AX69" s="31"/>
      <c r="AY69" s="31"/>
      <c r="AZ69" s="31"/>
      <c r="BA69" s="31"/>
      <c r="BB69" s="31"/>
      <c r="BC69" s="31"/>
      <c r="CA69" s="32"/>
      <c r="CB69" s="32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4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4"/>
      <c r="DO69" s="34"/>
      <c r="DP69" s="34"/>
      <c r="DQ69" s="34"/>
      <c r="DR69" s="34"/>
      <c r="DS69" s="34"/>
      <c r="DT69" s="34"/>
      <c r="DU69" s="34"/>
      <c r="EM69" s="34"/>
      <c r="EN69" s="34"/>
      <c r="EO69" s="34"/>
      <c r="EP69" s="34"/>
      <c r="EQ69" s="34"/>
      <c r="ER69" s="34"/>
      <c r="ES69" s="33"/>
      <c r="ET69" s="34"/>
      <c r="EU69" s="34"/>
      <c r="EV69" s="34"/>
      <c r="EW69" s="35"/>
      <c r="EX69" s="35">
        <v>4</v>
      </c>
      <c r="EY69" s="35">
        <v>2</v>
      </c>
      <c r="EZ69" s="35">
        <v>1</v>
      </c>
      <c r="FA69" s="35"/>
      <c r="FB69" s="35"/>
      <c r="FC69" s="35"/>
      <c r="FD69" s="35"/>
      <c r="FE69" s="35"/>
      <c r="FF69" s="35"/>
      <c r="FG69" s="35"/>
      <c r="FH69" s="35">
        <v>1</v>
      </c>
      <c r="FI69" s="35"/>
      <c r="FJ69" s="35"/>
      <c r="FK69" s="35">
        <v>1</v>
      </c>
      <c r="FL69" s="35"/>
      <c r="FM69" s="35"/>
    </row>
    <row r="70" spans="1:173" x14ac:dyDescent="0.25">
      <c r="A70" s="6" t="str">
        <f t="shared" si="4"/>
        <v>RP_L_2_E_02_2023</v>
      </c>
      <c r="B70" s="6" t="str">
        <f t="shared" si="5"/>
        <v>RP_L_2_E_02</v>
      </c>
      <c r="C70" s="26" t="str">
        <f t="shared" si="6"/>
        <v>RP_2023</v>
      </c>
      <c r="D70" s="27" t="s">
        <v>27</v>
      </c>
      <c r="E70" s="73">
        <v>45114</v>
      </c>
      <c r="F70" s="27">
        <v>2023</v>
      </c>
      <c r="G70" s="27" t="s">
        <v>291</v>
      </c>
      <c r="H70" s="27" t="s">
        <v>292</v>
      </c>
      <c r="I70" s="27">
        <v>2</v>
      </c>
      <c r="J70" s="27" t="s">
        <v>230</v>
      </c>
      <c r="K70" s="27">
        <v>2</v>
      </c>
      <c r="L70" s="27" t="s">
        <v>204</v>
      </c>
      <c r="N70" s="68" t="s">
        <v>264</v>
      </c>
      <c r="O70" s="67">
        <f t="shared" si="8"/>
        <v>100</v>
      </c>
      <c r="P70" s="29">
        <v>3</v>
      </c>
      <c r="Q70" s="29">
        <v>67</v>
      </c>
      <c r="R70" s="29">
        <v>3</v>
      </c>
      <c r="S70" s="29">
        <v>4</v>
      </c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>
        <v>2</v>
      </c>
      <c r="AF70" s="29">
        <v>1</v>
      </c>
      <c r="AG70" s="29">
        <v>12</v>
      </c>
      <c r="AH70" s="29"/>
      <c r="AI70" s="29">
        <v>8</v>
      </c>
      <c r="AJ70" s="30"/>
      <c r="AK70" s="30"/>
      <c r="AL70" s="30"/>
      <c r="AM70" s="30"/>
      <c r="AN70" s="30"/>
      <c r="AO70" s="30"/>
      <c r="AP70" s="31"/>
      <c r="AQ70" s="31"/>
      <c r="AR70" s="31"/>
      <c r="AS70" s="31"/>
      <c r="AT70" s="31">
        <v>1</v>
      </c>
      <c r="AU70" s="31"/>
      <c r="AV70" s="31"/>
      <c r="AW70" s="31"/>
      <c r="AX70" s="31"/>
      <c r="AY70" s="31"/>
      <c r="AZ70" s="31"/>
      <c r="BA70" s="31"/>
      <c r="BB70" s="31"/>
      <c r="BC70" s="31">
        <v>1</v>
      </c>
      <c r="CA70" s="32"/>
      <c r="CB70" s="32"/>
      <c r="CC70" s="33"/>
      <c r="CD70" s="33"/>
      <c r="CE70" s="33"/>
      <c r="CF70" s="33">
        <v>3</v>
      </c>
      <c r="CG70" s="33"/>
      <c r="CH70" s="33"/>
      <c r="CI70" s="33"/>
      <c r="CJ70" s="33"/>
      <c r="CK70" s="33"/>
      <c r="CL70" s="33">
        <v>15</v>
      </c>
      <c r="CM70" s="33"/>
      <c r="CN70" s="33"/>
      <c r="CO70" s="33"/>
      <c r="CP70" s="33"/>
      <c r="CQ70" s="33"/>
      <c r="CR70" s="33"/>
      <c r="CS70" s="33"/>
      <c r="CT70" s="34"/>
      <c r="CU70" s="33"/>
      <c r="CV70" s="33">
        <v>2</v>
      </c>
      <c r="CW70" s="33"/>
      <c r="CX70" s="33"/>
      <c r="CY70" s="33"/>
      <c r="CZ70" s="33">
        <v>7</v>
      </c>
      <c r="DA70" s="33">
        <v>2</v>
      </c>
      <c r="DB70" s="33">
        <v>3</v>
      </c>
      <c r="DC70" s="33"/>
      <c r="DD70" s="33">
        <v>4</v>
      </c>
      <c r="DE70" s="33"/>
      <c r="DF70" s="33"/>
      <c r="DG70" s="33">
        <v>2</v>
      </c>
      <c r="DH70" s="33"/>
      <c r="DI70" s="33"/>
      <c r="DJ70" s="33"/>
      <c r="DK70" s="33">
        <v>1</v>
      </c>
      <c r="DL70" s="33"/>
      <c r="DM70" s="33"/>
      <c r="DN70" s="34"/>
      <c r="DO70" s="34"/>
      <c r="DP70" s="34"/>
      <c r="DQ70" s="34"/>
      <c r="DR70" s="34"/>
      <c r="DS70" s="34"/>
      <c r="DT70" s="34"/>
      <c r="DU70" s="34"/>
      <c r="EM70" s="34"/>
      <c r="EN70" s="34"/>
      <c r="EO70" s="34"/>
      <c r="EP70" s="34"/>
      <c r="EQ70" s="34"/>
      <c r="ER70" s="34"/>
      <c r="ES70" s="33"/>
      <c r="ET70" s="34"/>
      <c r="EU70" s="34"/>
      <c r="EV70" s="34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</row>
    <row r="71" spans="1:173" x14ac:dyDescent="0.25">
      <c r="A71" s="6" t="str">
        <f t="shared" si="4"/>
        <v>RP_L_2_E_04_2023</v>
      </c>
      <c r="B71" s="6" t="str">
        <f t="shared" si="5"/>
        <v>RP_L_2_E_04</v>
      </c>
      <c r="C71" s="26" t="str">
        <f t="shared" si="6"/>
        <v>RP_2023</v>
      </c>
      <c r="D71" s="27" t="s">
        <v>27</v>
      </c>
      <c r="E71" s="73">
        <v>45114</v>
      </c>
      <c r="F71" s="27">
        <v>2023</v>
      </c>
      <c r="G71" s="27" t="s">
        <v>291</v>
      </c>
      <c r="H71" s="27" t="s">
        <v>292</v>
      </c>
      <c r="I71" s="27">
        <v>4</v>
      </c>
      <c r="J71" s="27" t="s">
        <v>230</v>
      </c>
      <c r="K71" s="27">
        <v>2</v>
      </c>
      <c r="L71" s="27" t="s">
        <v>204</v>
      </c>
      <c r="N71" s="68" t="s">
        <v>264</v>
      </c>
      <c r="O71" s="67">
        <f t="shared" si="8"/>
        <v>100.19999999999999</v>
      </c>
      <c r="P71" s="29">
        <v>6</v>
      </c>
      <c r="Q71" s="29"/>
      <c r="R71" s="29"/>
      <c r="S71" s="29">
        <v>71</v>
      </c>
      <c r="T71" s="29">
        <v>0.1</v>
      </c>
      <c r="U71" s="29"/>
      <c r="V71" s="29"/>
      <c r="W71" s="29"/>
      <c r="X71" s="29"/>
      <c r="Y71" s="29"/>
      <c r="Z71" s="29"/>
      <c r="AA71" s="29"/>
      <c r="AB71" s="29">
        <v>0.1</v>
      </c>
      <c r="AC71" s="29"/>
      <c r="AD71" s="29"/>
      <c r="AE71" s="29">
        <v>8</v>
      </c>
      <c r="AF71" s="29"/>
      <c r="AG71" s="29"/>
      <c r="AH71" s="29">
        <v>7</v>
      </c>
      <c r="AI71" s="29">
        <v>8</v>
      </c>
      <c r="AJ71" s="30"/>
      <c r="AK71" s="30"/>
      <c r="AL71" s="30"/>
      <c r="AM71" s="30"/>
      <c r="AN71" s="30"/>
      <c r="AO71" s="30"/>
      <c r="AP71" s="31">
        <v>1</v>
      </c>
      <c r="AQ71" s="31"/>
      <c r="AR71" s="31"/>
      <c r="AS71" s="31"/>
      <c r="AT71" s="31">
        <v>1</v>
      </c>
      <c r="AU71" s="31"/>
      <c r="AV71" s="31">
        <v>6</v>
      </c>
      <c r="AW71" s="31">
        <v>2</v>
      </c>
      <c r="AX71" s="31"/>
      <c r="AY71" s="31"/>
      <c r="AZ71" s="31"/>
      <c r="BA71" s="31"/>
      <c r="BB71" s="31"/>
      <c r="BC71" s="31"/>
      <c r="CA71" s="32"/>
      <c r="CB71" s="32"/>
      <c r="CC71" s="33"/>
      <c r="CD71" s="33"/>
      <c r="CE71" s="33"/>
      <c r="CF71" s="33">
        <v>84</v>
      </c>
      <c r="CG71" s="33"/>
      <c r="CH71" s="33"/>
      <c r="CI71" s="33"/>
      <c r="CJ71" s="33"/>
      <c r="CK71" s="33"/>
      <c r="CL71" s="33">
        <v>5</v>
      </c>
      <c r="CM71" s="33">
        <v>4</v>
      </c>
      <c r="CN71" s="33"/>
      <c r="CO71" s="33"/>
      <c r="CP71" s="33">
        <v>7</v>
      </c>
      <c r="CQ71" s="33"/>
      <c r="CR71" s="33"/>
      <c r="CS71" s="33"/>
      <c r="CT71" s="34"/>
      <c r="CU71" s="33"/>
      <c r="CV71" s="33"/>
      <c r="CW71" s="33"/>
      <c r="CX71" s="33"/>
      <c r="CY71" s="33"/>
      <c r="CZ71" s="33"/>
      <c r="DA71" s="33">
        <v>1</v>
      </c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4"/>
      <c r="DO71" s="34"/>
      <c r="DP71" s="34"/>
      <c r="DQ71" s="34"/>
      <c r="DR71" s="34"/>
      <c r="DS71" s="34"/>
      <c r="DT71" s="34"/>
      <c r="DU71" s="34"/>
      <c r="EM71" s="34"/>
      <c r="EN71" s="34"/>
      <c r="EO71" s="34"/>
      <c r="EP71" s="34"/>
      <c r="EQ71" s="34"/>
      <c r="ER71" s="34"/>
      <c r="ES71" s="33"/>
      <c r="ET71" s="34"/>
      <c r="EU71" s="34"/>
      <c r="EV71" s="34"/>
      <c r="EW71" s="35"/>
      <c r="EX71" s="35"/>
      <c r="EY71" s="35"/>
      <c r="EZ71" s="35"/>
      <c r="FA71" s="35"/>
      <c r="FB71" s="35"/>
      <c r="FC71" s="35">
        <v>1</v>
      </c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Q71" s="37">
        <v>2</v>
      </c>
    </row>
    <row r="72" spans="1:173" x14ac:dyDescent="0.25">
      <c r="A72" s="6" t="str">
        <f t="shared" si="4"/>
        <v>RP_L_2_E_06_2023</v>
      </c>
      <c r="B72" s="6" t="str">
        <f t="shared" si="5"/>
        <v>RP_L_2_E_06</v>
      </c>
      <c r="C72" s="26" t="str">
        <f t="shared" si="6"/>
        <v>RP_2023</v>
      </c>
      <c r="D72" s="27" t="s">
        <v>27</v>
      </c>
      <c r="E72" s="73">
        <v>45114</v>
      </c>
      <c r="F72" s="27">
        <v>2023</v>
      </c>
      <c r="G72" s="27" t="s">
        <v>291</v>
      </c>
      <c r="H72" s="27" t="s">
        <v>292</v>
      </c>
      <c r="I72" s="27">
        <v>6</v>
      </c>
      <c r="J72" s="27" t="s">
        <v>230</v>
      </c>
      <c r="K72" s="27">
        <v>2</v>
      </c>
      <c r="L72" s="27" t="s">
        <v>204</v>
      </c>
      <c r="N72" s="68" t="s">
        <v>264</v>
      </c>
      <c r="O72" s="67">
        <f t="shared" si="8"/>
        <v>100.30000000000001</v>
      </c>
      <c r="P72" s="29">
        <v>3</v>
      </c>
      <c r="Q72" s="29">
        <v>9</v>
      </c>
      <c r="R72" s="29">
        <v>9</v>
      </c>
      <c r="S72" s="29"/>
      <c r="T72" s="29">
        <v>3</v>
      </c>
      <c r="U72" s="29">
        <v>0.1</v>
      </c>
      <c r="V72" s="29"/>
      <c r="W72" s="29">
        <v>0.1</v>
      </c>
      <c r="X72" s="29"/>
      <c r="Y72" s="29"/>
      <c r="Z72" s="29"/>
      <c r="AA72" s="29"/>
      <c r="AB72" s="29">
        <v>13</v>
      </c>
      <c r="AC72" s="29"/>
      <c r="AD72" s="29"/>
      <c r="AE72" s="29"/>
      <c r="AF72" s="29"/>
      <c r="AG72" s="29">
        <v>0.1</v>
      </c>
      <c r="AH72" s="29">
        <v>62</v>
      </c>
      <c r="AI72" s="29">
        <v>1</v>
      </c>
      <c r="AJ72" s="30"/>
      <c r="AK72" s="30"/>
      <c r="AL72" s="30"/>
      <c r="AM72" s="30"/>
      <c r="AN72" s="30"/>
      <c r="AO72" s="30"/>
      <c r="AP72" s="31"/>
      <c r="AQ72" s="31">
        <v>1</v>
      </c>
      <c r="AR72" s="31"/>
      <c r="AS72" s="31"/>
      <c r="AT72" s="31"/>
      <c r="AU72" s="31"/>
      <c r="AV72" s="31"/>
      <c r="AW72" s="31"/>
      <c r="AX72" s="31"/>
      <c r="AY72" s="31"/>
      <c r="AZ72" s="31">
        <v>7</v>
      </c>
      <c r="BA72" s="31"/>
      <c r="BB72" s="31"/>
      <c r="BC72" s="31"/>
      <c r="CA72" s="32"/>
      <c r="CB72" s="32"/>
      <c r="CC72" s="33"/>
      <c r="CD72" s="33"/>
      <c r="CE72" s="33"/>
      <c r="CF72" s="33"/>
      <c r="CG72" s="33"/>
      <c r="CH72" s="33"/>
      <c r="CI72" s="33"/>
      <c r="CJ72" s="33"/>
      <c r="CK72" s="33"/>
      <c r="CL72" s="33">
        <v>0.1</v>
      </c>
      <c r="CM72" s="33">
        <v>1</v>
      </c>
      <c r="CN72" s="33"/>
      <c r="CO72" s="33"/>
      <c r="CP72" s="33"/>
      <c r="CQ72" s="33"/>
      <c r="CR72" s="33"/>
      <c r="CS72" s="33"/>
      <c r="CT72" s="34">
        <v>12</v>
      </c>
      <c r="CU72" s="33"/>
      <c r="CV72" s="33">
        <v>0.1</v>
      </c>
      <c r="CW72" s="33">
        <v>1</v>
      </c>
      <c r="CX72" s="33"/>
      <c r="CY72" s="33"/>
      <c r="CZ72" s="33">
        <v>16</v>
      </c>
      <c r="DA72" s="33">
        <v>9</v>
      </c>
      <c r="DB72" s="33"/>
      <c r="DC72" s="33"/>
      <c r="DD72" s="33"/>
      <c r="DE72" s="33"/>
      <c r="DF72" s="33"/>
      <c r="DG72" s="33"/>
      <c r="DH72" s="33"/>
      <c r="DI72" s="33"/>
      <c r="DJ72" s="33"/>
      <c r="DK72" s="33">
        <v>0.1</v>
      </c>
      <c r="DL72" s="33"/>
      <c r="DM72" s="33"/>
      <c r="DN72" s="34"/>
      <c r="DO72" s="34"/>
      <c r="DP72" s="34"/>
      <c r="DQ72" s="34"/>
      <c r="DR72" s="34"/>
      <c r="DS72" s="34"/>
      <c r="DT72" s="34"/>
      <c r="DU72" s="34"/>
      <c r="EM72" s="34"/>
      <c r="EN72" s="34"/>
      <c r="EO72" s="34"/>
      <c r="EP72" s="34"/>
      <c r="EQ72" s="34"/>
      <c r="ER72" s="34"/>
      <c r="ES72" s="33"/>
      <c r="ET72" s="34"/>
      <c r="EU72" s="34"/>
      <c r="EV72" s="34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</row>
    <row r="73" spans="1:173" x14ac:dyDescent="0.25">
      <c r="A73" s="6" t="str">
        <f t="shared" si="4"/>
        <v>RP_L_2_E_08_2023</v>
      </c>
      <c r="B73" s="6" t="str">
        <f t="shared" si="5"/>
        <v>RP_L_2_E_08</v>
      </c>
      <c r="C73" s="26" t="str">
        <f t="shared" si="6"/>
        <v>RP_2023</v>
      </c>
      <c r="D73" s="27" t="s">
        <v>27</v>
      </c>
      <c r="E73" s="73">
        <v>45114</v>
      </c>
      <c r="F73" s="27">
        <v>2023</v>
      </c>
      <c r="G73" s="27" t="s">
        <v>291</v>
      </c>
      <c r="H73" s="27" t="s">
        <v>292</v>
      </c>
      <c r="I73" s="27">
        <v>8</v>
      </c>
      <c r="J73" s="27" t="s">
        <v>230</v>
      </c>
      <c r="K73" s="27">
        <v>2</v>
      </c>
      <c r="L73" s="27" t="s">
        <v>204</v>
      </c>
      <c r="N73" s="68" t="s">
        <v>264</v>
      </c>
      <c r="O73" s="67">
        <f t="shared" si="8"/>
        <v>100</v>
      </c>
      <c r="P73" s="29">
        <v>12</v>
      </c>
      <c r="Q73" s="29">
        <v>6</v>
      </c>
      <c r="R73" s="29">
        <v>4</v>
      </c>
      <c r="S73" s="29">
        <v>5</v>
      </c>
      <c r="T73" s="29"/>
      <c r="U73" s="29"/>
      <c r="V73" s="29"/>
      <c r="W73" s="29">
        <v>1</v>
      </c>
      <c r="X73" s="29"/>
      <c r="Y73" s="29"/>
      <c r="Z73" s="29"/>
      <c r="AA73" s="29"/>
      <c r="AB73" s="29">
        <v>2</v>
      </c>
      <c r="AC73" s="29"/>
      <c r="AD73" s="29"/>
      <c r="AE73" s="29">
        <v>5</v>
      </c>
      <c r="AF73" s="29"/>
      <c r="AG73" s="29">
        <v>8</v>
      </c>
      <c r="AH73" s="29">
        <v>48</v>
      </c>
      <c r="AI73" s="29">
        <v>9</v>
      </c>
      <c r="AJ73" s="30"/>
      <c r="AK73" s="30"/>
      <c r="AL73" s="30"/>
      <c r="AM73" s="30"/>
      <c r="AN73" s="30"/>
      <c r="AO73" s="30"/>
      <c r="AP73" s="31"/>
      <c r="AQ73" s="31">
        <v>1</v>
      </c>
      <c r="AR73" s="31"/>
      <c r="AS73" s="31"/>
      <c r="AT73" s="31">
        <v>6</v>
      </c>
      <c r="AU73" s="31"/>
      <c r="AV73" s="31"/>
      <c r="AW73" s="31">
        <v>2</v>
      </c>
      <c r="AX73" s="31"/>
      <c r="AY73" s="31"/>
      <c r="AZ73" s="31">
        <v>5</v>
      </c>
      <c r="BA73" s="31"/>
      <c r="BB73" s="31"/>
      <c r="BC73" s="31">
        <v>1</v>
      </c>
      <c r="CA73" s="32"/>
      <c r="CB73" s="32"/>
      <c r="CC73" s="33">
        <v>2</v>
      </c>
      <c r="CD73" s="33"/>
      <c r="CE73" s="33"/>
      <c r="CF73" s="33">
        <v>72</v>
      </c>
      <c r="CG73" s="33"/>
      <c r="CH73" s="33"/>
      <c r="CI73" s="33"/>
      <c r="CJ73" s="33"/>
      <c r="CK73" s="33"/>
      <c r="CL73" s="33">
        <v>6</v>
      </c>
      <c r="CM73" s="33">
        <v>8</v>
      </c>
      <c r="CN73" s="33"/>
      <c r="CO73" s="33"/>
      <c r="CP73" s="33">
        <v>2</v>
      </c>
      <c r="CQ73" s="33"/>
      <c r="CR73" s="33"/>
      <c r="CS73" s="33"/>
      <c r="CT73" s="34"/>
      <c r="CU73" s="33"/>
      <c r="CV73" s="33">
        <v>6</v>
      </c>
      <c r="CW73" s="33"/>
      <c r="CX73" s="33"/>
      <c r="CY73" s="33"/>
      <c r="CZ73" s="33">
        <v>6</v>
      </c>
      <c r="DA73" s="33">
        <v>6</v>
      </c>
      <c r="DB73" s="33"/>
      <c r="DC73" s="33"/>
      <c r="DD73" s="33"/>
      <c r="DE73" s="33"/>
      <c r="DF73" s="33"/>
      <c r="DG73" s="33"/>
      <c r="DH73" s="33"/>
      <c r="DI73" s="33"/>
      <c r="DJ73" s="33"/>
      <c r="DK73" s="33">
        <v>2</v>
      </c>
      <c r="DL73" s="33">
        <v>1</v>
      </c>
      <c r="DM73" s="33"/>
      <c r="DN73" s="34"/>
      <c r="DO73" s="34"/>
      <c r="DP73" s="34"/>
      <c r="DQ73" s="34"/>
      <c r="DR73" s="34"/>
      <c r="DS73" s="34"/>
      <c r="DT73" s="34"/>
      <c r="DU73" s="34"/>
      <c r="EM73" s="34"/>
      <c r="EN73" s="34"/>
      <c r="EO73" s="34"/>
      <c r="EP73" s="34"/>
      <c r="EQ73" s="34"/>
      <c r="ER73" s="34"/>
      <c r="ES73" s="33"/>
      <c r="ET73" s="34"/>
      <c r="EU73" s="34"/>
      <c r="EV73" s="34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</row>
    <row r="74" spans="1:173" x14ac:dyDescent="0.25">
      <c r="A74" s="6" t="str">
        <f t="shared" si="4"/>
        <v>RP_L_2_E_10_2023</v>
      </c>
      <c r="B74" s="6" t="str">
        <f t="shared" si="5"/>
        <v>RP_L_2_E_10</v>
      </c>
      <c r="C74" s="26" t="str">
        <f t="shared" si="6"/>
        <v>RP_2023</v>
      </c>
      <c r="D74" s="27" t="s">
        <v>27</v>
      </c>
      <c r="E74" s="73">
        <v>45114</v>
      </c>
      <c r="F74" s="27">
        <v>2023</v>
      </c>
      <c r="G74" s="27" t="s">
        <v>291</v>
      </c>
      <c r="H74" s="27" t="s">
        <v>292</v>
      </c>
      <c r="I74" s="27">
        <v>10</v>
      </c>
      <c r="J74" s="27" t="s">
        <v>230</v>
      </c>
      <c r="K74" s="27">
        <v>2</v>
      </c>
      <c r="L74" s="27" t="s">
        <v>204</v>
      </c>
      <c r="N74" s="68" t="s">
        <v>264</v>
      </c>
      <c r="O74" s="67">
        <f t="shared" si="8"/>
        <v>100</v>
      </c>
      <c r="P74" s="29">
        <v>2</v>
      </c>
      <c r="Q74" s="29">
        <v>10</v>
      </c>
      <c r="R74" s="29">
        <v>5</v>
      </c>
      <c r="S74" s="29"/>
      <c r="T74" s="29">
        <v>1</v>
      </c>
      <c r="U74" s="29"/>
      <c r="V74" s="29"/>
      <c r="W74" s="29"/>
      <c r="X74" s="29"/>
      <c r="Y74" s="29"/>
      <c r="Z74" s="29"/>
      <c r="AA74" s="29"/>
      <c r="AB74" s="29">
        <v>1</v>
      </c>
      <c r="AC74" s="29"/>
      <c r="AD74" s="29"/>
      <c r="AE74" s="29"/>
      <c r="AF74" s="29">
        <v>4</v>
      </c>
      <c r="AG74" s="29">
        <v>3</v>
      </c>
      <c r="AH74" s="29">
        <v>72</v>
      </c>
      <c r="AI74" s="29">
        <v>2</v>
      </c>
      <c r="AJ74" s="30"/>
      <c r="AK74" s="30"/>
      <c r="AL74" s="30"/>
      <c r="AM74" s="30"/>
      <c r="AN74" s="30"/>
      <c r="AO74" s="30"/>
      <c r="AP74" s="31"/>
      <c r="AQ74" s="31"/>
      <c r="AR74" s="31"/>
      <c r="AS74" s="31"/>
      <c r="AT74" s="31"/>
      <c r="AU74" s="31">
        <v>9</v>
      </c>
      <c r="AV74" s="31"/>
      <c r="AW74" s="31"/>
      <c r="AX74" s="31"/>
      <c r="AY74" s="31"/>
      <c r="AZ74" s="31"/>
      <c r="BA74" s="31"/>
      <c r="BB74" s="31"/>
      <c r="BC74" s="31">
        <v>1</v>
      </c>
      <c r="CA74" s="32"/>
      <c r="CB74" s="32"/>
      <c r="CC74" s="33"/>
      <c r="CD74" s="33"/>
      <c r="CE74" s="33">
        <v>1</v>
      </c>
      <c r="CF74" s="33"/>
      <c r="CG74" s="33"/>
      <c r="CH74" s="33"/>
      <c r="CI74" s="33"/>
      <c r="CJ74" s="33"/>
      <c r="CK74" s="33"/>
      <c r="CL74" s="33"/>
      <c r="CM74" s="33">
        <v>0.1</v>
      </c>
      <c r="CN74" s="33"/>
      <c r="CO74" s="33"/>
      <c r="CP74" s="33"/>
      <c r="CQ74" s="33"/>
      <c r="CR74" s="33"/>
      <c r="CS74" s="33"/>
      <c r="CT74" s="34"/>
      <c r="CU74" s="33"/>
      <c r="CV74" s="33">
        <v>3</v>
      </c>
      <c r="CW74" s="33"/>
      <c r="CX74" s="33"/>
      <c r="CY74" s="33"/>
      <c r="CZ74" s="33">
        <v>39</v>
      </c>
      <c r="DA74" s="33"/>
      <c r="DB74" s="33">
        <v>9</v>
      </c>
      <c r="DC74" s="33"/>
      <c r="DD74" s="33"/>
      <c r="DE74" s="33"/>
      <c r="DF74" s="33"/>
      <c r="DG74" s="33">
        <v>7</v>
      </c>
      <c r="DH74" s="33"/>
      <c r="DI74" s="33"/>
      <c r="DJ74" s="33"/>
      <c r="DK74" s="33">
        <v>11</v>
      </c>
      <c r="DL74" s="33">
        <v>0.1</v>
      </c>
      <c r="DM74" s="33"/>
      <c r="DN74" s="34"/>
      <c r="DO74" s="34"/>
      <c r="DP74" s="34"/>
      <c r="DQ74" s="34"/>
      <c r="DR74" s="34"/>
      <c r="DS74" s="34"/>
      <c r="DT74" s="34"/>
      <c r="DU74" s="34"/>
      <c r="EM74" s="34"/>
      <c r="EN74" s="34"/>
      <c r="EO74" s="34"/>
      <c r="EP74" s="34"/>
      <c r="EQ74" s="34"/>
      <c r="ER74" s="34"/>
      <c r="ES74" s="33"/>
      <c r="ET74" s="34"/>
      <c r="EU74" s="34"/>
      <c r="EV74" s="34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</row>
    <row r="75" spans="1:173" x14ac:dyDescent="0.25">
      <c r="A75" s="6" t="str">
        <f t="shared" si="4"/>
        <v>RP_L_3_E_06_2023</v>
      </c>
      <c r="B75" s="6" t="str">
        <f t="shared" si="5"/>
        <v>RP_L_3_E_06</v>
      </c>
      <c r="C75" s="26" t="str">
        <f t="shared" si="6"/>
        <v>RP_2023</v>
      </c>
      <c r="D75" s="27" t="s">
        <v>27</v>
      </c>
      <c r="E75" s="73">
        <v>45114</v>
      </c>
      <c r="F75" s="27">
        <v>2023</v>
      </c>
      <c r="G75" s="27" t="s">
        <v>291</v>
      </c>
      <c r="H75" s="27" t="s">
        <v>292</v>
      </c>
      <c r="I75" s="27">
        <v>6</v>
      </c>
      <c r="J75" s="27" t="s">
        <v>230</v>
      </c>
      <c r="K75" s="27">
        <v>3</v>
      </c>
      <c r="L75" s="27" t="s">
        <v>204</v>
      </c>
      <c r="N75" s="68" t="s">
        <v>264</v>
      </c>
      <c r="O75" s="67">
        <f t="shared" si="8"/>
        <v>100.1</v>
      </c>
      <c r="P75" s="29"/>
      <c r="Q75" s="29">
        <v>14</v>
      </c>
      <c r="R75" s="29">
        <v>3</v>
      </c>
      <c r="S75" s="29">
        <v>2</v>
      </c>
      <c r="T75" s="29">
        <v>2</v>
      </c>
      <c r="U75" s="29">
        <v>0.1</v>
      </c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>
        <v>1</v>
      </c>
      <c r="AG75" s="29"/>
      <c r="AH75" s="29">
        <v>77</v>
      </c>
      <c r="AI75" s="29">
        <v>1</v>
      </c>
      <c r="AJ75" s="30"/>
      <c r="AK75" s="30"/>
      <c r="AL75" s="30"/>
      <c r="AM75" s="30"/>
      <c r="AN75" s="30"/>
      <c r="AO75" s="30"/>
      <c r="AP75" s="31"/>
      <c r="AQ75" s="31">
        <v>1</v>
      </c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>
        <v>2</v>
      </c>
      <c r="CA75" s="32"/>
      <c r="CB75" s="32"/>
      <c r="CC75" s="33">
        <v>7</v>
      </c>
      <c r="CD75" s="33">
        <v>77</v>
      </c>
      <c r="CE75" s="33"/>
      <c r="CF75" s="33"/>
      <c r="CG75" s="33"/>
      <c r="CH75" s="33"/>
      <c r="CI75" s="33"/>
      <c r="CJ75" s="33"/>
      <c r="CK75" s="33"/>
      <c r="CL75" s="33"/>
      <c r="CM75" s="33">
        <v>1</v>
      </c>
      <c r="CN75" s="33"/>
      <c r="CO75" s="33"/>
      <c r="CP75" s="33">
        <v>1</v>
      </c>
      <c r="CQ75" s="33"/>
      <c r="CR75" s="33"/>
      <c r="CS75" s="33"/>
      <c r="CT75" s="34"/>
      <c r="CU75" s="33"/>
      <c r="CV75" s="33"/>
      <c r="CW75" s="33"/>
      <c r="CX75" s="33"/>
      <c r="CY75" s="33"/>
      <c r="CZ75" s="33">
        <v>9</v>
      </c>
      <c r="DA75" s="33">
        <v>5</v>
      </c>
      <c r="DB75" s="33">
        <v>14</v>
      </c>
      <c r="DC75" s="33"/>
      <c r="DD75" s="33">
        <v>1</v>
      </c>
      <c r="DE75" s="33"/>
      <c r="DF75" s="33"/>
      <c r="DG75" s="33"/>
      <c r="DH75" s="33">
        <v>2</v>
      </c>
      <c r="DI75" s="33"/>
      <c r="DJ75" s="33"/>
      <c r="DK75" s="33"/>
      <c r="DL75" s="33"/>
      <c r="DM75" s="33"/>
      <c r="DN75" s="34"/>
      <c r="DO75" s="34"/>
      <c r="DP75" s="34"/>
      <c r="DQ75" s="34"/>
      <c r="DR75" s="34"/>
      <c r="DS75" s="34"/>
      <c r="DT75" s="34"/>
      <c r="DU75" s="34"/>
      <c r="EM75" s="34"/>
      <c r="EN75" s="34"/>
      <c r="EO75" s="34"/>
      <c r="EP75" s="34"/>
      <c r="EQ75" s="34"/>
      <c r="ER75" s="34"/>
      <c r="ES75" s="33"/>
      <c r="ET75" s="34"/>
      <c r="EU75" s="34"/>
      <c r="EV75" s="34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</row>
    <row r="76" spans="1:173" x14ac:dyDescent="0.25">
      <c r="A76" s="6" t="str">
        <f t="shared" si="4"/>
        <v>RP_L_3_E_07_2023</v>
      </c>
      <c r="B76" s="6" t="str">
        <f t="shared" si="5"/>
        <v>RP_L_3_E_07</v>
      </c>
      <c r="C76" s="26" t="str">
        <f t="shared" si="6"/>
        <v>RP_2023</v>
      </c>
      <c r="D76" s="27" t="s">
        <v>27</v>
      </c>
      <c r="E76" s="73">
        <v>45114</v>
      </c>
      <c r="F76" s="27">
        <v>2023</v>
      </c>
      <c r="G76" s="27" t="s">
        <v>291</v>
      </c>
      <c r="H76" s="27" t="s">
        <v>292</v>
      </c>
      <c r="I76" s="27">
        <v>7</v>
      </c>
      <c r="J76" s="27" t="s">
        <v>230</v>
      </c>
      <c r="K76" s="27">
        <v>3</v>
      </c>
      <c r="L76" s="27" t="s">
        <v>204</v>
      </c>
      <c r="N76" s="68" t="s">
        <v>264</v>
      </c>
      <c r="O76" s="67">
        <f t="shared" si="8"/>
        <v>100.1</v>
      </c>
      <c r="P76" s="29">
        <v>4</v>
      </c>
      <c r="Q76" s="29">
        <v>6</v>
      </c>
      <c r="R76" s="29">
        <v>8</v>
      </c>
      <c r="S76" s="29">
        <v>4</v>
      </c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>
        <v>3</v>
      </c>
      <c r="AE76" s="29">
        <v>2</v>
      </c>
      <c r="AF76" s="29"/>
      <c r="AG76" s="29">
        <v>0.1</v>
      </c>
      <c r="AH76" s="29">
        <v>17</v>
      </c>
      <c r="AI76" s="29">
        <v>56</v>
      </c>
      <c r="AJ76" s="30"/>
      <c r="AK76" s="30"/>
      <c r="AL76" s="30"/>
      <c r="AM76" s="30"/>
      <c r="AN76" s="30"/>
      <c r="AO76" s="30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CA76" s="32"/>
      <c r="CB76" s="32"/>
      <c r="CC76" s="33"/>
      <c r="CD76" s="33"/>
      <c r="CE76" s="33"/>
      <c r="CF76" s="33">
        <v>57</v>
      </c>
      <c r="CG76" s="33"/>
      <c r="CH76" s="33"/>
      <c r="CI76" s="33"/>
      <c r="CJ76" s="33"/>
      <c r="CK76" s="33">
        <v>6</v>
      </c>
      <c r="CL76" s="33">
        <v>2</v>
      </c>
      <c r="CM76" s="33">
        <v>14</v>
      </c>
      <c r="CN76" s="33"/>
      <c r="CO76" s="33"/>
      <c r="CP76" s="33">
        <v>1</v>
      </c>
      <c r="CQ76" s="33"/>
      <c r="CR76" s="33"/>
      <c r="CS76" s="33"/>
      <c r="CT76" s="34"/>
      <c r="CU76" s="33"/>
      <c r="CV76" s="33"/>
      <c r="CW76" s="33">
        <v>2</v>
      </c>
      <c r="CX76" s="33"/>
      <c r="CY76" s="33"/>
      <c r="CZ76" s="33">
        <v>8</v>
      </c>
      <c r="DA76" s="33">
        <v>4</v>
      </c>
      <c r="DB76" s="33">
        <v>12</v>
      </c>
      <c r="DC76" s="33"/>
      <c r="DD76" s="33"/>
      <c r="DE76" s="33"/>
      <c r="DF76" s="33"/>
      <c r="DG76" s="33"/>
      <c r="DH76" s="33"/>
      <c r="DI76" s="33"/>
      <c r="DJ76" s="33"/>
      <c r="DK76" s="33">
        <v>0.1</v>
      </c>
      <c r="DL76" s="33"/>
      <c r="DM76" s="33"/>
      <c r="DN76" s="34"/>
      <c r="DO76" s="34"/>
      <c r="DP76" s="34"/>
      <c r="DQ76" s="34"/>
      <c r="DR76" s="34"/>
      <c r="DS76" s="34"/>
      <c r="DT76" s="34"/>
      <c r="DU76" s="34"/>
      <c r="EM76" s="34"/>
      <c r="EN76" s="34"/>
      <c r="EO76" s="34"/>
      <c r="EP76" s="34"/>
      <c r="EQ76" s="34"/>
      <c r="ER76" s="34"/>
      <c r="ES76" s="33"/>
      <c r="ET76" s="34"/>
      <c r="EU76" s="34"/>
      <c r="EV76" s="34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</row>
    <row r="77" spans="1:173" x14ac:dyDescent="0.25">
      <c r="A77" s="6" t="str">
        <f t="shared" si="4"/>
        <v>RP_H_1_E_02_2023</v>
      </c>
      <c r="B77" s="6" t="str">
        <f t="shared" si="5"/>
        <v>RP_H_1_E_02</v>
      </c>
      <c r="C77" s="26" t="str">
        <f t="shared" si="6"/>
        <v>RP_2023</v>
      </c>
      <c r="D77" s="27" t="s">
        <v>27</v>
      </c>
      <c r="E77" s="73">
        <v>45114</v>
      </c>
      <c r="F77" s="27">
        <v>2023</v>
      </c>
      <c r="G77" s="27" t="s">
        <v>263</v>
      </c>
      <c r="H77" s="27" t="s">
        <v>292</v>
      </c>
      <c r="I77" s="27">
        <v>2</v>
      </c>
      <c r="J77" s="27" t="s">
        <v>229</v>
      </c>
      <c r="K77" s="27">
        <v>1</v>
      </c>
      <c r="L77" s="27" t="s">
        <v>204</v>
      </c>
      <c r="N77" s="68" t="s">
        <v>264</v>
      </c>
      <c r="O77" s="67">
        <f t="shared" si="8"/>
        <v>100</v>
      </c>
      <c r="P77" s="29">
        <v>55</v>
      </c>
      <c r="Q77" s="29"/>
      <c r="R77" s="29">
        <v>3</v>
      </c>
      <c r="S77" s="29"/>
      <c r="T77" s="29"/>
      <c r="U77" s="29">
        <v>40</v>
      </c>
      <c r="V77" s="29"/>
      <c r="W77" s="29">
        <v>2</v>
      </c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30"/>
      <c r="AK77" s="30"/>
      <c r="AL77" s="30"/>
      <c r="AM77" s="30"/>
      <c r="AN77" s="30"/>
      <c r="AO77" s="30"/>
      <c r="AP77" s="31"/>
      <c r="AQ77" s="31"/>
      <c r="AR77" s="31"/>
      <c r="AS77" s="31"/>
      <c r="AT77" s="31">
        <v>20</v>
      </c>
      <c r="AU77" s="31">
        <v>20</v>
      </c>
      <c r="AV77" s="31"/>
      <c r="AW77" s="31"/>
      <c r="AX77" s="31"/>
      <c r="AY77" s="31"/>
      <c r="AZ77" s="31"/>
      <c r="BA77" s="31"/>
      <c r="BB77" s="31"/>
      <c r="BC77" s="31"/>
      <c r="CA77" s="32"/>
      <c r="CB77" s="32"/>
      <c r="CC77" s="33"/>
      <c r="CD77" s="33"/>
      <c r="CE77" s="33"/>
      <c r="CF77" s="33"/>
      <c r="CG77" s="33"/>
      <c r="CH77" s="33"/>
      <c r="CI77" s="33"/>
      <c r="CJ77" s="33">
        <v>18</v>
      </c>
      <c r="CK77" s="33"/>
      <c r="CL77" s="33"/>
      <c r="CM77" s="33"/>
      <c r="CN77" s="33"/>
      <c r="CO77" s="33"/>
      <c r="CP77" s="33"/>
      <c r="CQ77" s="33"/>
      <c r="CR77" s="33"/>
      <c r="CS77" s="33"/>
      <c r="CT77" s="34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4"/>
      <c r="DO77" s="34"/>
      <c r="DP77" s="34"/>
      <c r="DQ77" s="34"/>
      <c r="DR77" s="34"/>
      <c r="DS77" s="34"/>
      <c r="DT77" s="34"/>
      <c r="DU77" s="34"/>
      <c r="EM77" s="34"/>
      <c r="EN77" s="34"/>
      <c r="EO77" s="34"/>
      <c r="EP77" s="34"/>
      <c r="EQ77" s="34"/>
      <c r="ER77" s="34"/>
      <c r="ES77" s="33"/>
      <c r="ET77" s="34"/>
      <c r="EU77" s="34"/>
      <c r="EV77" s="34"/>
      <c r="EW77" s="35"/>
      <c r="EX77" s="35"/>
      <c r="EY77" s="35"/>
      <c r="EZ77" s="35">
        <v>18</v>
      </c>
      <c r="FA77" s="35"/>
      <c r="FB77" s="35">
        <v>2</v>
      </c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</row>
    <row r="78" spans="1:173" x14ac:dyDescent="0.25">
      <c r="A78" s="6" t="str">
        <f t="shared" si="4"/>
        <v>RP_H_1_E_04_2023</v>
      </c>
      <c r="B78" s="6" t="str">
        <f t="shared" si="5"/>
        <v>RP_H_1_E_04</v>
      </c>
      <c r="C78" s="26" t="str">
        <f t="shared" si="6"/>
        <v>RP_2023</v>
      </c>
      <c r="D78" s="27" t="s">
        <v>27</v>
      </c>
      <c r="E78" s="73">
        <v>45114</v>
      </c>
      <c r="F78" s="27">
        <v>2023</v>
      </c>
      <c r="G78" s="27" t="s">
        <v>263</v>
      </c>
      <c r="H78" s="27" t="s">
        <v>292</v>
      </c>
      <c r="I78" s="27">
        <v>4</v>
      </c>
      <c r="J78" s="27" t="s">
        <v>229</v>
      </c>
      <c r="K78" s="27">
        <v>1</v>
      </c>
      <c r="L78" s="27" t="s">
        <v>204</v>
      </c>
      <c r="N78" s="68" t="s">
        <v>264</v>
      </c>
      <c r="O78" s="67">
        <f t="shared" si="8"/>
        <v>100</v>
      </c>
      <c r="P78" s="29">
        <v>51</v>
      </c>
      <c r="Q78" s="29"/>
      <c r="R78" s="29">
        <v>1</v>
      </c>
      <c r="S78" s="29"/>
      <c r="T78" s="29"/>
      <c r="U78" s="29">
        <v>33</v>
      </c>
      <c r="V78" s="29"/>
      <c r="W78" s="29"/>
      <c r="X78" s="29"/>
      <c r="Y78" s="29">
        <v>2</v>
      </c>
      <c r="Z78" s="29">
        <v>13</v>
      </c>
      <c r="AA78" s="29"/>
      <c r="AB78" s="29"/>
      <c r="AC78" s="29"/>
      <c r="AD78" s="29"/>
      <c r="AE78" s="29"/>
      <c r="AF78" s="29"/>
      <c r="AG78" s="29"/>
      <c r="AH78" s="29"/>
      <c r="AI78" s="29"/>
      <c r="AJ78" s="30"/>
      <c r="AK78" s="30"/>
      <c r="AL78" s="30"/>
      <c r="AM78" s="30"/>
      <c r="AN78" s="30"/>
      <c r="AO78" s="30"/>
      <c r="AP78" s="31"/>
      <c r="AQ78" s="31"/>
      <c r="AR78" s="31"/>
      <c r="AS78" s="31">
        <v>1</v>
      </c>
      <c r="AT78" s="31">
        <v>12</v>
      </c>
      <c r="AU78" s="31">
        <v>4</v>
      </c>
      <c r="AV78" s="31"/>
      <c r="AW78" s="31"/>
      <c r="AX78" s="31"/>
      <c r="AY78" s="31"/>
      <c r="AZ78" s="31"/>
      <c r="BA78" s="31"/>
      <c r="BB78" s="31"/>
      <c r="BC78" s="31"/>
      <c r="EW78" s="35"/>
      <c r="EX78" s="35"/>
      <c r="EY78" s="35"/>
      <c r="EZ78" s="35">
        <v>16</v>
      </c>
      <c r="FA78" s="35"/>
      <c r="FB78" s="35">
        <v>2</v>
      </c>
      <c r="FC78" s="35"/>
      <c r="FD78" s="35"/>
      <c r="FE78" s="35"/>
      <c r="FF78" s="35"/>
      <c r="FG78" s="35">
        <v>1</v>
      </c>
      <c r="FH78" s="35"/>
      <c r="FI78" s="35"/>
      <c r="FJ78" s="35"/>
      <c r="FK78" s="35"/>
      <c r="FL78" s="35"/>
      <c r="FM78" s="35"/>
    </row>
    <row r="79" spans="1:173" x14ac:dyDescent="0.25">
      <c r="A79" s="6" t="str">
        <f t="shared" si="4"/>
        <v>RP_H_1_E_06_2023</v>
      </c>
      <c r="B79" s="6" t="str">
        <f t="shared" si="5"/>
        <v>RP_H_1_E_06</v>
      </c>
      <c r="C79" s="26" t="str">
        <f t="shared" si="6"/>
        <v>RP_2023</v>
      </c>
      <c r="D79" s="27" t="s">
        <v>27</v>
      </c>
      <c r="E79" s="73">
        <v>45114</v>
      </c>
      <c r="F79" s="27">
        <v>2023</v>
      </c>
      <c r="G79" s="27" t="s">
        <v>263</v>
      </c>
      <c r="H79" s="27" t="s">
        <v>292</v>
      </c>
      <c r="I79" s="27">
        <v>6</v>
      </c>
      <c r="J79" s="27" t="s">
        <v>229</v>
      </c>
      <c r="K79" s="27">
        <v>1</v>
      </c>
      <c r="L79" s="27" t="s">
        <v>204</v>
      </c>
      <c r="N79" s="68" t="s">
        <v>264</v>
      </c>
      <c r="O79" s="67">
        <f t="shared" si="8"/>
        <v>100</v>
      </c>
      <c r="P79" s="29">
        <v>79</v>
      </c>
      <c r="Q79" s="29"/>
      <c r="R79" s="29"/>
      <c r="S79" s="29"/>
      <c r="T79" s="29"/>
      <c r="U79" s="29">
        <v>12</v>
      </c>
      <c r="V79" s="29"/>
      <c r="W79" s="29">
        <v>4</v>
      </c>
      <c r="X79" s="29"/>
      <c r="Y79" s="29"/>
      <c r="Z79" s="29">
        <v>5</v>
      </c>
      <c r="AA79" s="29"/>
      <c r="AB79" s="29"/>
      <c r="AC79" s="29"/>
      <c r="AD79" s="29"/>
      <c r="AE79" s="29"/>
      <c r="AF79" s="29"/>
      <c r="AG79" s="29"/>
      <c r="AH79" s="29"/>
      <c r="AI79" s="29"/>
      <c r="AJ79" s="30"/>
      <c r="AK79" s="30"/>
      <c r="AL79" s="30"/>
      <c r="AM79" s="30"/>
      <c r="AN79" s="30"/>
      <c r="AO79" s="30"/>
      <c r="AP79" s="31"/>
      <c r="AQ79" s="31"/>
      <c r="AR79" s="31"/>
      <c r="AS79" s="31">
        <v>13</v>
      </c>
      <c r="AT79" s="31">
        <v>6</v>
      </c>
      <c r="AU79" s="31"/>
      <c r="AV79" s="31"/>
      <c r="AW79" s="31"/>
      <c r="AX79" s="31"/>
      <c r="AY79" s="31"/>
      <c r="AZ79" s="31"/>
      <c r="BA79" s="31"/>
      <c r="BB79" s="31"/>
      <c r="BC79" s="31"/>
      <c r="EW79" s="35"/>
      <c r="EX79" s="35"/>
      <c r="EY79" s="35"/>
      <c r="EZ79" s="35">
        <v>0.1</v>
      </c>
      <c r="FA79" s="35"/>
      <c r="FB79" s="35"/>
      <c r="FC79" s="35"/>
      <c r="FD79" s="35"/>
      <c r="FE79" s="35"/>
      <c r="FF79" s="35"/>
      <c r="FG79" s="35">
        <v>1</v>
      </c>
      <c r="FH79" s="35"/>
      <c r="FI79" s="35"/>
      <c r="FJ79" s="35"/>
      <c r="FK79" s="35"/>
      <c r="FL79" s="35"/>
      <c r="FM79" s="35"/>
    </row>
    <row r="80" spans="1:173" x14ac:dyDescent="0.25">
      <c r="A80" s="6" t="str">
        <f t="shared" si="4"/>
        <v>RP_H_1_E_09_2023</v>
      </c>
      <c r="B80" s="6" t="str">
        <f t="shared" si="5"/>
        <v>RP_H_1_E_09</v>
      </c>
      <c r="C80" s="26" t="str">
        <f t="shared" si="6"/>
        <v>RP_2023</v>
      </c>
      <c r="D80" s="27" t="s">
        <v>27</v>
      </c>
      <c r="E80" s="73">
        <v>45114</v>
      </c>
      <c r="F80" s="27">
        <v>2023</v>
      </c>
      <c r="G80" s="27" t="s">
        <v>263</v>
      </c>
      <c r="H80" s="27" t="s">
        <v>292</v>
      </c>
      <c r="I80" s="27">
        <v>9</v>
      </c>
      <c r="J80" s="27" t="s">
        <v>229</v>
      </c>
      <c r="K80" s="27">
        <v>1</v>
      </c>
      <c r="L80" s="27" t="s">
        <v>204</v>
      </c>
      <c r="N80" s="68" t="s">
        <v>264</v>
      </c>
      <c r="O80" s="67">
        <f t="shared" si="8"/>
        <v>100.1</v>
      </c>
      <c r="P80" s="29">
        <v>24</v>
      </c>
      <c r="Q80" s="29"/>
      <c r="R80" s="29">
        <v>0.1</v>
      </c>
      <c r="S80" s="29"/>
      <c r="T80" s="29"/>
      <c r="U80" s="29">
        <v>70</v>
      </c>
      <c r="V80" s="29"/>
      <c r="W80" s="29">
        <v>2</v>
      </c>
      <c r="X80" s="29"/>
      <c r="Y80" s="29"/>
      <c r="Z80" s="29">
        <v>4</v>
      </c>
      <c r="AA80" s="29"/>
      <c r="AB80" s="29"/>
      <c r="AC80" s="29"/>
      <c r="AD80" s="29"/>
      <c r="AE80" s="29"/>
      <c r="AF80" s="29"/>
      <c r="AG80" s="29"/>
      <c r="AH80" s="29"/>
      <c r="AI80" s="29"/>
      <c r="AJ80" s="30"/>
      <c r="AK80" s="30"/>
      <c r="AL80" s="30"/>
      <c r="AM80" s="30"/>
      <c r="AN80" s="30"/>
      <c r="AO80" s="30"/>
      <c r="AP80" s="31"/>
      <c r="AQ80" s="31"/>
      <c r="AR80" s="31"/>
      <c r="AS80" s="31"/>
      <c r="AT80" s="31">
        <v>54</v>
      </c>
      <c r="AU80" s="31">
        <v>7</v>
      </c>
      <c r="AV80" s="31"/>
      <c r="AW80" s="31"/>
      <c r="AX80" s="31"/>
      <c r="AY80" s="31"/>
      <c r="AZ80" s="31"/>
      <c r="BA80" s="31"/>
      <c r="BB80" s="31">
        <v>1</v>
      </c>
      <c r="BC80" s="31"/>
      <c r="EW80" s="35"/>
      <c r="EX80" s="35"/>
      <c r="EY80" s="35"/>
      <c r="EZ80" s="35">
        <v>12</v>
      </c>
      <c r="FA80" s="35"/>
      <c r="FB80" s="35">
        <v>1</v>
      </c>
      <c r="FC80" s="35"/>
      <c r="FD80" s="35"/>
      <c r="FE80" s="35"/>
      <c r="FF80" s="35"/>
      <c r="FG80" s="35">
        <v>4</v>
      </c>
      <c r="FH80" s="35"/>
      <c r="FI80" s="35"/>
      <c r="FJ80" s="35"/>
      <c r="FK80" s="35"/>
      <c r="FL80" s="35"/>
      <c r="FM80" s="35"/>
    </row>
    <row r="81" spans="1:182" x14ac:dyDescent="0.25">
      <c r="A81" s="6" t="str">
        <f t="shared" si="4"/>
        <v>RP_M_1_E_01_2023</v>
      </c>
      <c r="B81" s="6" t="str">
        <f t="shared" si="5"/>
        <v>RP_M_1_E_01</v>
      </c>
      <c r="C81" s="26" t="str">
        <f t="shared" si="6"/>
        <v>RP_2023</v>
      </c>
      <c r="D81" s="27" t="s">
        <v>27</v>
      </c>
      <c r="E81" s="73">
        <v>45114</v>
      </c>
      <c r="F81" s="27">
        <v>2023</v>
      </c>
      <c r="G81" s="27" t="s">
        <v>263</v>
      </c>
      <c r="H81" s="27" t="s">
        <v>292</v>
      </c>
      <c r="I81" s="27">
        <v>1</v>
      </c>
      <c r="J81" s="27" t="s">
        <v>231</v>
      </c>
      <c r="K81" s="27">
        <v>1</v>
      </c>
      <c r="L81" s="27" t="s">
        <v>204</v>
      </c>
      <c r="N81" s="68" t="s">
        <v>264</v>
      </c>
      <c r="O81" s="67">
        <f t="shared" si="8"/>
        <v>100</v>
      </c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>
        <v>100</v>
      </c>
      <c r="AA81" s="29"/>
      <c r="AB81" s="29"/>
      <c r="AC81" s="29"/>
      <c r="AD81" s="29"/>
      <c r="AE81" s="29"/>
      <c r="AF81" s="29"/>
      <c r="AG81" s="29"/>
      <c r="AH81" s="29"/>
      <c r="AI81" s="29"/>
      <c r="AJ81" s="30"/>
      <c r="AK81" s="30"/>
      <c r="AL81" s="30"/>
      <c r="AM81" s="30"/>
      <c r="AN81" s="30"/>
      <c r="AO81" s="30"/>
      <c r="AP81" s="31"/>
      <c r="AQ81" s="31"/>
      <c r="AR81" s="31"/>
      <c r="AS81" s="31">
        <v>6</v>
      </c>
      <c r="AT81" s="31">
        <v>1</v>
      </c>
      <c r="AU81" s="31"/>
      <c r="AV81" s="31"/>
      <c r="AW81" s="31"/>
      <c r="AX81" s="31"/>
      <c r="AY81" s="31"/>
      <c r="AZ81" s="31"/>
      <c r="BA81" s="31"/>
      <c r="BB81" s="31"/>
      <c r="BC81" s="31"/>
      <c r="EW81" s="35"/>
      <c r="EX81" s="35">
        <v>1</v>
      </c>
      <c r="EY81" s="35">
        <v>1</v>
      </c>
      <c r="EZ81" s="35">
        <v>0.1</v>
      </c>
      <c r="FA81" s="35"/>
      <c r="FB81" s="35"/>
      <c r="FC81" s="35"/>
      <c r="FD81" s="35"/>
      <c r="FE81" s="35"/>
      <c r="FF81" s="35"/>
      <c r="FG81" s="35"/>
      <c r="FH81" s="35">
        <v>1</v>
      </c>
      <c r="FI81" s="35"/>
      <c r="FJ81" s="35"/>
      <c r="FK81" s="35">
        <v>3</v>
      </c>
      <c r="FL81" s="35"/>
      <c r="FM81" s="35"/>
    </row>
    <row r="82" spans="1:182" x14ac:dyDescent="0.25">
      <c r="A82" s="6" t="str">
        <f t="shared" si="4"/>
        <v>RP_M_1_E_03_2023</v>
      </c>
      <c r="B82" s="6" t="str">
        <f t="shared" si="5"/>
        <v>RP_M_1_E_03</v>
      </c>
      <c r="C82" s="26" t="str">
        <f t="shared" si="6"/>
        <v>RP_2023</v>
      </c>
      <c r="D82" s="27" t="s">
        <v>27</v>
      </c>
      <c r="E82" s="73">
        <v>45114</v>
      </c>
      <c r="F82" s="27">
        <v>2023</v>
      </c>
      <c r="G82" s="27" t="s">
        <v>263</v>
      </c>
      <c r="H82" s="27" t="s">
        <v>292</v>
      </c>
      <c r="I82" s="27">
        <v>3</v>
      </c>
      <c r="J82" s="27" t="s">
        <v>231</v>
      </c>
      <c r="K82" s="27">
        <v>1</v>
      </c>
      <c r="L82" s="27" t="s">
        <v>204</v>
      </c>
      <c r="N82" s="68" t="s">
        <v>264</v>
      </c>
      <c r="O82" s="67">
        <f t="shared" si="8"/>
        <v>100</v>
      </c>
      <c r="P82" s="29">
        <v>14</v>
      </c>
      <c r="Q82" s="29">
        <v>2</v>
      </c>
      <c r="R82" s="29"/>
      <c r="S82" s="29"/>
      <c r="T82" s="29"/>
      <c r="U82" s="29">
        <v>1</v>
      </c>
      <c r="V82" s="29"/>
      <c r="W82" s="29"/>
      <c r="X82" s="29"/>
      <c r="Y82" s="29"/>
      <c r="Z82" s="29">
        <v>80</v>
      </c>
      <c r="AA82" s="29"/>
      <c r="AB82" s="29"/>
      <c r="AC82" s="29">
        <v>1</v>
      </c>
      <c r="AD82" s="29"/>
      <c r="AE82" s="29"/>
      <c r="AF82" s="29"/>
      <c r="AG82" s="29">
        <v>2</v>
      </c>
      <c r="AH82" s="29"/>
      <c r="AI82" s="29"/>
      <c r="AJ82" s="30"/>
      <c r="AK82" s="30"/>
      <c r="AL82" s="30"/>
      <c r="AM82" s="30"/>
      <c r="AN82" s="30"/>
      <c r="AO82" s="30"/>
      <c r="AP82" s="31"/>
      <c r="AQ82" s="31"/>
      <c r="AR82" s="31"/>
      <c r="AS82" s="31">
        <v>18</v>
      </c>
      <c r="AT82" s="31">
        <v>6</v>
      </c>
      <c r="AU82" s="31"/>
      <c r="AV82" s="31"/>
      <c r="AW82" s="31"/>
      <c r="AX82" s="31"/>
      <c r="AY82" s="31"/>
      <c r="AZ82" s="31"/>
      <c r="BA82" s="31"/>
      <c r="BB82" s="31"/>
      <c r="BC82" s="31"/>
      <c r="DI82" s="33"/>
      <c r="DJ82" s="33"/>
      <c r="DK82" s="33">
        <v>3</v>
      </c>
      <c r="DL82" s="33"/>
      <c r="DM82" s="33"/>
      <c r="DN82" s="34"/>
      <c r="DO82" s="34"/>
      <c r="EW82" s="35"/>
      <c r="EX82" s="35"/>
      <c r="EY82" s="35"/>
      <c r="EZ82" s="35">
        <v>1</v>
      </c>
      <c r="FA82" s="35"/>
      <c r="FB82" s="35"/>
      <c r="FC82" s="35"/>
      <c r="FD82" s="35"/>
      <c r="FE82" s="35"/>
      <c r="FF82" s="35"/>
      <c r="FG82" s="35"/>
      <c r="FH82" s="35"/>
      <c r="FI82" s="35"/>
      <c r="FJ82" s="35">
        <v>2</v>
      </c>
      <c r="FK82" s="35"/>
      <c r="FL82" s="35"/>
      <c r="FM82" s="35"/>
    </row>
    <row r="83" spans="1:182" x14ac:dyDescent="0.25">
      <c r="A83" s="6" t="str">
        <f t="shared" si="4"/>
        <v>RP_M_1_E_05_2023</v>
      </c>
      <c r="B83" s="6" t="str">
        <f t="shared" si="5"/>
        <v>RP_M_1_E_05</v>
      </c>
      <c r="C83" s="26" t="str">
        <f t="shared" si="6"/>
        <v>RP_2023</v>
      </c>
      <c r="D83" s="27" t="s">
        <v>27</v>
      </c>
      <c r="E83" s="73">
        <v>45114</v>
      </c>
      <c r="F83" s="27">
        <v>2023</v>
      </c>
      <c r="G83" s="27" t="s">
        <v>263</v>
      </c>
      <c r="H83" s="27" t="s">
        <v>292</v>
      </c>
      <c r="I83" s="27">
        <v>5</v>
      </c>
      <c r="J83" s="27" t="s">
        <v>231</v>
      </c>
      <c r="K83" s="27">
        <v>1</v>
      </c>
      <c r="L83" s="27" t="s">
        <v>204</v>
      </c>
      <c r="M83" s="7"/>
      <c r="N83" s="68" t="s">
        <v>264</v>
      </c>
      <c r="O83" s="67">
        <f t="shared" si="8"/>
        <v>100</v>
      </c>
      <c r="Z83" s="9">
        <v>100</v>
      </c>
      <c r="AP83" s="31"/>
      <c r="AQ83" s="31"/>
      <c r="AR83" s="31"/>
      <c r="AS83" s="31">
        <v>7</v>
      </c>
      <c r="AT83" s="31">
        <v>6</v>
      </c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DI83" s="33"/>
      <c r="DJ83" s="33"/>
      <c r="DK83" s="33"/>
      <c r="DL83" s="33"/>
      <c r="DM83" s="33"/>
      <c r="DN83" s="34"/>
      <c r="DO83" s="34"/>
      <c r="EW83" s="35">
        <v>2</v>
      </c>
      <c r="EX83" s="35"/>
      <c r="EY83" s="35">
        <v>1</v>
      </c>
      <c r="EZ83" s="35">
        <v>3</v>
      </c>
      <c r="FA83" s="35"/>
      <c r="FB83" s="35"/>
      <c r="FC83" s="35"/>
      <c r="FD83" s="35"/>
      <c r="FE83" s="35"/>
      <c r="FF83" s="35"/>
      <c r="FG83" s="35"/>
      <c r="FH83" s="35">
        <v>1</v>
      </c>
      <c r="FI83" s="35"/>
      <c r="FJ83" s="35"/>
      <c r="FK83" s="35">
        <v>3</v>
      </c>
      <c r="FL83" s="35"/>
      <c r="FM83" s="35"/>
    </row>
    <row r="84" spans="1:182" x14ac:dyDescent="0.25">
      <c r="A84" s="6" t="str">
        <f t="shared" si="4"/>
        <v>RP_M_1_E_09_2023</v>
      </c>
      <c r="B84" s="6" t="str">
        <f t="shared" si="5"/>
        <v>RP_M_1_E_09</v>
      </c>
      <c r="C84" s="26" t="str">
        <f t="shared" si="6"/>
        <v>RP_2023</v>
      </c>
      <c r="D84" s="27" t="s">
        <v>27</v>
      </c>
      <c r="E84" s="73">
        <v>45114</v>
      </c>
      <c r="F84" s="27">
        <v>2023</v>
      </c>
      <c r="G84" s="27" t="s">
        <v>263</v>
      </c>
      <c r="H84" s="27" t="s">
        <v>292</v>
      </c>
      <c r="I84" s="27">
        <v>9</v>
      </c>
      <c r="J84" s="27" t="s">
        <v>231</v>
      </c>
      <c r="K84" s="27">
        <v>1</v>
      </c>
      <c r="L84" s="27" t="s">
        <v>204</v>
      </c>
      <c r="M84" s="7"/>
      <c r="N84" s="68" t="s">
        <v>264</v>
      </c>
      <c r="O84" s="67">
        <f t="shared" si="8"/>
        <v>100</v>
      </c>
      <c r="Z84" s="9">
        <v>100</v>
      </c>
      <c r="AP84" s="31"/>
      <c r="AQ84" s="31"/>
      <c r="AR84" s="31"/>
      <c r="AS84" s="31"/>
      <c r="AT84" s="31">
        <v>10</v>
      </c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DI84" s="33"/>
      <c r="DJ84" s="33"/>
      <c r="DK84" s="33"/>
      <c r="DL84" s="33"/>
      <c r="DM84" s="33"/>
      <c r="DN84" s="34"/>
      <c r="DO84" s="34"/>
      <c r="EW84" s="35"/>
      <c r="EX84" s="35">
        <v>5</v>
      </c>
      <c r="EY84" s="35">
        <v>3</v>
      </c>
      <c r="EZ84" s="35">
        <v>2</v>
      </c>
      <c r="FA84" s="35"/>
      <c r="FB84" s="35"/>
      <c r="FC84" s="35"/>
      <c r="FD84" s="35"/>
      <c r="FE84" s="35"/>
      <c r="FF84" s="35"/>
      <c r="FG84" s="35"/>
      <c r="FH84" s="35"/>
      <c r="FI84" s="35"/>
      <c r="FJ84" s="35">
        <v>1</v>
      </c>
      <c r="FK84" s="35">
        <v>2</v>
      </c>
      <c r="FL84" s="35"/>
      <c r="FM84" s="35"/>
    </row>
    <row r="85" spans="1:182" x14ac:dyDescent="0.25">
      <c r="A85" s="6" t="str">
        <f t="shared" si="4"/>
        <v>RP_M_1_E_10_2023</v>
      </c>
      <c r="B85" s="6" t="str">
        <f t="shared" si="5"/>
        <v>RP_M_1_E_10</v>
      </c>
      <c r="C85" s="26" t="str">
        <f t="shared" si="6"/>
        <v>RP_2023</v>
      </c>
      <c r="D85" s="27" t="s">
        <v>27</v>
      </c>
      <c r="E85" s="73">
        <v>45114</v>
      </c>
      <c r="F85" s="27">
        <v>2023</v>
      </c>
      <c r="G85" s="27" t="s">
        <v>263</v>
      </c>
      <c r="H85" s="27" t="s">
        <v>292</v>
      </c>
      <c r="I85" s="27">
        <v>10</v>
      </c>
      <c r="J85" s="27" t="s">
        <v>231</v>
      </c>
      <c r="K85" s="27">
        <v>1</v>
      </c>
      <c r="L85" s="27" t="s">
        <v>204</v>
      </c>
      <c r="M85" s="7"/>
      <c r="N85" s="68" t="s">
        <v>264</v>
      </c>
      <c r="O85" s="67">
        <f t="shared" si="8"/>
        <v>100</v>
      </c>
      <c r="P85" s="29">
        <v>18</v>
      </c>
      <c r="Q85" s="29"/>
      <c r="R85" s="29"/>
      <c r="S85" s="29"/>
      <c r="T85" s="29"/>
      <c r="U85" s="29">
        <v>5</v>
      </c>
      <c r="V85" s="29"/>
      <c r="W85" s="29"/>
      <c r="X85" s="29">
        <v>7</v>
      </c>
      <c r="Y85" s="29">
        <v>1</v>
      </c>
      <c r="Z85" s="29">
        <v>69</v>
      </c>
      <c r="AA85" s="29"/>
      <c r="AB85" s="29"/>
      <c r="AC85" s="29"/>
      <c r="AD85" s="29"/>
      <c r="AE85" s="29"/>
      <c r="AF85" s="29"/>
      <c r="AG85" s="29"/>
      <c r="AH85" s="29"/>
      <c r="AI85" s="29"/>
      <c r="AP85" s="31"/>
      <c r="AQ85" s="31"/>
      <c r="AR85" s="31"/>
      <c r="AS85" s="31">
        <v>4</v>
      </c>
      <c r="AT85" s="31">
        <v>8</v>
      </c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DI85" s="33"/>
      <c r="DJ85" s="33"/>
      <c r="DK85" s="33"/>
      <c r="DL85" s="33"/>
      <c r="DM85" s="33"/>
      <c r="DN85" s="34"/>
      <c r="DO85" s="34"/>
      <c r="EW85" s="35"/>
      <c r="EX85" s="35">
        <v>1</v>
      </c>
      <c r="EY85" s="35">
        <v>2</v>
      </c>
      <c r="EZ85" s="35">
        <v>1</v>
      </c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</row>
    <row r="86" spans="1:182" x14ac:dyDescent="0.25">
      <c r="A86" s="6" t="str">
        <f t="shared" si="4"/>
        <v>RP_L_2_E_01_2023</v>
      </c>
      <c r="B86" s="6" t="str">
        <f t="shared" si="5"/>
        <v>RP_L_2_E_01</v>
      </c>
      <c r="C86" s="26" t="str">
        <f t="shared" si="6"/>
        <v>RP_2023</v>
      </c>
      <c r="D86" s="27" t="s">
        <v>27</v>
      </c>
      <c r="E86" s="73">
        <v>45114</v>
      </c>
      <c r="F86" s="27">
        <v>2023</v>
      </c>
      <c r="G86" s="27" t="s">
        <v>263</v>
      </c>
      <c r="H86" s="27" t="s">
        <v>292</v>
      </c>
      <c r="I86" s="27">
        <v>1</v>
      </c>
      <c r="J86" s="27" t="s">
        <v>230</v>
      </c>
      <c r="K86" s="27">
        <v>2</v>
      </c>
      <c r="L86" s="27" t="s">
        <v>204</v>
      </c>
      <c r="M86" s="7"/>
      <c r="N86" s="68" t="s">
        <v>264</v>
      </c>
      <c r="O86" s="67">
        <f t="shared" si="8"/>
        <v>100</v>
      </c>
      <c r="P86" s="29">
        <v>42</v>
      </c>
      <c r="Q86" s="29">
        <v>4</v>
      </c>
      <c r="R86" s="29">
        <v>17</v>
      </c>
      <c r="S86" s="29">
        <v>11</v>
      </c>
      <c r="T86" s="29"/>
      <c r="U86" s="29"/>
      <c r="V86" s="29"/>
      <c r="W86" s="29">
        <v>4</v>
      </c>
      <c r="X86" s="29"/>
      <c r="Y86" s="29"/>
      <c r="Z86" s="29"/>
      <c r="AA86" s="29"/>
      <c r="AB86" s="29">
        <v>3</v>
      </c>
      <c r="AC86" s="29"/>
      <c r="AD86" s="29"/>
      <c r="AE86" s="29">
        <v>9</v>
      </c>
      <c r="AF86" s="29">
        <v>1</v>
      </c>
      <c r="AG86" s="29">
        <v>2</v>
      </c>
      <c r="AH86" s="29">
        <v>6</v>
      </c>
      <c r="AI86" s="29">
        <v>1</v>
      </c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CC86" s="33"/>
      <c r="CD86" s="33"/>
      <c r="CE86" s="33"/>
      <c r="CF86" s="33">
        <v>75</v>
      </c>
      <c r="CG86" s="33"/>
      <c r="CH86" s="33"/>
      <c r="CI86" s="33"/>
      <c r="CJ86" s="33"/>
      <c r="CK86" s="33"/>
      <c r="CL86" s="33">
        <v>3</v>
      </c>
      <c r="CM86" s="33">
        <v>1</v>
      </c>
      <c r="CN86" s="33"/>
      <c r="CO86" s="33"/>
      <c r="CP86" s="33"/>
      <c r="CQ86" s="33"/>
      <c r="CR86" s="33"/>
      <c r="CS86" s="33">
        <v>12</v>
      </c>
      <c r="CT86" s="34"/>
      <c r="CU86" s="33"/>
      <c r="CV86" s="33">
        <v>1</v>
      </c>
      <c r="CW86" s="33">
        <v>1</v>
      </c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>
        <v>1</v>
      </c>
      <c r="DL86" s="33">
        <v>2</v>
      </c>
      <c r="DM86" s="33"/>
      <c r="DN86" s="34"/>
      <c r="DO86" s="34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</row>
    <row r="87" spans="1:182" x14ac:dyDescent="0.25">
      <c r="A87" s="6" t="str">
        <f t="shared" si="4"/>
        <v>RP_L_2_E_03_2023</v>
      </c>
      <c r="B87" s="6" t="str">
        <f t="shared" si="5"/>
        <v>RP_L_2_E_03</v>
      </c>
      <c r="C87" s="26" t="str">
        <f t="shared" si="6"/>
        <v>RP_2023</v>
      </c>
      <c r="D87" s="27" t="s">
        <v>27</v>
      </c>
      <c r="E87" s="73">
        <v>45114</v>
      </c>
      <c r="F87" s="27">
        <v>2023</v>
      </c>
      <c r="G87" s="27" t="s">
        <v>263</v>
      </c>
      <c r="H87" s="27" t="s">
        <v>292</v>
      </c>
      <c r="I87" s="27">
        <v>3</v>
      </c>
      <c r="J87" s="27" t="s">
        <v>230</v>
      </c>
      <c r="K87" s="27">
        <v>2</v>
      </c>
      <c r="L87" s="27" t="s">
        <v>204</v>
      </c>
      <c r="M87" s="7"/>
      <c r="N87" s="68" t="s">
        <v>264</v>
      </c>
      <c r="O87" s="67">
        <f t="shared" si="8"/>
        <v>100</v>
      </c>
      <c r="P87" s="29">
        <v>8</v>
      </c>
      <c r="Q87" s="29">
        <v>5</v>
      </c>
      <c r="R87" s="29">
        <v>62</v>
      </c>
      <c r="S87" s="29">
        <v>2</v>
      </c>
      <c r="T87" s="29"/>
      <c r="U87" s="29"/>
      <c r="V87" s="29"/>
      <c r="W87" s="29">
        <v>5</v>
      </c>
      <c r="X87" s="29"/>
      <c r="Y87" s="29"/>
      <c r="Z87" s="29"/>
      <c r="AA87" s="29"/>
      <c r="AB87" s="29">
        <v>2</v>
      </c>
      <c r="AC87" s="29">
        <v>2</v>
      </c>
      <c r="AD87" s="29"/>
      <c r="AE87" s="29">
        <v>6</v>
      </c>
      <c r="AF87" s="29"/>
      <c r="AG87" s="29">
        <v>1</v>
      </c>
      <c r="AH87" s="29">
        <v>7</v>
      </c>
      <c r="AI87" s="29"/>
      <c r="AP87" s="31">
        <v>1</v>
      </c>
      <c r="AQ87" s="31">
        <v>1</v>
      </c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CC87" s="33"/>
      <c r="CD87" s="33"/>
      <c r="CE87" s="33"/>
      <c r="CF87" s="33">
        <v>45</v>
      </c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4"/>
      <c r="CU87" s="33"/>
      <c r="CV87" s="33">
        <v>0.1</v>
      </c>
      <c r="CW87" s="33">
        <v>9</v>
      </c>
      <c r="CX87" s="33"/>
      <c r="CY87" s="33"/>
      <c r="CZ87" s="33">
        <v>3</v>
      </c>
      <c r="DA87" s="33"/>
      <c r="DB87" s="33">
        <v>6</v>
      </c>
      <c r="DC87" s="33">
        <v>2</v>
      </c>
      <c r="DD87" s="33"/>
      <c r="DE87" s="33"/>
      <c r="DF87" s="33"/>
      <c r="DG87" s="33"/>
      <c r="DH87" s="33"/>
      <c r="DI87" s="33"/>
      <c r="DJ87" s="33"/>
      <c r="DK87" s="33">
        <v>2</v>
      </c>
      <c r="DL87" s="33">
        <v>0.1</v>
      </c>
      <c r="DM87" s="33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</row>
    <row r="88" spans="1:182" x14ac:dyDescent="0.25">
      <c r="A88" s="6" t="str">
        <f t="shared" si="4"/>
        <v>RP_L_2_E_05_2023</v>
      </c>
      <c r="B88" s="6" t="str">
        <f t="shared" si="5"/>
        <v>RP_L_2_E_05</v>
      </c>
      <c r="C88" s="26" t="str">
        <f t="shared" si="6"/>
        <v>RP_2023</v>
      </c>
      <c r="D88" s="27" t="s">
        <v>27</v>
      </c>
      <c r="E88" s="73">
        <v>45114</v>
      </c>
      <c r="F88" s="27">
        <v>2023</v>
      </c>
      <c r="G88" s="27" t="s">
        <v>263</v>
      </c>
      <c r="H88" s="27" t="s">
        <v>292</v>
      </c>
      <c r="I88" s="27">
        <v>5</v>
      </c>
      <c r="J88" s="27" t="s">
        <v>230</v>
      </c>
      <c r="K88" s="27">
        <v>2</v>
      </c>
      <c r="L88" s="27" t="s">
        <v>204</v>
      </c>
      <c r="M88" s="7"/>
      <c r="N88" s="68" t="s">
        <v>264</v>
      </c>
      <c r="O88" s="67">
        <f t="shared" si="8"/>
        <v>100.1</v>
      </c>
      <c r="P88" s="29">
        <v>58</v>
      </c>
      <c r="Q88" s="29">
        <v>9</v>
      </c>
      <c r="R88" s="29">
        <v>6</v>
      </c>
      <c r="S88" s="29">
        <v>1</v>
      </c>
      <c r="T88" s="29"/>
      <c r="U88" s="29"/>
      <c r="V88" s="29"/>
      <c r="W88" s="29"/>
      <c r="X88" s="29"/>
      <c r="Y88" s="29"/>
      <c r="Z88" s="29"/>
      <c r="AA88" s="29"/>
      <c r="AB88" s="29">
        <v>11</v>
      </c>
      <c r="AC88" s="29">
        <v>2</v>
      </c>
      <c r="AD88" s="29"/>
      <c r="AE88" s="29">
        <v>0.1</v>
      </c>
      <c r="AF88" s="29"/>
      <c r="AG88" s="29">
        <v>2</v>
      </c>
      <c r="AH88" s="29">
        <v>11</v>
      </c>
      <c r="AI88" s="29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>
        <v>1</v>
      </c>
      <c r="BB88" s="31"/>
      <c r="BC88" s="31"/>
      <c r="BD88" s="31"/>
      <c r="CC88" s="33"/>
      <c r="CD88" s="33"/>
      <c r="CE88" s="33"/>
      <c r="CF88" s="33">
        <v>6</v>
      </c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4"/>
      <c r="CU88" s="33"/>
      <c r="CV88" s="33">
        <v>4</v>
      </c>
      <c r="CW88" s="33">
        <v>18</v>
      </c>
      <c r="CX88" s="33"/>
      <c r="CY88" s="33"/>
      <c r="CZ88" s="33"/>
      <c r="DA88" s="33"/>
      <c r="DB88" s="33">
        <v>14</v>
      </c>
      <c r="DC88" s="33"/>
      <c r="DD88" s="33"/>
      <c r="DE88" s="33"/>
      <c r="DF88" s="33"/>
      <c r="DG88" s="33"/>
      <c r="DH88" s="33"/>
      <c r="DI88" s="33">
        <v>3</v>
      </c>
      <c r="DJ88" s="33"/>
      <c r="DK88" s="33">
        <v>3</v>
      </c>
      <c r="DL88" s="33">
        <v>7</v>
      </c>
      <c r="DM88" s="33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</row>
    <row r="89" spans="1:182" x14ac:dyDescent="0.25">
      <c r="A89" s="6" t="str">
        <f t="shared" si="4"/>
        <v>RP_L_2_E_07_2023</v>
      </c>
      <c r="B89" s="6" t="str">
        <f t="shared" si="5"/>
        <v>RP_L_2_E_07</v>
      </c>
      <c r="C89" s="26" t="str">
        <f t="shared" si="6"/>
        <v>RP_2023</v>
      </c>
      <c r="D89" s="27" t="s">
        <v>27</v>
      </c>
      <c r="E89" s="73">
        <v>45114</v>
      </c>
      <c r="F89" s="27">
        <v>2023</v>
      </c>
      <c r="G89" s="27" t="s">
        <v>263</v>
      </c>
      <c r="H89" s="27" t="s">
        <v>292</v>
      </c>
      <c r="I89" s="27">
        <v>7</v>
      </c>
      <c r="J89" s="27" t="s">
        <v>230</v>
      </c>
      <c r="K89" s="27">
        <v>2</v>
      </c>
      <c r="L89" s="27" t="s">
        <v>204</v>
      </c>
      <c r="M89" s="7"/>
      <c r="N89" s="68" t="s">
        <v>264</v>
      </c>
      <c r="O89" s="67">
        <f t="shared" si="8"/>
        <v>100.1</v>
      </c>
      <c r="P89" s="29">
        <v>2</v>
      </c>
      <c r="Q89" s="29">
        <v>75</v>
      </c>
      <c r="R89" s="29">
        <v>3</v>
      </c>
      <c r="S89" s="29">
        <v>2</v>
      </c>
      <c r="T89" s="29"/>
      <c r="U89" s="29"/>
      <c r="V89" s="29"/>
      <c r="W89" s="29">
        <v>0.1</v>
      </c>
      <c r="X89" s="29"/>
      <c r="Y89" s="29"/>
      <c r="Z89" s="29"/>
      <c r="AA89" s="29"/>
      <c r="AB89" s="29"/>
      <c r="AC89" s="29"/>
      <c r="AD89" s="29"/>
      <c r="AE89" s="29">
        <v>7</v>
      </c>
      <c r="AF89" s="29"/>
      <c r="AG89" s="29">
        <v>2</v>
      </c>
      <c r="AH89" s="29">
        <v>9</v>
      </c>
      <c r="AI89" s="29"/>
      <c r="AJ89" s="30"/>
      <c r="AK89" s="30"/>
      <c r="AL89" s="30"/>
      <c r="AM89" s="30"/>
      <c r="AN89" s="30"/>
      <c r="AO89" s="30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>
        <v>1</v>
      </c>
      <c r="BC89" s="31">
        <v>1</v>
      </c>
      <c r="BD89" s="31"/>
      <c r="BE89" s="32"/>
      <c r="BF89" s="32"/>
      <c r="BG89" s="32"/>
      <c r="BH89" s="32"/>
      <c r="BI89" s="32"/>
      <c r="BJ89" s="32"/>
      <c r="CC89" s="33">
        <v>3</v>
      </c>
      <c r="CD89" s="33"/>
      <c r="CE89" s="33"/>
      <c r="CF89" s="33">
        <v>62</v>
      </c>
      <c r="CG89" s="33"/>
      <c r="CH89" s="33"/>
      <c r="CI89" s="33"/>
      <c r="CJ89" s="33"/>
      <c r="CK89" s="33">
        <v>1</v>
      </c>
      <c r="CL89" s="33"/>
      <c r="CM89" s="33"/>
      <c r="CN89" s="33"/>
      <c r="CO89" s="33"/>
      <c r="CP89" s="33"/>
      <c r="CQ89" s="33"/>
      <c r="CR89" s="33"/>
      <c r="CS89" s="33">
        <v>90</v>
      </c>
      <c r="CT89" s="34"/>
      <c r="CU89" s="33"/>
      <c r="CV89" s="33">
        <v>1</v>
      </c>
      <c r="CW89" s="33"/>
      <c r="CX89" s="33"/>
      <c r="CY89" s="33"/>
      <c r="CZ89" s="33">
        <v>4</v>
      </c>
      <c r="DA89" s="33"/>
      <c r="DB89" s="33"/>
      <c r="DC89" s="33"/>
      <c r="DD89" s="33"/>
      <c r="DE89" s="33"/>
      <c r="DF89" s="33"/>
      <c r="DG89" s="33"/>
      <c r="DH89" s="33"/>
      <c r="DI89" s="33">
        <v>92</v>
      </c>
      <c r="DJ89" s="33"/>
      <c r="DK89" s="33"/>
      <c r="DL89" s="33">
        <v>5</v>
      </c>
      <c r="DM89" s="33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</row>
    <row r="90" spans="1:182" x14ac:dyDescent="0.25">
      <c r="A90" s="6" t="str">
        <f t="shared" si="4"/>
        <v>RP_L_2_E_09_2023</v>
      </c>
      <c r="B90" s="6" t="str">
        <f t="shared" si="5"/>
        <v>RP_L_2_E_09</v>
      </c>
      <c r="C90" s="26" t="str">
        <f t="shared" si="6"/>
        <v>RP_2023</v>
      </c>
      <c r="D90" s="27" t="s">
        <v>27</v>
      </c>
      <c r="E90" s="73">
        <v>45114</v>
      </c>
      <c r="F90" s="27">
        <v>2023</v>
      </c>
      <c r="G90" s="27" t="s">
        <v>263</v>
      </c>
      <c r="H90" s="27" t="s">
        <v>292</v>
      </c>
      <c r="I90" s="27">
        <v>9</v>
      </c>
      <c r="J90" s="27" t="s">
        <v>230</v>
      </c>
      <c r="K90" s="27">
        <v>2</v>
      </c>
      <c r="L90" s="27" t="s">
        <v>204</v>
      </c>
      <c r="M90" s="7"/>
      <c r="N90" s="68" t="s">
        <v>264</v>
      </c>
      <c r="O90" s="67">
        <f>SUM(P90:AO90)</f>
        <v>100.1</v>
      </c>
      <c r="P90" s="29"/>
      <c r="Q90" s="29">
        <v>84</v>
      </c>
      <c r="R90" s="29">
        <v>2</v>
      </c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>
        <v>0.1</v>
      </c>
      <c r="AG90" s="29">
        <v>1</v>
      </c>
      <c r="AH90" s="29">
        <v>13</v>
      </c>
      <c r="AI90" s="29"/>
      <c r="AJ90" s="30"/>
      <c r="AK90" s="30"/>
      <c r="AL90" s="30"/>
      <c r="AM90" s="30"/>
      <c r="AN90" s="30"/>
      <c r="AO90" s="30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2"/>
      <c r="BF90" s="32"/>
      <c r="BG90" s="32"/>
      <c r="BH90" s="32"/>
      <c r="BI90" s="32"/>
      <c r="BJ90" s="32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4"/>
      <c r="CU90" s="33">
        <v>2</v>
      </c>
      <c r="CV90" s="33">
        <v>2</v>
      </c>
      <c r="CW90" s="33"/>
      <c r="CX90" s="33"/>
      <c r="CY90" s="33"/>
      <c r="CZ90" s="33">
        <v>1</v>
      </c>
      <c r="DA90" s="33"/>
      <c r="DB90" s="33">
        <v>10</v>
      </c>
      <c r="DC90" s="33"/>
      <c r="DD90" s="33"/>
      <c r="DE90" s="33"/>
      <c r="DF90" s="33"/>
      <c r="DG90" s="33"/>
      <c r="DH90" s="33"/>
      <c r="DI90" s="33"/>
      <c r="DJ90" s="33"/>
      <c r="DK90" s="33">
        <v>2</v>
      </c>
      <c r="DL90" s="33"/>
      <c r="DM90" s="33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</row>
    <row r="91" spans="1:182" x14ac:dyDescent="0.25">
      <c r="A91" s="6" t="str">
        <f t="shared" si="4"/>
        <v>RP_L_3_E_08_2023</v>
      </c>
      <c r="B91" s="6" t="str">
        <f t="shared" si="5"/>
        <v>RP_L_3_E_08</v>
      </c>
      <c r="C91" s="26" t="str">
        <f t="shared" si="6"/>
        <v>RP_2023</v>
      </c>
      <c r="D91" s="27" t="s">
        <v>27</v>
      </c>
      <c r="E91" s="73">
        <v>45114</v>
      </c>
      <c r="F91" s="27">
        <v>2023</v>
      </c>
      <c r="G91" s="27" t="s">
        <v>263</v>
      </c>
      <c r="H91" s="27" t="s">
        <v>292</v>
      </c>
      <c r="I91" s="27">
        <v>8</v>
      </c>
      <c r="J91" s="27" t="s">
        <v>230</v>
      </c>
      <c r="K91" s="27">
        <v>3</v>
      </c>
      <c r="L91" s="27" t="s">
        <v>204</v>
      </c>
      <c r="M91" s="7"/>
      <c r="N91" s="68" t="s">
        <v>264</v>
      </c>
      <c r="O91" s="67">
        <f t="shared" ref="O91:O154" si="9">SUM(P91:AO91)</f>
        <v>100</v>
      </c>
      <c r="P91" s="29">
        <v>4</v>
      </c>
      <c r="Q91" s="29">
        <v>9</v>
      </c>
      <c r="R91" s="29">
        <v>3</v>
      </c>
      <c r="S91" s="29">
        <v>7</v>
      </c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>
        <v>8</v>
      </c>
      <c r="AF91" s="29"/>
      <c r="AG91" s="29"/>
      <c r="AH91" s="29">
        <v>68</v>
      </c>
      <c r="AI91" s="29">
        <v>1</v>
      </c>
      <c r="AJ91" s="30"/>
      <c r="AK91" s="30"/>
      <c r="AL91" s="30"/>
      <c r="AM91" s="30"/>
      <c r="AN91" s="30"/>
      <c r="AO91" s="30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2"/>
      <c r="BF91" s="32"/>
      <c r="BG91" s="32"/>
      <c r="BH91" s="32"/>
      <c r="BI91" s="32"/>
      <c r="BJ91" s="32"/>
      <c r="CC91" s="33"/>
      <c r="CD91" s="33"/>
      <c r="CE91" s="33"/>
      <c r="CF91" s="33">
        <v>14</v>
      </c>
      <c r="CG91" s="33"/>
      <c r="CH91" s="33"/>
      <c r="CI91" s="33"/>
      <c r="CJ91" s="33"/>
      <c r="CK91" s="33">
        <v>0.1</v>
      </c>
      <c r="CL91" s="33">
        <v>1</v>
      </c>
      <c r="CM91" s="33">
        <v>2</v>
      </c>
      <c r="CN91" s="33"/>
      <c r="CO91" s="33"/>
      <c r="CP91" s="33"/>
      <c r="CQ91" s="33"/>
      <c r="CR91" s="33"/>
      <c r="CS91" s="33"/>
      <c r="CT91" s="34"/>
      <c r="CU91" s="33"/>
      <c r="CV91" s="33"/>
      <c r="CW91" s="33"/>
      <c r="CX91" s="33"/>
      <c r="CY91" s="33"/>
      <c r="CZ91" s="33">
        <v>18</v>
      </c>
      <c r="DA91" s="33">
        <v>3</v>
      </c>
      <c r="DB91" s="33">
        <v>42</v>
      </c>
      <c r="DC91" s="33">
        <v>1</v>
      </c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</row>
    <row r="92" spans="1:182" x14ac:dyDescent="0.25">
      <c r="A92" s="6" t="str">
        <f t="shared" si="4"/>
        <v>RP_L_3_E_09_2023</v>
      </c>
      <c r="B92" s="6" t="str">
        <f t="shared" si="5"/>
        <v>RP_L_3_E_09</v>
      </c>
      <c r="C92" s="26" t="str">
        <f t="shared" si="6"/>
        <v>RP_2023</v>
      </c>
      <c r="D92" s="27" t="s">
        <v>27</v>
      </c>
      <c r="E92" s="73">
        <v>45114</v>
      </c>
      <c r="F92" s="27">
        <v>2023</v>
      </c>
      <c r="G92" s="27" t="s">
        <v>263</v>
      </c>
      <c r="H92" s="27" t="s">
        <v>292</v>
      </c>
      <c r="I92" s="27">
        <v>9</v>
      </c>
      <c r="J92" s="27" t="s">
        <v>230</v>
      </c>
      <c r="K92" s="27">
        <v>3</v>
      </c>
      <c r="L92" s="27" t="s">
        <v>204</v>
      </c>
      <c r="M92" s="7"/>
      <c r="N92" s="68" t="s">
        <v>264</v>
      </c>
      <c r="O92" s="67">
        <f t="shared" si="9"/>
        <v>100</v>
      </c>
      <c r="P92" s="29"/>
      <c r="Q92" s="29"/>
      <c r="R92" s="29">
        <v>91</v>
      </c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>
        <v>9</v>
      </c>
      <c r="AE92" s="29"/>
      <c r="AF92" s="29"/>
      <c r="AG92" s="29"/>
      <c r="AH92" s="29"/>
      <c r="AI92" s="29"/>
      <c r="AJ92" s="30"/>
      <c r="AK92" s="30"/>
      <c r="AL92" s="30"/>
      <c r="AM92" s="30"/>
      <c r="AN92" s="30"/>
      <c r="AO92" s="30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2"/>
      <c r="BF92" s="32"/>
      <c r="BG92" s="32"/>
      <c r="BH92" s="32"/>
      <c r="BI92" s="32"/>
      <c r="BJ92" s="32"/>
      <c r="CC92" s="33"/>
      <c r="CD92" s="33"/>
      <c r="CE92" s="33"/>
      <c r="CF92" s="33"/>
      <c r="CG92" s="33"/>
      <c r="CH92" s="33"/>
      <c r="CI92" s="33"/>
      <c r="CJ92" s="33"/>
      <c r="CK92" s="33">
        <v>100</v>
      </c>
      <c r="CL92" s="33"/>
      <c r="CM92" s="33"/>
      <c r="CN92" s="33"/>
      <c r="CO92" s="33"/>
      <c r="CP92" s="33"/>
      <c r="CQ92" s="33"/>
      <c r="CR92" s="33"/>
      <c r="CS92" s="33"/>
      <c r="CT92" s="34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</row>
    <row r="93" spans="1:182" x14ac:dyDescent="0.25">
      <c r="A93" s="6" t="str">
        <f t="shared" si="4"/>
        <v>RP_L_3_E_10_2023</v>
      </c>
      <c r="B93" s="6" t="str">
        <f t="shared" si="5"/>
        <v>RP_L_3_E_10</v>
      </c>
      <c r="C93" s="26" t="str">
        <f t="shared" si="6"/>
        <v>RP_2023</v>
      </c>
      <c r="D93" s="27" t="s">
        <v>27</v>
      </c>
      <c r="E93" s="73">
        <v>45114</v>
      </c>
      <c r="F93" s="27">
        <v>2023</v>
      </c>
      <c r="G93" s="27" t="s">
        <v>263</v>
      </c>
      <c r="H93" s="27" t="s">
        <v>292</v>
      </c>
      <c r="I93" s="27">
        <v>10</v>
      </c>
      <c r="J93" s="27" t="s">
        <v>230</v>
      </c>
      <c r="K93" s="27">
        <v>3</v>
      </c>
      <c r="L93" s="27" t="s">
        <v>204</v>
      </c>
      <c r="M93" s="7"/>
      <c r="N93" s="68" t="s">
        <v>264</v>
      </c>
      <c r="O93" s="67">
        <f t="shared" si="9"/>
        <v>100</v>
      </c>
      <c r="P93" s="29">
        <v>1</v>
      </c>
      <c r="Q93" s="29">
        <v>28</v>
      </c>
      <c r="R93" s="29"/>
      <c r="S93" s="29">
        <v>2</v>
      </c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>
        <v>3</v>
      </c>
      <c r="AG93" s="29">
        <v>1</v>
      </c>
      <c r="AH93" s="29">
        <v>65</v>
      </c>
      <c r="AI93" s="29"/>
      <c r="AJ93" s="30"/>
      <c r="AK93" s="30"/>
      <c r="AL93" s="30"/>
      <c r="AM93" s="30"/>
      <c r="AN93" s="30"/>
      <c r="AO93" s="30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>
        <v>2</v>
      </c>
      <c r="BA93" s="31"/>
      <c r="BB93" s="31"/>
      <c r="BC93" s="31"/>
      <c r="BD93" s="31"/>
      <c r="BE93" s="32"/>
      <c r="BF93" s="32"/>
      <c r="BG93" s="32"/>
      <c r="BH93" s="32"/>
      <c r="BI93" s="32"/>
      <c r="BJ93" s="32"/>
      <c r="CC93" s="33"/>
      <c r="CD93" s="33">
        <v>31</v>
      </c>
      <c r="CE93" s="33"/>
      <c r="CF93" s="33">
        <v>44</v>
      </c>
      <c r="CG93" s="33"/>
      <c r="CH93" s="33"/>
      <c r="CI93" s="33"/>
      <c r="CJ93" s="33"/>
      <c r="CK93" s="33">
        <v>0.1</v>
      </c>
      <c r="CL93" s="33"/>
      <c r="CM93" s="33">
        <v>3</v>
      </c>
      <c r="CN93" s="33"/>
      <c r="CO93" s="33"/>
      <c r="CP93" s="33"/>
      <c r="CQ93" s="33"/>
      <c r="CR93" s="33">
        <v>3</v>
      </c>
      <c r="CS93" s="33"/>
      <c r="CT93" s="34"/>
      <c r="CU93" s="33"/>
      <c r="CV93" s="33"/>
      <c r="CW93" s="33"/>
      <c r="CX93" s="33"/>
      <c r="CY93" s="33"/>
      <c r="CZ93" s="33">
        <v>7</v>
      </c>
      <c r="DA93" s="33"/>
      <c r="DB93" s="33"/>
      <c r="DC93" s="33">
        <v>14</v>
      </c>
      <c r="DD93" s="33">
        <v>3</v>
      </c>
      <c r="DE93" s="33"/>
      <c r="DF93" s="33"/>
      <c r="DG93" s="33"/>
      <c r="DH93" s="33">
        <v>7</v>
      </c>
      <c r="DI93" s="33"/>
      <c r="DJ93" s="33"/>
      <c r="DK93" s="33">
        <v>1</v>
      </c>
      <c r="DL93" s="33">
        <v>1</v>
      </c>
      <c r="DM93" s="33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</row>
    <row r="94" spans="1:182" x14ac:dyDescent="0.25">
      <c r="A94" s="26" t="str">
        <f>CONCATENATE(D94,"_",J94,"_",K94,"_",L94,"_",TEXT(I94,"00"),"_",F94)</f>
        <v>SH_L_2_E_01_2023</v>
      </c>
      <c r="B94" s="26" t="str">
        <f>CONCATENATE(D94,"_",J94,"_",K94,"_",L94,"_",TEXT(I94,"00"))</f>
        <v>SH_L_2_E_01</v>
      </c>
      <c r="C94" s="26" t="str">
        <f>CONCATENATE(D94,,"_",F94)</f>
        <v>SH_2023</v>
      </c>
      <c r="D94" s="27" t="s">
        <v>28</v>
      </c>
      <c r="E94" s="73">
        <v>45112</v>
      </c>
      <c r="F94" s="27">
        <v>2023</v>
      </c>
      <c r="G94" s="27" t="s">
        <v>277</v>
      </c>
      <c r="H94" s="27" t="s">
        <v>277</v>
      </c>
      <c r="I94" s="27">
        <v>1</v>
      </c>
      <c r="J94" s="27" t="s">
        <v>230</v>
      </c>
      <c r="K94" s="27">
        <v>2</v>
      </c>
      <c r="L94" s="27" t="s">
        <v>204</v>
      </c>
      <c r="N94" s="27" t="s">
        <v>264</v>
      </c>
      <c r="O94" s="67">
        <f t="shared" si="9"/>
        <v>100</v>
      </c>
      <c r="P94" s="29">
        <v>12</v>
      </c>
      <c r="Q94" s="29">
        <v>62</v>
      </c>
      <c r="R94" s="29">
        <v>1</v>
      </c>
      <c r="S94" s="29"/>
      <c r="T94" s="29"/>
      <c r="U94" s="29"/>
      <c r="V94" s="29"/>
      <c r="W94" s="29">
        <v>4</v>
      </c>
      <c r="X94" s="29"/>
      <c r="Y94" s="29"/>
      <c r="Z94" s="29"/>
      <c r="AA94" s="29"/>
      <c r="AB94" s="29"/>
      <c r="AC94" s="29"/>
      <c r="AD94" s="29">
        <v>21</v>
      </c>
      <c r="AE94" s="29"/>
      <c r="AF94" s="29"/>
      <c r="AG94" s="29"/>
      <c r="AH94" s="29"/>
      <c r="AI94" s="29"/>
      <c r="AJ94" s="30"/>
      <c r="AK94" s="30"/>
      <c r="AL94" s="30"/>
      <c r="AM94" s="30"/>
      <c r="AN94" s="30"/>
      <c r="AO94" s="30"/>
      <c r="AP94" s="31"/>
      <c r="AQ94" s="31">
        <v>2</v>
      </c>
      <c r="AR94" s="31"/>
      <c r="AS94" s="31"/>
      <c r="AT94" s="31">
        <v>17</v>
      </c>
      <c r="AU94" s="31"/>
      <c r="AV94" s="31"/>
      <c r="AW94" s="31"/>
      <c r="AX94" s="31"/>
      <c r="AY94" s="31"/>
      <c r="AZ94" s="31"/>
      <c r="BA94" s="31">
        <v>4</v>
      </c>
      <c r="BB94" s="31">
        <v>1</v>
      </c>
      <c r="BC94" s="31">
        <v>1</v>
      </c>
      <c r="BD94" s="31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3"/>
      <c r="CD94" s="33"/>
      <c r="CE94" s="33"/>
      <c r="CF94" s="33"/>
      <c r="CG94" s="33"/>
      <c r="CH94" s="33"/>
      <c r="CI94" s="33"/>
      <c r="CJ94" s="33"/>
      <c r="CK94" s="33">
        <v>93</v>
      </c>
      <c r="CL94" s="33">
        <v>1</v>
      </c>
      <c r="CM94" s="33"/>
      <c r="CN94" s="33"/>
      <c r="CO94" s="33"/>
      <c r="CP94" s="33"/>
      <c r="CQ94" s="33"/>
      <c r="CR94" s="33"/>
      <c r="CS94" s="33"/>
      <c r="CT94" s="34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3"/>
      <c r="ET94" s="34"/>
      <c r="EU94" s="34"/>
      <c r="EV94" s="34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V94" s="77"/>
      <c r="FW94" s="77"/>
      <c r="FX94" s="77"/>
      <c r="FY94" s="77"/>
      <c r="FZ94" s="77"/>
    </row>
    <row r="95" spans="1:182" x14ac:dyDescent="0.25">
      <c r="A95" s="26" t="str">
        <f t="shared" ref="A95:A158" si="10">CONCATENATE(D95,"_",J95,"_",K95,"_",L95,"_",TEXT(I95,"00"),"_",F95)</f>
        <v>SH_L_2_E_03_2023</v>
      </c>
      <c r="B95" s="26" t="str">
        <f t="shared" ref="B95:B158" si="11">CONCATENATE(D95,"_",J95,"_",K95,"_",L95,"_",TEXT(I95,"00"))</f>
        <v>SH_L_2_E_03</v>
      </c>
      <c r="C95" s="26" t="str">
        <f t="shared" ref="C95:C158" si="12">CONCATENATE(D95,,"_",F95)</f>
        <v>SH_2023</v>
      </c>
      <c r="D95" s="27" t="s">
        <v>28</v>
      </c>
      <c r="E95" s="73">
        <v>45112</v>
      </c>
      <c r="F95" s="27">
        <v>2023</v>
      </c>
      <c r="G95" s="27" t="s">
        <v>277</v>
      </c>
      <c r="H95" s="27" t="s">
        <v>277</v>
      </c>
      <c r="I95" s="27">
        <v>3</v>
      </c>
      <c r="J95" s="27" t="s">
        <v>230</v>
      </c>
      <c r="K95" s="27">
        <v>2</v>
      </c>
      <c r="L95" s="27" t="s">
        <v>204</v>
      </c>
      <c r="N95" s="27" t="s">
        <v>264</v>
      </c>
      <c r="O95" s="67">
        <f t="shared" si="9"/>
        <v>100</v>
      </c>
      <c r="P95" s="29"/>
      <c r="Q95" s="29">
        <v>79</v>
      </c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>
        <v>3</v>
      </c>
      <c r="AC95" s="29"/>
      <c r="AD95" s="29"/>
      <c r="AE95" s="29">
        <v>1</v>
      </c>
      <c r="AF95" s="29"/>
      <c r="AG95" s="29"/>
      <c r="AH95" s="29">
        <v>17</v>
      </c>
      <c r="AI95" s="29"/>
      <c r="AJ95" s="30"/>
      <c r="AK95" s="30"/>
      <c r="AL95" s="30"/>
      <c r="AM95" s="30"/>
      <c r="AN95" s="30"/>
      <c r="AO95" s="30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>
        <v>1</v>
      </c>
      <c r="BB95" s="31"/>
      <c r="BC95" s="31"/>
      <c r="BD95" s="31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3"/>
      <c r="CD95" s="33"/>
      <c r="CE95" s="33"/>
      <c r="CF95" s="33">
        <v>11</v>
      </c>
      <c r="CG95" s="33"/>
      <c r="CH95" s="33"/>
      <c r="CI95" s="33"/>
      <c r="CJ95" s="33"/>
      <c r="CK95" s="33"/>
      <c r="CL95" s="33"/>
      <c r="CM95" s="33"/>
      <c r="CN95" s="33"/>
      <c r="CO95" s="33">
        <v>3</v>
      </c>
      <c r="CP95" s="33"/>
      <c r="CQ95" s="33"/>
      <c r="CR95" s="33"/>
      <c r="CS95" s="33"/>
      <c r="CT95" s="34"/>
      <c r="CU95" s="33"/>
      <c r="CV95" s="33"/>
      <c r="CW95" s="33"/>
      <c r="CX95" s="33"/>
      <c r="CY95" s="33"/>
      <c r="CZ95" s="33">
        <v>49</v>
      </c>
      <c r="DA95" s="33">
        <v>4</v>
      </c>
      <c r="DB95" s="33"/>
      <c r="DC95" s="33"/>
      <c r="DD95" s="33"/>
      <c r="DE95" s="33"/>
      <c r="DF95" s="33"/>
      <c r="DG95" s="33">
        <v>2</v>
      </c>
      <c r="DH95" s="33">
        <v>24</v>
      </c>
      <c r="DI95" s="33"/>
      <c r="DJ95" s="33">
        <v>3</v>
      </c>
      <c r="DK95" s="33"/>
      <c r="DL95" s="33"/>
      <c r="DM95" s="33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3"/>
      <c r="ET95" s="34"/>
      <c r="EU95" s="34"/>
      <c r="EV95" s="34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V95" s="77"/>
      <c r="FW95" s="77"/>
      <c r="FX95" s="77"/>
      <c r="FY95" s="77"/>
      <c r="FZ95" s="77"/>
    </row>
    <row r="96" spans="1:182" x14ac:dyDescent="0.25">
      <c r="A96" s="26" t="str">
        <f t="shared" si="10"/>
        <v>SH_L_2_E_09_2023</v>
      </c>
      <c r="B96" s="26" t="str">
        <f t="shared" si="11"/>
        <v>SH_L_2_E_09</v>
      </c>
      <c r="C96" s="26" t="str">
        <f t="shared" si="12"/>
        <v>SH_2023</v>
      </c>
      <c r="D96" s="27" t="s">
        <v>28</v>
      </c>
      <c r="E96" s="73">
        <v>45112</v>
      </c>
      <c r="F96" s="27">
        <v>2023</v>
      </c>
      <c r="G96" s="27" t="s">
        <v>277</v>
      </c>
      <c r="H96" s="27" t="s">
        <v>277</v>
      </c>
      <c r="I96" s="27">
        <v>9</v>
      </c>
      <c r="J96" s="27" t="s">
        <v>230</v>
      </c>
      <c r="K96" s="27">
        <v>2</v>
      </c>
      <c r="L96" s="27" t="s">
        <v>204</v>
      </c>
      <c r="N96" s="27" t="s">
        <v>264</v>
      </c>
      <c r="O96" s="67">
        <f t="shared" si="9"/>
        <v>100.1</v>
      </c>
      <c r="P96" s="29"/>
      <c r="Q96" s="29">
        <v>71</v>
      </c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>
        <v>29</v>
      </c>
      <c r="AI96" s="29">
        <v>0.1</v>
      </c>
      <c r="AJ96" s="30"/>
      <c r="AK96" s="30"/>
      <c r="AL96" s="30"/>
      <c r="AM96" s="30"/>
      <c r="AN96" s="30"/>
      <c r="AO96" s="30"/>
      <c r="AP96" s="31"/>
      <c r="AQ96" s="31">
        <v>1</v>
      </c>
      <c r="AR96" s="31"/>
      <c r="AS96" s="31"/>
      <c r="AT96" s="31"/>
      <c r="AU96" s="31"/>
      <c r="AV96" s="31"/>
      <c r="AW96" s="31"/>
      <c r="AX96" s="31"/>
      <c r="AY96" s="31"/>
      <c r="AZ96" s="31"/>
      <c r="BA96" s="31">
        <v>3</v>
      </c>
      <c r="BB96" s="31"/>
      <c r="BC96" s="31"/>
      <c r="BD96" s="31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3"/>
      <c r="CD96" s="33">
        <v>14</v>
      </c>
      <c r="CE96" s="33"/>
      <c r="CF96" s="33"/>
      <c r="CG96" s="33"/>
      <c r="CH96" s="33"/>
      <c r="CI96" s="33"/>
      <c r="CJ96" s="33"/>
      <c r="CK96" s="33">
        <v>4</v>
      </c>
      <c r="CL96" s="33"/>
      <c r="CM96" s="33">
        <v>0.1</v>
      </c>
      <c r="CN96" s="33"/>
      <c r="CO96" s="33"/>
      <c r="CP96" s="33"/>
      <c r="CQ96" s="33"/>
      <c r="CR96" s="33"/>
      <c r="CS96" s="33"/>
      <c r="CT96" s="34"/>
      <c r="CU96" s="33"/>
      <c r="CV96" s="33"/>
      <c r="CW96" s="33">
        <v>1</v>
      </c>
      <c r="CX96" s="33"/>
      <c r="CY96" s="33"/>
      <c r="CZ96" s="33">
        <v>51</v>
      </c>
      <c r="DA96" s="33"/>
      <c r="DB96" s="33"/>
      <c r="DC96" s="33"/>
      <c r="DD96" s="33"/>
      <c r="DE96" s="33"/>
      <c r="DF96" s="33"/>
      <c r="DG96" s="33"/>
      <c r="DH96" s="33">
        <v>70</v>
      </c>
      <c r="DI96" s="33"/>
      <c r="DJ96" s="33"/>
      <c r="DK96" s="33"/>
      <c r="DL96" s="33"/>
      <c r="DM96" s="33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3"/>
      <c r="ET96" s="34"/>
      <c r="EU96" s="34"/>
      <c r="EV96" s="34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V96" s="77"/>
      <c r="FW96" s="77"/>
      <c r="FX96" s="77"/>
      <c r="FY96" s="77"/>
      <c r="FZ96" s="77"/>
    </row>
    <row r="97" spans="1:182" x14ac:dyDescent="0.25">
      <c r="A97" s="26" t="str">
        <f t="shared" si="10"/>
        <v>SH_L_2_E_08_2023</v>
      </c>
      <c r="B97" s="26" t="str">
        <f t="shared" si="11"/>
        <v>SH_L_2_E_08</v>
      </c>
      <c r="C97" s="26" t="str">
        <f t="shared" si="12"/>
        <v>SH_2023</v>
      </c>
      <c r="D97" s="27" t="s">
        <v>28</v>
      </c>
      <c r="E97" s="73">
        <v>45112</v>
      </c>
      <c r="F97" s="27">
        <v>2023</v>
      </c>
      <c r="G97" s="27" t="s">
        <v>277</v>
      </c>
      <c r="H97" s="27" t="s">
        <v>277</v>
      </c>
      <c r="I97" s="27">
        <v>8</v>
      </c>
      <c r="J97" s="27" t="s">
        <v>230</v>
      </c>
      <c r="K97" s="27">
        <v>2</v>
      </c>
      <c r="L97" s="27" t="s">
        <v>204</v>
      </c>
      <c r="N97" s="27" t="s">
        <v>264</v>
      </c>
      <c r="O97" s="67">
        <f t="shared" si="9"/>
        <v>100.1</v>
      </c>
      <c r="P97" s="29">
        <v>3</v>
      </c>
      <c r="Q97" s="29">
        <v>38</v>
      </c>
      <c r="R97" s="29">
        <v>1</v>
      </c>
      <c r="S97" s="29"/>
      <c r="T97" s="29"/>
      <c r="U97" s="29"/>
      <c r="V97" s="29"/>
      <c r="W97" s="29">
        <v>0.1</v>
      </c>
      <c r="X97" s="29"/>
      <c r="Y97" s="29"/>
      <c r="Z97" s="29"/>
      <c r="AA97" s="29"/>
      <c r="AB97" s="29"/>
      <c r="AC97" s="29"/>
      <c r="AD97" s="29"/>
      <c r="AE97" s="29">
        <v>4</v>
      </c>
      <c r="AF97" s="29"/>
      <c r="AG97" s="29"/>
      <c r="AH97" s="29">
        <v>45</v>
      </c>
      <c r="AI97" s="29">
        <v>9</v>
      </c>
      <c r="AJ97" s="30"/>
      <c r="AK97" s="30"/>
      <c r="AL97" s="30"/>
      <c r="AM97" s="30"/>
      <c r="AN97" s="30"/>
      <c r="AO97" s="30"/>
      <c r="AP97" s="31"/>
      <c r="AQ97" s="31"/>
      <c r="AR97" s="31"/>
      <c r="AS97" s="31"/>
      <c r="AT97" s="31"/>
      <c r="AU97" s="31"/>
      <c r="AV97" s="31"/>
      <c r="AW97" s="31"/>
      <c r="AX97" s="31">
        <v>1</v>
      </c>
      <c r="AY97" s="31"/>
      <c r="AZ97" s="31"/>
      <c r="BA97" s="31">
        <v>1</v>
      </c>
      <c r="BB97" s="31"/>
      <c r="BC97" s="31"/>
      <c r="BD97" s="31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3"/>
      <c r="CD97" s="33"/>
      <c r="CE97" s="33"/>
      <c r="CF97" s="33">
        <v>38</v>
      </c>
      <c r="CG97" s="33"/>
      <c r="CH97" s="33"/>
      <c r="CI97" s="33"/>
      <c r="CJ97" s="33"/>
      <c r="CK97" s="33"/>
      <c r="CL97" s="33">
        <v>5</v>
      </c>
      <c r="CM97" s="33">
        <v>2</v>
      </c>
      <c r="CN97" s="33"/>
      <c r="CO97" s="33"/>
      <c r="CP97" s="33"/>
      <c r="CQ97" s="33"/>
      <c r="CR97" s="33"/>
      <c r="CS97" s="33"/>
      <c r="CT97" s="34"/>
      <c r="CU97" s="33"/>
      <c r="CV97" s="33"/>
      <c r="CW97" s="33">
        <v>0.1</v>
      </c>
      <c r="CX97" s="33"/>
      <c r="CY97" s="33"/>
      <c r="CZ97" s="33">
        <v>48</v>
      </c>
      <c r="DA97" s="33">
        <v>10</v>
      </c>
      <c r="DB97" s="33"/>
      <c r="DC97" s="33"/>
      <c r="DD97" s="33"/>
      <c r="DE97" s="33"/>
      <c r="DF97" s="33"/>
      <c r="DG97" s="33"/>
      <c r="DH97" s="33">
        <v>12</v>
      </c>
      <c r="DI97" s="33"/>
      <c r="DJ97" s="33"/>
      <c r="DK97" s="33"/>
      <c r="DL97" s="33"/>
      <c r="DM97" s="33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3"/>
      <c r="ET97" s="34"/>
      <c r="EU97" s="34"/>
      <c r="EV97" s="34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V97" s="77"/>
      <c r="FW97" s="77"/>
      <c r="FX97" s="77"/>
      <c r="FY97" s="77"/>
      <c r="FZ97" s="77"/>
    </row>
    <row r="98" spans="1:182" x14ac:dyDescent="0.25">
      <c r="A98" s="26" t="str">
        <f t="shared" si="10"/>
        <v>SH_L_3_E_06_2023</v>
      </c>
      <c r="B98" s="26" t="str">
        <f t="shared" si="11"/>
        <v>SH_L_3_E_06</v>
      </c>
      <c r="C98" s="26" t="str">
        <f t="shared" si="12"/>
        <v>SH_2023</v>
      </c>
      <c r="D98" s="27" t="s">
        <v>28</v>
      </c>
      <c r="E98" s="73">
        <v>45112</v>
      </c>
      <c r="F98" s="27">
        <v>2023</v>
      </c>
      <c r="G98" s="27" t="s">
        <v>277</v>
      </c>
      <c r="H98" s="27" t="s">
        <v>277</v>
      </c>
      <c r="I98" s="27">
        <v>6</v>
      </c>
      <c r="J98" s="27" t="s">
        <v>230</v>
      </c>
      <c r="K98" s="27">
        <v>3</v>
      </c>
      <c r="L98" s="27" t="s">
        <v>204</v>
      </c>
      <c r="N98" s="27" t="s">
        <v>264</v>
      </c>
      <c r="O98" s="67">
        <f t="shared" si="9"/>
        <v>100.19999999999999</v>
      </c>
      <c r="P98" s="29">
        <v>9</v>
      </c>
      <c r="Q98" s="29">
        <v>77</v>
      </c>
      <c r="R98" s="29"/>
      <c r="S98" s="29"/>
      <c r="T98" s="29"/>
      <c r="U98" s="29">
        <v>0.1</v>
      </c>
      <c r="V98" s="29"/>
      <c r="W98" s="29">
        <v>0.1</v>
      </c>
      <c r="X98" s="29"/>
      <c r="Y98" s="29"/>
      <c r="Z98" s="29"/>
      <c r="AA98" s="29"/>
      <c r="AB98" s="29"/>
      <c r="AC98" s="29"/>
      <c r="AD98" s="29">
        <v>10</v>
      </c>
      <c r="AE98" s="29">
        <v>1</v>
      </c>
      <c r="AF98" s="29"/>
      <c r="AG98" s="29"/>
      <c r="AH98" s="29">
        <v>3</v>
      </c>
      <c r="AI98" s="29"/>
      <c r="AJ98" s="30"/>
      <c r="AK98" s="30"/>
      <c r="AL98" s="30"/>
      <c r="AM98" s="30"/>
      <c r="AN98" s="30"/>
      <c r="AO98" s="30"/>
      <c r="AP98" s="31"/>
      <c r="AQ98" s="31"/>
      <c r="AR98" s="31"/>
      <c r="AS98" s="31"/>
      <c r="AT98" s="31"/>
      <c r="AU98" s="31"/>
      <c r="AV98" s="31"/>
      <c r="AW98" s="31">
        <v>1</v>
      </c>
      <c r="AX98" s="31"/>
      <c r="AY98" s="31"/>
      <c r="AZ98" s="31"/>
      <c r="BA98" s="31"/>
      <c r="BB98" s="31"/>
      <c r="BC98" s="31">
        <v>1</v>
      </c>
      <c r="BD98" s="31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3"/>
      <c r="CD98" s="33"/>
      <c r="CE98" s="33"/>
      <c r="CF98" s="33">
        <v>21</v>
      </c>
      <c r="CG98" s="33"/>
      <c r="CH98" s="33"/>
      <c r="CI98" s="33"/>
      <c r="CJ98" s="33"/>
      <c r="CK98" s="33">
        <v>76</v>
      </c>
      <c r="CL98" s="33">
        <v>2</v>
      </c>
      <c r="CM98" s="33"/>
      <c r="CN98" s="33"/>
      <c r="CO98" s="33"/>
      <c r="CP98" s="33"/>
      <c r="CQ98" s="33"/>
      <c r="CR98" s="33"/>
      <c r="CS98" s="33"/>
      <c r="CT98" s="34"/>
      <c r="CU98" s="33"/>
      <c r="CV98" s="33"/>
      <c r="CW98" s="33"/>
      <c r="CX98" s="33"/>
      <c r="CY98" s="33"/>
      <c r="CZ98" s="33">
        <v>1</v>
      </c>
      <c r="DA98" s="33">
        <v>5</v>
      </c>
      <c r="DB98" s="33"/>
      <c r="DC98" s="33"/>
      <c r="DD98" s="33"/>
      <c r="DE98" s="33"/>
      <c r="DF98" s="33"/>
      <c r="DG98" s="33"/>
      <c r="DH98" s="33">
        <v>1</v>
      </c>
      <c r="DI98" s="33"/>
      <c r="DJ98" s="33"/>
      <c r="DK98" s="33"/>
      <c r="DL98" s="33"/>
      <c r="DM98" s="33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3"/>
      <c r="ET98" s="34"/>
      <c r="EU98" s="34"/>
      <c r="EV98" s="34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V98" s="77"/>
      <c r="FW98" s="77"/>
      <c r="FX98" s="77"/>
      <c r="FY98" s="77"/>
      <c r="FZ98" s="77"/>
    </row>
    <row r="99" spans="1:182" x14ac:dyDescent="0.25">
      <c r="A99" s="26" t="str">
        <f t="shared" si="10"/>
        <v>SH_L_3_E_08_2023</v>
      </c>
      <c r="B99" s="26" t="str">
        <f t="shared" si="11"/>
        <v>SH_L_3_E_08</v>
      </c>
      <c r="C99" s="26" t="str">
        <f t="shared" si="12"/>
        <v>SH_2023</v>
      </c>
      <c r="D99" s="27" t="s">
        <v>28</v>
      </c>
      <c r="E99" s="73">
        <v>45112</v>
      </c>
      <c r="F99" s="27">
        <v>2023</v>
      </c>
      <c r="G99" s="27" t="s">
        <v>277</v>
      </c>
      <c r="H99" s="27" t="s">
        <v>277</v>
      </c>
      <c r="I99" s="27">
        <v>8</v>
      </c>
      <c r="J99" s="27" t="s">
        <v>230</v>
      </c>
      <c r="K99" s="27">
        <v>3</v>
      </c>
      <c r="L99" s="27" t="s">
        <v>204</v>
      </c>
      <c r="N99" s="27" t="s">
        <v>264</v>
      </c>
      <c r="O99" s="67">
        <f t="shared" si="9"/>
        <v>100</v>
      </c>
      <c r="P99" s="29"/>
      <c r="Q99" s="29">
        <v>79</v>
      </c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>
        <v>20</v>
      </c>
      <c r="AI99" s="29">
        <v>1</v>
      </c>
      <c r="AJ99" s="30"/>
      <c r="AK99" s="30"/>
      <c r="AL99" s="30"/>
      <c r="AM99" s="30"/>
      <c r="AN99" s="30"/>
      <c r="AO99" s="30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>
        <v>1</v>
      </c>
      <c r="CN99" s="33"/>
      <c r="CO99" s="33"/>
      <c r="CP99" s="33"/>
      <c r="CQ99" s="33"/>
      <c r="CR99" s="33"/>
      <c r="CS99" s="33"/>
      <c r="CT99" s="34"/>
      <c r="CU99" s="33"/>
      <c r="CV99" s="33"/>
      <c r="CW99" s="33"/>
      <c r="CX99" s="33"/>
      <c r="CY99" s="33"/>
      <c r="CZ99" s="33"/>
      <c r="DA99" s="33"/>
      <c r="DB99" s="33">
        <v>78</v>
      </c>
      <c r="DC99" s="33"/>
      <c r="DD99" s="33"/>
      <c r="DE99" s="33">
        <v>21</v>
      </c>
      <c r="DF99" s="33"/>
      <c r="DG99" s="33"/>
      <c r="DH99" s="33"/>
      <c r="DI99" s="33"/>
      <c r="DJ99" s="33"/>
      <c r="DK99" s="33"/>
      <c r="DL99" s="33"/>
      <c r="DM99" s="33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3"/>
      <c r="ET99" s="34"/>
      <c r="EU99" s="34"/>
      <c r="EV99" s="34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V99" s="77"/>
      <c r="FW99" s="77"/>
      <c r="FX99" s="77"/>
      <c r="FY99" s="77"/>
      <c r="FZ99" s="77"/>
    </row>
    <row r="100" spans="1:182" x14ac:dyDescent="0.25">
      <c r="A100" s="26" t="str">
        <f t="shared" si="10"/>
        <v>SH_L_3_E_10_2023</v>
      </c>
      <c r="B100" s="26" t="str">
        <f t="shared" si="11"/>
        <v>SH_L_3_E_10</v>
      </c>
      <c r="C100" s="26" t="str">
        <f t="shared" si="12"/>
        <v>SH_2023</v>
      </c>
      <c r="D100" s="27" t="s">
        <v>28</v>
      </c>
      <c r="E100" s="73">
        <v>45112</v>
      </c>
      <c r="F100" s="27">
        <v>2023</v>
      </c>
      <c r="G100" s="27" t="s">
        <v>277</v>
      </c>
      <c r="H100" s="27" t="s">
        <v>277</v>
      </c>
      <c r="I100" s="27">
        <v>10</v>
      </c>
      <c r="J100" s="27" t="s">
        <v>230</v>
      </c>
      <c r="K100" s="27">
        <v>3</v>
      </c>
      <c r="L100" s="27" t="s">
        <v>204</v>
      </c>
      <c r="N100" s="27" t="s">
        <v>264</v>
      </c>
      <c r="O100" s="67">
        <f t="shared" si="9"/>
        <v>100</v>
      </c>
      <c r="P100" s="29"/>
      <c r="Q100" s="29">
        <v>91</v>
      </c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>
        <v>6</v>
      </c>
      <c r="AG100" s="29"/>
      <c r="AH100" s="29">
        <v>3</v>
      </c>
      <c r="AI100" s="29"/>
      <c r="AJ100" s="30"/>
      <c r="AK100" s="30"/>
      <c r="AL100" s="30"/>
      <c r="AM100" s="30"/>
      <c r="AN100" s="30"/>
      <c r="AO100" s="30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3"/>
      <c r="CD100" s="33"/>
      <c r="CE100" s="33"/>
      <c r="CF100" s="33"/>
      <c r="CG100" s="33">
        <v>95</v>
      </c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4"/>
      <c r="CU100" s="33"/>
      <c r="CV100" s="33"/>
      <c r="CW100" s="33"/>
      <c r="CX100" s="33"/>
      <c r="CY100" s="33"/>
      <c r="CZ100" s="33">
        <v>2</v>
      </c>
      <c r="DA100" s="33"/>
      <c r="DB100" s="33"/>
      <c r="DC100" s="33"/>
      <c r="DD100" s="33"/>
      <c r="DE100" s="33"/>
      <c r="DF100" s="33"/>
      <c r="DG100" s="33"/>
      <c r="DH100" s="33">
        <v>23</v>
      </c>
      <c r="DI100" s="33"/>
      <c r="DJ100" s="33"/>
      <c r="DK100" s="33"/>
      <c r="DL100" s="33"/>
      <c r="DM100" s="33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>
        <v>5</v>
      </c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3"/>
      <c r="ET100" s="34"/>
      <c r="EU100" s="34"/>
      <c r="EV100" s="34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V100" s="77"/>
      <c r="FW100" s="77"/>
      <c r="FX100" s="77"/>
      <c r="FY100" s="77"/>
      <c r="FZ100" s="77"/>
    </row>
    <row r="101" spans="1:182" x14ac:dyDescent="0.25">
      <c r="A101" s="26" t="str">
        <f t="shared" si="10"/>
        <v>SH_L_1_E_02_2023</v>
      </c>
      <c r="B101" s="26" t="str">
        <f t="shared" si="11"/>
        <v>SH_L_1_E_02</v>
      </c>
      <c r="C101" s="26" t="str">
        <f t="shared" si="12"/>
        <v>SH_2023</v>
      </c>
      <c r="D101" s="27" t="s">
        <v>28</v>
      </c>
      <c r="E101" s="73">
        <v>45112</v>
      </c>
      <c r="F101" s="27">
        <v>2023</v>
      </c>
      <c r="G101" s="27" t="s">
        <v>294</v>
      </c>
      <c r="H101" s="27" t="s">
        <v>293</v>
      </c>
      <c r="I101" s="27">
        <v>2</v>
      </c>
      <c r="J101" s="27" t="s">
        <v>230</v>
      </c>
      <c r="K101" s="27">
        <v>1</v>
      </c>
      <c r="L101" s="27" t="s">
        <v>204</v>
      </c>
      <c r="N101" s="27" t="s">
        <v>264</v>
      </c>
      <c r="O101" s="67">
        <f t="shared" si="9"/>
        <v>100.1</v>
      </c>
      <c r="P101" s="29">
        <v>71</v>
      </c>
      <c r="Q101" s="29">
        <v>2</v>
      </c>
      <c r="R101" s="29"/>
      <c r="S101" s="29">
        <v>7</v>
      </c>
      <c r="T101" s="29"/>
      <c r="U101" s="29">
        <v>0.1</v>
      </c>
      <c r="V101" s="29"/>
      <c r="W101" s="29"/>
      <c r="X101" s="29"/>
      <c r="Y101" s="29"/>
      <c r="Z101" s="29"/>
      <c r="AA101" s="29"/>
      <c r="AB101" s="29">
        <v>3</v>
      </c>
      <c r="AC101" s="29"/>
      <c r="AD101" s="29"/>
      <c r="AE101" s="29"/>
      <c r="AF101" s="29">
        <v>11</v>
      </c>
      <c r="AG101" s="29"/>
      <c r="AH101" s="29">
        <v>2</v>
      </c>
      <c r="AI101" s="29"/>
      <c r="AJ101" s="30">
        <v>4</v>
      </c>
      <c r="AK101" s="30"/>
      <c r="AL101" s="30"/>
      <c r="AM101" s="30"/>
      <c r="AN101" s="30"/>
      <c r="AO101" s="30"/>
      <c r="AP101" s="31"/>
      <c r="AQ101" s="31">
        <v>3</v>
      </c>
      <c r="AR101" s="31"/>
      <c r="AS101" s="31"/>
      <c r="AT101" s="31"/>
      <c r="AU101" s="31"/>
      <c r="AV101" s="31">
        <v>1</v>
      </c>
      <c r="AW101" s="31">
        <v>1</v>
      </c>
      <c r="AX101" s="31"/>
      <c r="AY101" s="31"/>
      <c r="AZ101" s="31"/>
      <c r="BA101" s="31"/>
      <c r="BB101" s="31"/>
      <c r="BC101" s="31"/>
      <c r="BD101" s="31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3"/>
      <c r="CD101" s="33"/>
      <c r="CE101" s="33"/>
      <c r="CF101" s="33"/>
      <c r="CG101" s="33">
        <v>62</v>
      </c>
      <c r="CH101" s="33"/>
      <c r="CI101" s="33"/>
      <c r="CJ101" s="33"/>
      <c r="CK101" s="33"/>
      <c r="CL101" s="33">
        <v>1</v>
      </c>
      <c r="CM101" s="33"/>
      <c r="CN101" s="33"/>
      <c r="CO101" s="33"/>
      <c r="CP101" s="33"/>
      <c r="CQ101" s="33"/>
      <c r="CR101" s="33">
        <v>0.1</v>
      </c>
      <c r="CS101" s="33"/>
      <c r="CT101" s="34"/>
      <c r="CU101" s="33"/>
      <c r="CV101" s="33"/>
      <c r="CW101" s="33"/>
      <c r="CX101" s="33"/>
      <c r="CY101" s="33"/>
      <c r="CZ101" s="33">
        <v>3</v>
      </c>
      <c r="DA101" s="33"/>
      <c r="DB101" s="33"/>
      <c r="DC101" s="33"/>
      <c r="DD101" s="33"/>
      <c r="DE101" s="33"/>
      <c r="DF101" s="33"/>
      <c r="DG101" s="33"/>
      <c r="DH101" s="33">
        <v>0.1</v>
      </c>
      <c r="DI101" s="33"/>
      <c r="DJ101" s="33"/>
      <c r="DK101" s="33"/>
      <c r="DL101" s="33"/>
      <c r="DM101" s="33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3"/>
      <c r="ET101" s="34"/>
      <c r="EU101" s="34"/>
      <c r="EV101" s="34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V101" s="77"/>
      <c r="FW101" s="77"/>
      <c r="FX101" s="77"/>
      <c r="FY101" s="77"/>
      <c r="FZ101" s="77"/>
    </row>
    <row r="102" spans="1:182" x14ac:dyDescent="0.25">
      <c r="A102" s="26" t="str">
        <f t="shared" si="10"/>
        <v>SH_L_1_E_04_2023</v>
      </c>
      <c r="B102" s="26" t="str">
        <f t="shared" si="11"/>
        <v>SH_L_1_E_04</v>
      </c>
      <c r="C102" s="26" t="str">
        <f t="shared" si="12"/>
        <v>SH_2023</v>
      </c>
      <c r="D102" s="27" t="s">
        <v>28</v>
      </c>
      <c r="E102" s="73">
        <v>45112</v>
      </c>
      <c r="F102" s="27">
        <v>2023</v>
      </c>
      <c r="G102" s="27" t="s">
        <v>294</v>
      </c>
      <c r="H102" s="27" t="s">
        <v>293</v>
      </c>
      <c r="I102" s="27">
        <v>4</v>
      </c>
      <c r="J102" s="27" t="s">
        <v>230</v>
      </c>
      <c r="K102" s="27">
        <v>1</v>
      </c>
      <c r="L102" s="27" t="s">
        <v>204</v>
      </c>
      <c r="N102" s="27" t="s">
        <v>264</v>
      </c>
      <c r="O102" s="67">
        <f t="shared" si="9"/>
        <v>100.1</v>
      </c>
      <c r="P102" s="29">
        <v>6</v>
      </c>
      <c r="Q102" s="29">
        <v>7</v>
      </c>
      <c r="R102" s="29">
        <v>2</v>
      </c>
      <c r="S102" s="29">
        <v>4</v>
      </c>
      <c r="T102" s="29"/>
      <c r="U102" s="29"/>
      <c r="V102" s="29"/>
      <c r="W102" s="29"/>
      <c r="X102" s="29"/>
      <c r="Y102" s="29"/>
      <c r="Z102" s="29"/>
      <c r="AA102" s="29"/>
      <c r="AB102" s="29">
        <v>3</v>
      </c>
      <c r="AC102" s="29">
        <v>3</v>
      </c>
      <c r="AD102" s="29"/>
      <c r="AE102" s="29"/>
      <c r="AF102" s="29">
        <v>64</v>
      </c>
      <c r="AG102" s="29"/>
      <c r="AH102" s="29">
        <v>1</v>
      </c>
      <c r="AI102" s="29">
        <v>0.1</v>
      </c>
      <c r="AJ102" s="30">
        <v>10</v>
      </c>
      <c r="AK102" s="30"/>
      <c r="AL102" s="30"/>
      <c r="AM102" s="30"/>
      <c r="AN102" s="30"/>
      <c r="AO102" s="30"/>
      <c r="AP102" s="31"/>
      <c r="AQ102" s="31">
        <v>4</v>
      </c>
      <c r="AR102" s="31"/>
      <c r="AS102" s="31"/>
      <c r="AT102" s="31"/>
      <c r="AU102" s="31"/>
      <c r="AV102" s="31"/>
      <c r="AW102" s="31">
        <v>1</v>
      </c>
      <c r="AX102" s="31"/>
      <c r="AY102" s="31"/>
      <c r="AZ102" s="31"/>
      <c r="BA102" s="31">
        <v>5</v>
      </c>
      <c r="BB102" s="31"/>
      <c r="BC102" s="31">
        <v>1</v>
      </c>
      <c r="BD102" s="31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3"/>
      <c r="CD102" s="33"/>
      <c r="CE102" s="33"/>
      <c r="CF102" s="33"/>
      <c r="CG102" s="33">
        <v>98</v>
      </c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4"/>
      <c r="CU102" s="33"/>
      <c r="CV102" s="33"/>
      <c r="CW102" s="33"/>
      <c r="CX102" s="33"/>
      <c r="CY102" s="33"/>
      <c r="CZ102" s="33">
        <v>5</v>
      </c>
      <c r="DA102" s="33"/>
      <c r="DB102" s="33"/>
      <c r="DC102" s="33"/>
      <c r="DD102" s="33"/>
      <c r="DE102" s="33"/>
      <c r="DF102" s="33"/>
      <c r="DG102" s="33"/>
      <c r="DH102" s="33">
        <v>0.1</v>
      </c>
      <c r="DI102" s="33"/>
      <c r="DJ102" s="33"/>
      <c r="DK102" s="33"/>
      <c r="DL102" s="33"/>
      <c r="DM102" s="33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3"/>
      <c r="ET102" s="34"/>
      <c r="EU102" s="34"/>
      <c r="EV102" s="34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V102" s="77"/>
      <c r="FW102" s="77"/>
      <c r="FX102" s="77"/>
      <c r="FY102" s="77"/>
      <c r="FZ102" s="77"/>
    </row>
    <row r="103" spans="1:182" x14ac:dyDescent="0.25">
      <c r="A103" s="26" t="str">
        <f t="shared" si="10"/>
        <v>SH_L_1_E_06_2023</v>
      </c>
      <c r="B103" s="26" t="str">
        <f t="shared" si="11"/>
        <v>SH_L_1_E_06</v>
      </c>
      <c r="C103" s="26" t="str">
        <f t="shared" si="12"/>
        <v>SH_2023</v>
      </c>
      <c r="D103" s="27" t="s">
        <v>28</v>
      </c>
      <c r="E103" s="73">
        <v>45112</v>
      </c>
      <c r="F103" s="27">
        <v>2023</v>
      </c>
      <c r="G103" s="27" t="s">
        <v>294</v>
      </c>
      <c r="H103" s="27" t="s">
        <v>293</v>
      </c>
      <c r="I103" s="27">
        <v>6</v>
      </c>
      <c r="J103" s="27" t="s">
        <v>230</v>
      </c>
      <c r="K103" s="27">
        <v>1</v>
      </c>
      <c r="L103" s="27" t="s">
        <v>204</v>
      </c>
      <c r="N103" s="27" t="s">
        <v>264</v>
      </c>
      <c r="O103" s="67">
        <f t="shared" si="9"/>
        <v>100.19999999999999</v>
      </c>
      <c r="P103" s="29">
        <v>58</v>
      </c>
      <c r="Q103" s="29"/>
      <c r="R103" s="29">
        <v>3</v>
      </c>
      <c r="S103" s="29">
        <v>4</v>
      </c>
      <c r="T103" s="29"/>
      <c r="U103" s="29"/>
      <c r="V103" s="29"/>
      <c r="W103" s="29">
        <v>1</v>
      </c>
      <c r="X103" s="29"/>
      <c r="Y103" s="29">
        <v>2</v>
      </c>
      <c r="Z103" s="29"/>
      <c r="AA103" s="29"/>
      <c r="AB103" s="29">
        <v>2</v>
      </c>
      <c r="AC103" s="29">
        <v>1</v>
      </c>
      <c r="AD103" s="29">
        <v>11</v>
      </c>
      <c r="AE103" s="29">
        <v>7</v>
      </c>
      <c r="AF103" s="29">
        <v>0.1</v>
      </c>
      <c r="AG103" s="29"/>
      <c r="AH103" s="29">
        <v>1</v>
      </c>
      <c r="AI103" s="29">
        <v>10</v>
      </c>
      <c r="AJ103" s="30">
        <v>0.1</v>
      </c>
      <c r="AK103" s="30"/>
      <c r="AL103" s="30"/>
      <c r="AM103" s="30"/>
      <c r="AN103" s="30"/>
      <c r="AO103" s="30"/>
      <c r="AP103" s="31">
        <v>1</v>
      </c>
      <c r="AQ103" s="31">
        <v>2</v>
      </c>
      <c r="AR103" s="31">
        <v>2</v>
      </c>
      <c r="AS103" s="31"/>
      <c r="AT103" s="31">
        <v>1</v>
      </c>
      <c r="AU103" s="31"/>
      <c r="AV103" s="31">
        <v>2</v>
      </c>
      <c r="AW103" s="31"/>
      <c r="AX103" s="31"/>
      <c r="AY103" s="31"/>
      <c r="AZ103" s="31"/>
      <c r="BA103" s="31">
        <v>3</v>
      </c>
      <c r="BB103" s="31"/>
      <c r="BC103" s="31"/>
      <c r="BD103" s="31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3"/>
      <c r="CD103" s="33"/>
      <c r="CE103" s="33"/>
      <c r="CF103" s="33">
        <v>35</v>
      </c>
      <c r="CG103" s="33"/>
      <c r="CH103" s="33"/>
      <c r="CI103" s="33"/>
      <c r="CJ103" s="33"/>
      <c r="CK103" s="33">
        <v>44</v>
      </c>
      <c r="CL103" s="33">
        <v>10</v>
      </c>
      <c r="CM103" s="33">
        <v>8</v>
      </c>
      <c r="CN103" s="33"/>
      <c r="CO103" s="33"/>
      <c r="CP103" s="33"/>
      <c r="CQ103" s="33"/>
      <c r="CR103" s="33"/>
      <c r="CS103" s="33"/>
      <c r="CT103" s="34"/>
      <c r="CU103" s="33"/>
      <c r="CV103" s="33"/>
      <c r="CW103" s="33"/>
      <c r="CX103" s="33"/>
      <c r="CY103" s="33"/>
      <c r="CZ103" s="33">
        <v>2</v>
      </c>
      <c r="DA103" s="33">
        <v>3</v>
      </c>
      <c r="DB103" s="33"/>
      <c r="DC103" s="33"/>
      <c r="DD103" s="33"/>
      <c r="DE103" s="33"/>
      <c r="DF103" s="33"/>
      <c r="DG103" s="33"/>
      <c r="DH103" s="33"/>
      <c r="DI103" s="33"/>
      <c r="DJ103" s="33">
        <v>4</v>
      </c>
      <c r="DK103" s="33"/>
      <c r="DL103" s="33"/>
      <c r="DM103" s="33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3"/>
      <c r="ET103" s="34"/>
      <c r="EU103" s="34"/>
      <c r="EV103" s="34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V103" s="77"/>
      <c r="FW103" s="77"/>
      <c r="FX103" s="77"/>
      <c r="FY103" s="77"/>
      <c r="FZ103" s="77"/>
    </row>
    <row r="104" spans="1:182" x14ac:dyDescent="0.25">
      <c r="A104" s="26" t="str">
        <f t="shared" si="10"/>
        <v>SH_L_1_E_08_2023</v>
      </c>
      <c r="B104" s="26" t="str">
        <f t="shared" si="11"/>
        <v>SH_L_1_E_08</v>
      </c>
      <c r="C104" s="26" t="str">
        <f t="shared" si="12"/>
        <v>SH_2023</v>
      </c>
      <c r="D104" s="27" t="s">
        <v>28</v>
      </c>
      <c r="E104" s="73">
        <v>45112</v>
      </c>
      <c r="F104" s="27">
        <v>2023</v>
      </c>
      <c r="G104" s="27" t="s">
        <v>294</v>
      </c>
      <c r="H104" s="27" t="s">
        <v>293</v>
      </c>
      <c r="I104" s="27">
        <v>8</v>
      </c>
      <c r="J104" s="27" t="s">
        <v>230</v>
      </c>
      <c r="K104" s="27">
        <v>1</v>
      </c>
      <c r="L104" s="27" t="s">
        <v>204</v>
      </c>
      <c r="N104" s="27" t="s">
        <v>264</v>
      </c>
      <c r="O104" s="67">
        <f t="shared" si="9"/>
        <v>100.19999999999999</v>
      </c>
      <c r="P104" s="29">
        <v>10</v>
      </c>
      <c r="Q104" s="29">
        <v>3</v>
      </c>
      <c r="R104" s="29">
        <v>1</v>
      </c>
      <c r="S104" s="29">
        <v>4</v>
      </c>
      <c r="T104" s="29">
        <v>1</v>
      </c>
      <c r="U104" s="29"/>
      <c r="V104" s="29"/>
      <c r="W104" s="29">
        <v>0.1</v>
      </c>
      <c r="X104" s="29"/>
      <c r="Y104" s="29">
        <v>1</v>
      </c>
      <c r="Z104" s="29"/>
      <c r="AA104" s="29"/>
      <c r="AB104" s="29">
        <v>7</v>
      </c>
      <c r="AC104" s="29">
        <v>2</v>
      </c>
      <c r="AD104" s="29"/>
      <c r="AE104" s="29">
        <v>5</v>
      </c>
      <c r="AF104" s="29"/>
      <c r="AG104" s="29"/>
      <c r="AH104" s="29">
        <v>8</v>
      </c>
      <c r="AI104" s="29">
        <v>58</v>
      </c>
      <c r="AJ104" s="30">
        <v>0.1</v>
      </c>
      <c r="AK104" s="30"/>
      <c r="AL104" s="30"/>
      <c r="AM104" s="30"/>
      <c r="AN104" s="30"/>
      <c r="AO104" s="30"/>
      <c r="AP104" s="31"/>
      <c r="AQ104" s="31">
        <v>5</v>
      </c>
      <c r="AR104" s="31"/>
      <c r="AS104" s="31"/>
      <c r="AT104" s="31">
        <v>1</v>
      </c>
      <c r="AU104" s="31"/>
      <c r="AV104" s="31">
        <v>1</v>
      </c>
      <c r="AW104" s="31">
        <v>4</v>
      </c>
      <c r="AX104" s="31"/>
      <c r="AY104" s="31"/>
      <c r="AZ104" s="31"/>
      <c r="BA104" s="31"/>
      <c r="BB104" s="31"/>
      <c r="BC104" s="31"/>
      <c r="BD104" s="31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3"/>
      <c r="CD104" s="33"/>
      <c r="CE104" s="33"/>
      <c r="CF104" s="33">
        <v>51</v>
      </c>
      <c r="CG104" s="33"/>
      <c r="CH104" s="33"/>
      <c r="CI104" s="33"/>
      <c r="CJ104" s="33"/>
      <c r="CK104" s="33"/>
      <c r="CL104" s="33">
        <v>6</v>
      </c>
      <c r="CM104" s="33">
        <v>23</v>
      </c>
      <c r="CN104" s="33"/>
      <c r="CO104" s="33"/>
      <c r="CP104" s="33"/>
      <c r="CQ104" s="33"/>
      <c r="CR104" s="33"/>
      <c r="CS104" s="33"/>
      <c r="CT104" s="34"/>
      <c r="CU104" s="33"/>
      <c r="CV104" s="33"/>
      <c r="CW104" s="33">
        <v>2</v>
      </c>
      <c r="CX104" s="33"/>
      <c r="CY104" s="33"/>
      <c r="CZ104" s="33">
        <v>19</v>
      </c>
      <c r="DA104" s="33">
        <v>11</v>
      </c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3"/>
      <c r="ET104" s="34"/>
      <c r="EU104" s="34"/>
      <c r="EV104" s="34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V104" s="77"/>
      <c r="FW104" s="77"/>
      <c r="FX104" s="77"/>
      <c r="FY104" s="77"/>
      <c r="FZ104" s="77"/>
    </row>
    <row r="105" spans="1:182" x14ac:dyDescent="0.25">
      <c r="A105" s="26" t="str">
        <f t="shared" si="10"/>
        <v>SH_L_1_E_10_2023</v>
      </c>
      <c r="B105" s="26" t="str">
        <f t="shared" si="11"/>
        <v>SH_L_1_E_10</v>
      </c>
      <c r="C105" s="26" t="str">
        <f t="shared" si="12"/>
        <v>SH_2023</v>
      </c>
      <c r="D105" s="27" t="s">
        <v>28</v>
      </c>
      <c r="E105" s="73">
        <v>45112</v>
      </c>
      <c r="F105" s="27">
        <v>2023</v>
      </c>
      <c r="G105" s="27" t="s">
        <v>294</v>
      </c>
      <c r="H105" s="27" t="s">
        <v>293</v>
      </c>
      <c r="I105" s="27">
        <v>10</v>
      </c>
      <c r="J105" s="27" t="s">
        <v>230</v>
      </c>
      <c r="K105" s="27">
        <v>1</v>
      </c>
      <c r="L105" s="27" t="s">
        <v>204</v>
      </c>
      <c r="N105" s="27" t="s">
        <v>264</v>
      </c>
      <c r="O105" s="67">
        <f t="shared" si="9"/>
        <v>100</v>
      </c>
      <c r="P105" s="29">
        <v>3</v>
      </c>
      <c r="Q105" s="29">
        <v>12</v>
      </c>
      <c r="R105" s="29"/>
      <c r="S105" s="29">
        <v>2</v>
      </c>
      <c r="T105" s="29">
        <v>10</v>
      </c>
      <c r="U105" s="29"/>
      <c r="V105" s="29"/>
      <c r="W105" s="29">
        <v>1</v>
      </c>
      <c r="X105" s="29"/>
      <c r="Y105" s="29"/>
      <c r="Z105" s="29"/>
      <c r="AA105" s="29"/>
      <c r="AB105" s="29"/>
      <c r="AC105" s="29">
        <v>4</v>
      </c>
      <c r="AD105" s="29"/>
      <c r="AE105" s="29">
        <v>3</v>
      </c>
      <c r="AF105" s="29"/>
      <c r="AG105" s="29"/>
      <c r="AH105" s="29">
        <v>60</v>
      </c>
      <c r="AI105" s="29">
        <v>1</v>
      </c>
      <c r="AJ105" s="30">
        <v>4</v>
      </c>
      <c r="AK105" s="30"/>
      <c r="AL105" s="30"/>
      <c r="AM105" s="30"/>
      <c r="AN105" s="30"/>
      <c r="AO105" s="30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>
        <v>2</v>
      </c>
      <c r="BB105" s="31">
        <v>1</v>
      </c>
      <c r="BC105" s="31">
        <v>1</v>
      </c>
      <c r="BD105" s="31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3">
        <v>4</v>
      </c>
      <c r="CD105" s="33">
        <v>18</v>
      </c>
      <c r="CE105" s="33"/>
      <c r="CF105" s="33">
        <v>28</v>
      </c>
      <c r="CG105" s="33"/>
      <c r="CH105" s="33"/>
      <c r="CI105" s="33"/>
      <c r="CJ105" s="33"/>
      <c r="CK105" s="33"/>
      <c r="CL105" s="33">
        <v>2</v>
      </c>
      <c r="CM105" s="33"/>
      <c r="CN105" s="33"/>
      <c r="CO105" s="33"/>
      <c r="CP105" s="33"/>
      <c r="CQ105" s="33"/>
      <c r="CR105" s="33"/>
      <c r="CS105" s="33"/>
      <c r="CT105" s="34"/>
      <c r="CU105" s="33"/>
      <c r="CV105" s="33"/>
      <c r="CW105" s="33"/>
      <c r="CX105" s="33"/>
      <c r="CY105" s="33"/>
      <c r="CZ105" s="33">
        <v>88</v>
      </c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3"/>
      <c r="ET105" s="34"/>
      <c r="EU105" s="34"/>
      <c r="EV105" s="34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V105" s="77"/>
      <c r="FW105" s="77"/>
      <c r="FX105" s="77"/>
      <c r="FY105" s="77"/>
      <c r="FZ105" s="77"/>
    </row>
    <row r="106" spans="1:182" x14ac:dyDescent="0.25">
      <c r="A106" s="26" t="str">
        <f t="shared" si="10"/>
        <v>SH_L_2_E_05_2023</v>
      </c>
      <c r="B106" s="26" t="str">
        <f t="shared" si="11"/>
        <v>SH_L_2_E_05</v>
      </c>
      <c r="C106" s="26" t="str">
        <f t="shared" si="12"/>
        <v>SH_2023</v>
      </c>
      <c r="D106" s="27" t="s">
        <v>28</v>
      </c>
      <c r="E106" s="73">
        <v>45112</v>
      </c>
      <c r="F106" s="27">
        <v>2023</v>
      </c>
      <c r="G106" s="27" t="s">
        <v>294</v>
      </c>
      <c r="H106" s="27" t="s">
        <v>293</v>
      </c>
      <c r="I106" s="27">
        <v>5</v>
      </c>
      <c r="J106" s="27" t="s">
        <v>230</v>
      </c>
      <c r="K106" s="27">
        <v>2</v>
      </c>
      <c r="L106" s="27" t="s">
        <v>204</v>
      </c>
      <c r="N106" s="27" t="s">
        <v>264</v>
      </c>
      <c r="O106" s="67">
        <f t="shared" si="9"/>
        <v>100.1</v>
      </c>
      <c r="P106" s="29">
        <v>2</v>
      </c>
      <c r="Q106" s="29">
        <v>16</v>
      </c>
      <c r="R106" s="29"/>
      <c r="S106" s="29">
        <v>0.1</v>
      </c>
      <c r="T106" s="29"/>
      <c r="U106" s="29"/>
      <c r="V106" s="29"/>
      <c r="W106" s="29">
        <v>1</v>
      </c>
      <c r="X106" s="29"/>
      <c r="Y106" s="29"/>
      <c r="Z106" s="29"/>
      <c r="AA106" s="29"/>
      <c r="AB106" s="29"/>
      <c r="AC106" s="29"/>
      <c r="AD106" s="29">
        <v>81</v>
      </c>
      <c r="AE106" s="29"/>
      <c r="AF106" s="29"/>
      <c r="AG106" s="29"/>
      <c r="AH106" s="29"/>
      <c r="AI106" s="29"/>
      <c r="AJ106" s="30"/>
      <c r="AK106" s="30"/>
      <c r="AL106" s="30"/>
      <c r="AM106" s="30"/>
      <c r="AN106" s="30"/>
      <c r="AO106" s="30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>
        <v>2</v>
      </c>
      <c r="BB106" s="31"/>
      <c r="BC106" s="31"/>
      <c r="BD106" s="31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CC106" s="33"/>
      <c r="CD106" s="33"/>
      <c r="CE106" s="33"/>
      <c r="CF106" s="33"/>
      <c r="CG106" s="33"/>
      <c r="CH106" s="33"/>
      <c r="CI106" s="33"/>
      <c r="CJ106" s="33"/>
      <c r="CK106" s="33">
        <v>100</v>
      </c>
      <c r="CL106" s="33">
        <v>1</v>
      </c>
      <c r="CM106" s="33">
        <v>1</v>
      </c>
      <c r="CN106" s="33"/>
      <c r="CO106" s="33"/>
      <c r="CP106" s="33"/>
      <c r="CQ106" s="33"/>
      <c r="CR106" s="33"/>
      <c r="CS106" s="33"/>
      <c r="CT106" s="34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4"/>
      <c r="DO106" s="34"/>
      <c r="DP106" s="34"/>
    </row>
    <row r="107" spans="1:182" x14ac:dyDescent="0.25">
      <c r="A107" s="26" t="str">
        <f t="shared" si="10"/>
        <v>SH_L_2_E_07_2023</v>
      </c>
      <c r="B107" s="26" t="str">
        <f t="shared" si="11"/>
        <v>SH_L_2_E_07</v>
      </c>
      <c r="C107" s="26" t="str">
        <f t="shared" si="12"/>
        <v>SH_2023</v>
      </c>
      <c r="D107" s="27" t="s">
        <v>28</v>
      </c>
      <c r="E107" s="73">
        <v>45112</v>
      </c>
      <c r="F107" s="27">
        <v>2023</v>
      </c>
      <c r="G107" s="27" t="s">
        <v>294</v>
      </c>
      <c r="H107" s="27" t="s">
        <v>293</v>
      </c>
      <c r="I107" s="27">
        <v>7</v>
      </c>
      <c r="J107" s="27" t="s">
        <v>230</v>
      </c>
      <c r="K107" s="27">
        <v>2</v>
      </c>
      <c r="L107" s="27" t="s">
        <v>204</v>
      </c>
      <c r="N107" s="27" t="s">
        <v>264</v>
      </c>
      <c r="O107" s="67">
        <f t="shared" si="9"/>
        <v>100.1</v>
      </c>
      <c r="P107" s="29">
        <v>14</v>
      </c>
      <c r="Q107" s="29">
        <v>62</v>
      </c>
      <c r="R107" s="29"/>
      <c r="S107" s="29"/>
      <c r="T107" s="29"/>
      <c r="U107" s="29"/>
      <c r="V107" s="29"/>
      <c r="W107" s="29">
        <v>1</v>
      </c>
      <c r="X107" s="29"/>
      <c r="Y107" s="29"/>
      <c r="Z107" s="29"/>
      <c r="AA107" s="29"/>
      <c r="AB107" s="29">
        <v>0.1</v>
      </c>
      <c r="AC107" s="29">
        <v>1</v>
      </c>
      <c r="AD107" s="29"/>
      <c r="AE107" s="29">
        <v>3</v>
      </c>
      <c r="AF107" s="29"/>
      <c r="AG107" s="29"/>
      <c r="AH107" s="29">
        <v>18</v>
      </c>
      <c r="AI107" s="29">
        <v>1</v>
      </c>
      <c r="AJ107" s="30"/>
      <c r="AK107" s="30"/>
      <c r="AL107" s="30"/>
      <c r="AM107" s="30"/>
      <c r="AN107" s="30"/>
      <c r="AO107" s="30"/>
      <c r="AP107" s="31"/>
      <c r="AQ107" s="31"/>
      <c r="AR107" s="31">
        <v>1</v>
      </c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CC107" s="33"/>
      <c r="CD107" s="33">
        <v>60</v>
      </c>
      <c r="CE107" s="33"/>
      <c r="CF107" s="33">
        <v>17</v>
      </c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4"/>
      <c r="CU107" s="33"/>
      <c r="CV107" s="33"/>
      <c r="CW107" s="33"/>
      <c r="CX107" s="33"/>
      <c r="CY107" s="33"/>
      <c r="CZ107" s="33">
        <v>2</v>
      </c>
      <c r="DA107" s="33">
        <v>6</v>
      </c>
      <c r="DB107" s="33">
        <v>51</v>
      </c>
      <c r="DC107" s="33"/>
      <c r="DD107" s="33"/>
      <c r="DE107" s="33"/>
      <c r="DF107" s="33"/>
      <c r="DG107" s="33"/>
      <c r="DH107" s="33"/>
      <c r="DI107" s="33"/>
      <c r="DJ107" s="33">
        <v>8</v>
      </c>
      <c r="DK107" s="33"/>
      <c r="DL107" s="33"/>
      <c r="DM107" s="33"/>
      <c r="DN107" s="34"/>
      <c r="DO107" s="34"/>
      <c r="DP107" s="34"/>
    </row>
    <row r="108" spans="1:182" x14ac:dyDescent="0.25">
      <c r="A108" s="26" t="str">
        <f t="shared" si="10"/>
        <v>SH_L_3_E_01_2023</v>
      </c>
      <c r="B108" s="26" t="str">
        <f t="shared" si="11"/>
        <v>SH_L_3_E_01</v>
      </c>
      <c r="C108" s="26" t="str">
        <f t="shared" si="12"/>
        <v>SH_2023</v>
      </c>
      <c r="D108" s="27" t="s">
        <v>28</v>
      </c>
      <c r="E108" s="73">
        <v>45112</v>
      </c>
      <c r="F108" s="27">
        <v>2023</v>
      </c>
      <c r="G108" s="27" t="s">
        <v>294</v>
      </c>
      <c r="H108" s="27" t="s">
        <v>293</v>
      </c>
      <c r="I108" s="27">
        <v>1</v>
      </c>
      <c r="J108" s="27" t="s">
        <v>230</v>
      </c>
      <c r="K108" s="27">
        <v>3</v>
      </c>
      <c r="L108" s="27" t="s">
        <v>204</v>
      </c>
      <c r="N108" s="27" t="s">
        <v>264</v>
      </c>
      <c r="O108" s="67">
        <f t="shared" si="9"/>
        <v>100</v>
      </c>
      <c r="P108" s="29"/>
      <c r="Q108" s="29">
        <v>87</v>
      </c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>
        <v>1</v>
      </c>
      <c r="AD108" s="29">
        <v>7</v>
      </c>
      <c r="AE108" s="29"/>
      <c r="AF108" s="29"/>
      <c r="AG108" s="29"/>
      <c r="AH108" s="29">
        <v>5</v>
      </c>
      <c r="AI108" s="29"/>
      <c r="AJ108" s="30"/>
      <c r="AK108" s="30"/>
      <c r="AL108" s="30"/>
      <c r="AM108" s="30"/>
      <c r="AN108" s="30"/>
      <c r="AO108" s="30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>
        <v>1</v>
      </c>
      <c r="BD108" s="31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CC108" s="33"/>
      <c r="CD108" s="33">
        <v>98</v>
      </c>
      <c r="CE108" s="33"/>
      <c r="CF108" s="33"/>
      <c r="CG108" s="33"/>
      <c r="CH108" s="33"/>
      <c r="CI108" s="33"/>
      <c r="CJ108" s="33"/>
      <c r="CK108" s="33">
        <v>36</v>
      </c>
      <c r="CL108" s="33"/>
      <c r="CM108" s="33"/>
      <c r="CN108" s="33"/>
      <c r="CO108" s="33"/>
      <c r="CP108" s="33"/>
      <c r="CQ108" s="33"/>
      <c r="CR108" s="33"/>
      <c r="CS108" s="33"/>
      <c r="CT108" s="34"/>
      <c r="CU108" s="33"/>
      <c r="CV108" s="33"/>
      <c r="CW108" s="33"/>
      <c r="CX108" s="33"/>
      <c r="CY108" s="33"/>
      <c r="CZ108" s="33"/>
      <c r="DA108" s="33"/>
      <c r="DB108" s="33">
        <v>23</v>
      </c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4"/>
      <c r="DO108" s="34"/>
      <c r="DP108" s="34"/>
    </row>
    <row r="109" spans="1:182" x14ac:dyDescent="0.25">
      <c r="A109" s="26" t="str">
        <f t="shared" si="10"/>
        <v>SH_L_3_E_02_2023</v>
      </c>
      <c r="B109" s="26" t="str">
        <f t="shared" si="11"/>
        <v>SH_L_3_E_02</v>
      </c>
      <c r="C109" s="26" t="str">
        <f t="shared" si="12"/>
        <v>SH_2023</v>
      </c>
      <c r="D109" s="27" t="s">
        <v>28</v>
      </c>
      <c r="E109" s="73">
        <v>45112</v>
      </c>
      <c r="F109" s="27">
        <v>2023</v>
      </c>
      <c r="G109" s="27" t="s">
        <v>294</v>
      </c>
      <c r="H109" s="27" t="s">
        <v>293</v>
      </c>
      <c r="I109" s="27">
        <v>2</v>
      </c>
      <c r="J109" s="27" t="s">
        <v>230</v>
      </c>
      <c r="K109" s="27">
        <v>3</v>
      </c>
      <c r="L109" s="27" t="s">
        <v>204</v>
      </c>
      <c r="N109" s="27" t="s">
        <v>264</v>
      </c>
      <c r="O109" s="67">
        <f t="shared" si="9"/>
        <v>100.19999999999999</v>
      </c>
      <c r="P109" s="29">
        <v>3</v>
      </c>
      <c r="Q109" s="29">
        <v>7</v>
      </c>
      <c r="R109" s="29"/>
      <c r="S109" s="29">
        <v>2</v>
      </c>
      <c r="T109" s="29"/>
      <c r="U109" s="29">
        <v>0.1</v>
      </c>
      <c r="V109" s="29"/>
      <c r="W109" s="29">
        <v>1</v>
      </c>
      <c r="X109" s="29"/>
      <c r="Y109" s="29"/>
      <c r="Z109" s="29"/>
      <c r="AA109" s="29"/>
      <c r="AB109" s="29">
        <v>1</v>
      </c>
      <c r="AC109" s="29"/>
      <c r="AD109" s="29">
        <v>1</v>
      </c>
      <c r="AE109" s="29">
        <v>5</v>
      </c>
      <c r="AF109" s="29"/>
      <c r="AG109" s="29"/>
      <c r="AH109" s="29">
        <v>76</v>
      </c>
      <c r="AI109" s="29">
        <v>4</v>
      </c>
      <c r="AJ109" s="30">
        <v>0.1</v>
      </c>
      <c r="AK109" s="30"/>
      <c r="AL109" s="30"/>
      <c r="AM109" s="30"/>
      <c r="AN109" s="30"/>
      <c r="AO109" s="30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CC109" s="33"/>
      <c r="CD109" s="33"/>
      <c r="CE109" s="33"/>
      <c r="CF109" s="33">
        <v>88</v>
      </c>
      <c r="CG109" s="33"/>
      <c r="CH109" s="33"/>
      <c r="CI109" s="33"/>
      <c r="CJ109" s="33"/>
      <c r="CK109" s="33">
        <v>3</v>
      </c>
      <c r="CL109" s="33">
        <v>2</v>
      </c>
      <c r="CM109" s="33">
        <v>4</v>
      </c>
      <c r="CN109" s="33"/>
      <c r="CO109" s="33"/>
      <c r="CP109" s="33"/>
      <c r="CQ109" s="33"/>
      <c r="CR109" s="33"/>
      <c r="CS109" s="33"/>
      <c r="CT109" s="34"/>
      <c r="CU109" s="33"/>
      <c r="CV109" s="33"/>
      <c r="CW109" s="33"/>
      <c r="CX109" s="33"/>
      <c r="CY109" s="33">
        <v>22</v>
      </c>
      <c r="CZ109" s="33"/>
      <c r="DA109" s="33">
        <v>12</v>
      </c>
      <c r="DB109" s="33"/>
      <c r="DC109" s="33"/>
      <c r="DD109" s="33"/>
      <c r="DE109" s="33"/>
      <c r="DF109" s="33"/>
      <c r="DG109" s="33"/>
      <c r="DH109" s="33">
        <v>3</v>
      </c>
      <c r="DI109" s="33"/>
      <c r="DJ109" s="33"/>
      <c r="DK109" s="33"/>
      <c r="DL109" s="33"/>
      <c r="DM109" s="33"/>
      <c r="DN109" s="34"/>
      <c r="DO109" s="34"/>
      <c r="DP109" s="34"/>
    </row>
    <row r="110" spans="1:182" x14ac:dyDescent="0.25">
      <c r="A110" s="26" t="str">
        <f t="shared" si="10"/>
        <v>SH_L_3_E_03_2023</v>
      </c>
      <c r="B110" s="26" t="str">
        <f t="shared" si="11"/>
        <v>SH_L_3_E_03</v>
      </c>
      <c r="C110" s="26" t="str">
        <f t="shared" si="12"/>
        <v>SH_2023</v>
      </c>
      <c r="D110" s="27" t="s">
        <v>28</v>
      </c>
      <c r="E110" s="73">
        <v>45112</v>
      </c>
      <c r="F110" s="27">
        <v>2023</v>
      </c>
      <c r="G110" s="27" t="s">
        <v>294</v>
      </c>
      <c r="H110" s="27" t="s">
        <v>293</v>
      </c>
      <c r="I110" s="27">
        <v>3</v>
      </c>
      <c r="J110" s="27" t="s">
        <v>230</v>
      </c>
      <c r="K110" s="27">
        <v>3</v>
      </c>
      <c r="L110" s="27" t="s">
        <v>204</v>
      </c>
      <c r="N110" s="27" t="s">
        <v>264</v>
      </c>
      <c r="O110" s="67">
        <f t="shared" si="9"/>
        <v>100</v>
      </c>
      <c r="P110" s="29"/>
      <c r="Q110" s="29">
        <v>80</v>
      </c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>
        <v>1</v>
      </c>
      <c r="AC110" s="29"/>
      <c r="AD110" s="29"/>
      <c r="AE110" s="29"/>
      <c r="AF110" s="29"/>
      <c r="AG110" s="29"/>
      <c r="AH110" s="29">
        <v>19</v>
      </c>
      <c r="AI110" s="29"/>
      <c r="AJ110" s="30"/>
      <c r="AK110" s="30"/>
      <c r="AL110" s="30"/>
      <c r="AM110" s="30"/>
      <c r="AN110" s="30"/>
      <c r="AO110" s="30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>
        <v>1</v>
      </c>
      <c r="BD110" s="31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4"/>
      <c r="CU110" s="33"/>
      <c r="CV110" s="33"/>
      <c r="CW110" s="33"/>
      <c r="CX110" s="33"/>
      <c r="CY110" s="33"/>
      <c r="CZ110" s="33"/>
      <c r="DA110" s="33"/>
      <c r="DB110" s="33">
        <v>92</v>
      </c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4"/>
      <c r="DO110" s="34"/>
      <c r="DP110" s="34"/>
    </row>
    <row r="111" spans="1:182" x14ac:dyDescent="0.25">
      <c r="A111" s="26" t="str">
        <f t="shared" si="10"/>
        <v>SH_L_3_E_04_2023</v>
      </c>
      <c r="B111" s="26" t="str">
        <f t="shared" si="11"/>
        <v>SH_L_3_E_04</v>
      </c>
      <c r="C111" s="26" t="str">
        <f t="shared" si="12"/>
        <v>SH_2023</v>
      </c>
      <c r="D111" s="27" t="s">
        <v>28</v>
      </c>
      <c r="E111" s="73">
        <v>45112</v>
      </c>
      <c r="F111" s="27">
        <v>2023</v>
      </c>
      <c r="G111" s="27" t="s">
        <v>294</v>
      </c>
      <c r="H111" s="27" t="s">
        <v>293</v>
      </c>
      <c r="I111" s="27">
        <v>4</v>
      </c>
      <c r="J111" s="27" t="s">
        <v>230</v>
      </c>
      <c r="K111" s="27">
        <v>3</v>
      </c>
      <c r="L111" s="27" t="s">
        <v>204</v>
      </c>
      <c r="N111" s="27" t="s">
        <v>264</v>
      </c>
      <c r="O111" s="67">
        <f t="shared" si="9"/>
        <v>100</v>
      </c>
      <c r="P111" s="29"/>
      <c r="Q111" s="29">
        <v>86</v>
      </c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>
        <v>10</v>
      </c>
      <c r="AI111" s="29">
        <v>4</v>
      </c>
      <c r="AJ111" s="30"/>
      <c r="AK111" s="30"/>
      <c r="AL111" s="30"/>
      <c r="AM111" s="30"/>
      <c r="AN111" s="30"/>
      <c r="AO111" s="30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>
        <v>8</v>
      </c>
      <c r="CM111" s="33"/>
      <c r="CN111" s="33"/>
      <c r="CO111" s="33"/>
      <c r="CP111" s="33"/>
      <c r="CQ111" s="33"/>
      <c r="CR111" s="33"/>
      <c r="CS111" s="33"/>
      <c r="CT111" s="34"/>
      <c r="CU111" s="33"/>
      <c r="CV111" s="33"/>
      <c r="CW111" s="33"/>
      <c r="CX111" s="33"/>
      <c r="CY111" s="33"/>
      <c r="CZ111" s="33"/>
      <c r="DA111" s="33"/>
      <c r="DB111" s="33">
        <v>53</v>
      </c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4"/>
      <c r="DO111" s="34"/>
      <c r="DP111" s="34"/>
    </row>
    <row r="112" spans="1:182" x14ac:dyDescent="0.25">
      <c r="A112" s="26" t="str">
        <f t="shared" si="10"/>
        <v>SH_L_3_E_05_2023</v>
      </c>
      <c r="B112" s="26" t="str">
        <f t="shared" si="11"/>
        <v>SH_L_3_E_05</v>
      </c>
      <c r="C112" s="26" t="str">
        <f t="shared" si="12"/>
        <v>SH_2023</v>
      </c>
      <c r="D112" s="27" t="s">
        <v>28</v>
      </c>
      <c r="E112" s="73">
        <v>45112</v>
      </c>
      <c r="F112" s="27">
        <v>2023</v>
      </c>
      <c r="G112" s="27" t="s">
        <v>294</v>
      </c>
      <c r="H112" s="27" t="s">
        <v>293</v>
      </c>
      <c r="I112" s="27">
        <v>5</v>
      </c>
      <c r="J112" s="27" t="s">
        <v>230</v>
      </c>
      <c r="K112" s="27">
        <v>3</v>
      </c>
      <c r="L112" s="27" t="s">
        <v>204</v>
      </c>
      <c r="N112" s="27" t="s">
        <v>264</v>
      </c>
      <c r="O112" s="67">
        <f t="shared" si="9"/>
        <v>100</v>
      </c>
      <c r="P112" s="29"/>
      <c r="Q112" s="29">
        <v>79</v>
      </c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>
        <v>20</v>
      </c>
      <c r="AI112" s="29">
        <v>1</v>
      </c>
      <c r="AJ112" s="30"/>
      <c r="AK112" s="30"/>
      <c r="AL112" s="30"/>
      <c r="AM112" s="30"/>
      <c r="AN112" s="30"/>
      <c r="AO112" s="30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CC112" s="33"/>
      <c r="CD112" s="33">
        <v>37</v>
      </c>
      <c r="CE112" s="33"/>
      <c r="CF112" s="33"/>
      <c r="CG112" s="33"/>
      <c r="CH112" s="33"/>
      <c r="CI112" s="33"/>
      <c r="CJ112" s="33"/>
      <c r="CK112" s="33"/>
      <c r="CL112" s="33">
        <v>1</v>
      </c>
      <c r="CM112" s="33"/>
      <c r="CN112" s="33"/>
      <c r="CO112" s="33"/>
      <c r="CP112" s="33"/>
      <c r="CQ112" s="33"/>
      <c r="CR112" s="33">
        <v>0.1</v>
      </c>
      <c r="CS112" s="33"/>
      <c r="CT112" s="34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>
        <v>4</v>
      </c>
      <c r="DF112" s="33"/>
      <c r="DG112" s="33"/>
      <c r="DH112" s="33"/>
      <c r="DI112" s="33"/>
      <c r="DJ112" s="33"/>
      <c r="DK112" s="33"/>
      <c r="DL112" s="33"/>
      <c r="DM112" s="33"/>
      <c r="DN112" s="34"/>
      <c r="DO112" s="34"/>
      <c r="DP112" s="34"/>
    </row>
    <row r="113" spans="1:182" x14ac:dyDescent="0.25">
      <c r="A113" s="26" t="str">
        <f t="shared" si="10"/>
        <v>SH_M_1_E_11_2023</v>
      </c>
      <c r="B113" s="26" t="str">
        <f t="shared" si="11"/>
        <v>SH_M_1_E_11</v>
      </c>
      <c r="C113" s="26" t="str">
        <f t="shared" si="12"/>
        <v>SH_2023</v>
      </c>
      <c r="D113" s="27" t="s">
        <v>28</v>
      </c>
      <c r="E113" s="73">
        <v>45112</v>
      </c>
      <c r="F113" s="27">
        <v>2023</v>
      </c>
      <c r="G113" s="27" t="s">
        <v>294</v>
      </c>
      <c r="H113" s="27" t="s">
        <v>293</v>
      </c>
      <c r="I113" s="27">
        <v>11</v>
      </c>
      <c r="J113" s="27" t="s">
        <v>231</v>
      </c>
      <c r="K113" s="27">
        <v>1</v>
      </c>
      <c r="L113" s="27" t="s">
        <v>204</v>
      </c>
      <c r="M113" s="27" t="s">
        <v>288</v>
      </c>
      <c r="N113" s="27" t="s">
        <v>264</v>
      </c>
      <c r="O113" s="67">
        <f t="shared" si="9"/>
        <v>100</v>
      </c>
      <c r="P113" s="29">
        <v>8</v>
      </c>
      <c r="Q113" s="29">
        <v>1</v>
      </c>
      <c r="R113" s="29"/>
      <c r="S113" s="29"/>
      <c r="T113" s="29"/>
      <c r="U113" s="29">
        <v>3</v>
      </c>
      <c r="V113" s="29"/>
      <c r="W113" s="29">
        <v>1</v>
      </c>
      <c r="X113" s="29"/>
      <c r="Y113" s="29">
        <v>3</v>
      </c>
      <c r="Z113" s="29">
        <v>80</v>
      </c>
      <c r="AA113" s="29"/>
      <c r="AB113" s="29">
        <v>4</v>
      </c>
      <c r="AC113" s="29"/>
      <c r="AD113" s="29"/>
      <c r="AE113" s="29"/>
      <c r="AF113" s="29"/>
      <c r="AG113" s="29"/>
      <c r="AH113" s="29"/>
      <c r="AI113" s="29"/>
      <c r="AJ113" s="30"/>
      <c r="AK113" s="30"/>
      <c r="AL113" s="30"/>
      <c r="AM113" s="30"/>
      <c r="AN113" s="30"/>
      <c r="AO113" s="30"/>
      <c r="AP113" s="31"/>
      <c r="AQ113" s="31"/>
      <c r="AR113" s="31">
        <v>1</v>
      </c>
      <c r="AS113" s="31">
        <v>11</v>
      </c>
      <c r="AT113" s="31">
        <v>15</v>
      </c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4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4"/>
      <c r="DO113" s="34"/>
      <c r="DP113" s="34"/>
      <c r="EU113" s="34"/>
      <c r="EV113" s="34"/>
      <c r="EW113" s="35"/>
      <c r="EX113" s="35">
        <v>3</v>
      </c>
      <c r="EY113" s="35">
        <v>3</v>
      </c>
      <c r="EZ113" s="35"/>
      <c r="FA113" s="35"/>
      <c r="FB113" s="35"/>
      <c r="FC113" s="35"/>
      <c r="FD113" s="35"/>
      <c r="FE113" s="35"/>
      <c r="FF113" s="35"/>
      <c r="FG113" s="35"/>
      <c r="FH113" s="35">
        <v>2</v>
      </c>
      <c r="FI113" s="35"/>
      <c r="FJ113" s="35"/>
      <c r="FK113" s="35">
        <v>5</v>
      </c>
      <c r="FL113" s="35"/>
      <c r="FM113" s="35"/>
    </row>
    <row r="114" spans="1:182" x14ac:dyDescent="0.25">
      <c r="A114" s="26" t="str">
        <f t="shared" si="10"/>
        <v>SH_M_1_E_09_2023</v>
      </c>
      <c r="B114" s="26" t="str">
        <f t="shared" si="11"/>
        <v>SH_M_1_E_09</v>
      </c>
      <c r="C114" s="26" t="str">
        <f t="shared" si="12"/>
        <v>SH_2023</v>
      </c>
      <c r="D114" s="27" t="s">
        <v>28</v>
      </c>
      <c r="E114" s="73">
        <v>45112</v>
      </c>
      <c r="F114" s="27">
        <v>2023</v>
      </c>
      <c r="G114" s="27" t="s">
        <v>294</v>
      </c>
      <c r="H114" s="27" t="s">
        <v>293</v>
      </c>
      <c r="I114" s="27">
        <v>9</v>
      </c>
      <c r="J114" s="27" t="s">
        <v>231</v>
      </c>
      <c r="K114" s="27">
        <v>1</v>
      </c>
      <c r="L114" s="27" t="s">
        <v>204</v>
      </c>
      <c r="M114" s="27" t="s">
        <v>273</v>
      </c>
      <c r="N114" s="27" t="s">
        <v>264</v>
      </c>
      <c r="O114" s="67">
        <f t="shared" si="9"/>
        <v>100</v>
      </c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>
        <v>100</v>
      </c>
      <c r="AA114" s="29"/>
      <c r="AB114" s="29"/>
      <c r="AC114" s="29"/>
      <c r="AD114" s="29"/>
      <c r="AE114" s="29"/>
      <c r="AF114" s="29"/>
      <c r="AG114" s="29"/>
      <c r="AH114" s="29"/>
      <c r="AI114" s="29"/>
      <c r="AJ114" s="30"/>
      <c r="AK114" s="30"/>
      <c r="AL114" s="30"/>
      <c r="AM114" s="30"/>
      <c r="AN114" s="30"/>
      <c r="AO114" s="30"/>
      <c r="AP114" s="31"/>
      <c r="AQ114" s="31"/>
      <c r="AR114" s="31"/>
      <c r="AS114" s="31">
        <v>31</v>
      </c>
      <c r="AT114" s="31">
        <v>9</v>
      </c>
      <c r="AU114" s="31">
        <v>7</v>
      </c>
      <c r="AV114" s="31"/>
      <c r="AW114" s="31"/>
      <c r="AX114" s="31"/>
      <c r="AY114" s="31"/>
      <c r="AZ114" s="31"/>
      <c r="BA114" s="31"/>
      <c r="BB114" s="31"/>
      <c r="BC114" s="31"/>
      <c r="BD114" s="31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4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4"/>
      <c r="DO114" s="34"/>
      <c r="DP114" s="34"/>
      <c r="EU114" s="34"/>
      <c r="EV114" s="34"/>
      <c r="EW114" s="35"/>
      <c r="EX114" s="35">
        <v>14</v>
      </c>
      <c r="EY114" s="35">
        <v>1</v>
      </c>
      <c r="EZ114" s="35"/>
      <c r="FA114" s="35"/>
      <c r="FB114" s="35"/>
      <c r="FC114" s="35"/>
      <c r="FD114" s="35"/>
      <c r="FE114" s="35"/>
      <c r="FF114" s="35"/>
      <c r="FG114" s="35"/>
      <c r="FH114" s="35">
        <v>2</v>
      </c>
      <c r="FI114" s="35"/>
      <c r="FJ114" s="35"/>
      <c r="FK114" s="35">
        <v>6</v>
      </c>
      <c r="FL114" s="35"/>
      <c r="FM114" s="35"/>
    </row>
    <row r="115" spans="1:182" x14ac:dyDescent="0.25">
      <c r="A115" s="26" t="str">
        <f t="shared" si="10"/>
        <v>SH_M_1_E_07_2023</v>
      </c>
      <c r="B115" s="26" t="str">
        <f t="shared" si="11"/>
        <v>SH_M_1_E_07</v>
      </c>
      <c r="C115" s="26" t="str">
        <f t="shared" si="12"/>
        <v>SH_2023</v>
      </c>
      <c r="D115" s="27" t="s">
        <v>28</v>
      </c>
      <c r="E115" s="73">
        <v>45112</v>
      </c>
      <c r="F115" s="27">
        <v>2023</v>
      </c>
      <c r="G115" s="27" t="s">
        <v>294</v>
      </c>
      <c r="H115" s="27" t="s">
        <v>293</v>
      </c>
      <c r="I115" s="27">
        <v>7</v>
      </c>
      <c r="J115" s="27" t="s">
        <v>231</v>
      </c>
      <c r="K115" s="27">
        <v>1</v>
      </c>
      <c r="L115" s="27" t="s">
        <v>204</v>
      </c>
      <c r="M115" s="27" t="s">
        <v>274</v>
      </c>
      <c r="N115" s="27" t="s">
        <v>264</v>
      </c>
      <c r="O115" s="67">
        <f t="shared" si="9"/>
        <v>100</v>
      </c>
      <c r="P115" s="29">
        <v>41</v>
      </c>
      <c r="Q115" s="29"/>
      <c r="R115" s="29"/>
      <c r="S115" s="29"/>
      <c r="T115" s="29"/>
      <c r="U115" s="29">
        <v>3</v>
      </c>
      <c r="V115" s="29"/>
      <c r="W115" s="29">
        <v>2</v>
      </c>
      <c r="X115" s="29"/>
      <c r="Y115" s="29">
        <v>1</v>
      </c>
      <c r="Z115" s="29">
        <v>38</v>
      </c>
      <c r="AA115" s="29"/>
      <c r="AB115" s="29">
        <v>1</v>
      </c>
      <c r="AC115" s="29">
        <v>1</v>
      </c>
      <c r="AD115" s="29"/>
      <c r="AE115" s="29"/>
      <c r="AF115" s="29"/>
      <c r="AG115" s="29">
        <v>1</v>
      </c>
      <c r="AH115" s="29">
        <v>12</v>
      </c>
      <c r="AI115" s="29"/>
      <c r="AJ115" s="30"/>
      <c r="AK115" s="30"/>
      <c r="AL115" s="30"/>
      <c r="AM115" s="30"/>
      <c r="AN115" s="30"/>
      <c r="AO115" s="30"/>
      <c r="AP115" s="31"/>
      <c r="AQ115" s="31"/>
      <c r="AR115" s="31"/>
      <c r="AS115" s="31">
        <v>64</v>
      </c>
      <c r="AT115" s="31">
        <v>9</v>
      </c>
      <c r="AU115" s="31">
        <v>21</v>
      </c>
      <c r="AV115" s="31"/>
      <c r="AW115" s="31"/>
      <c r="AX115" s="31"/>
      <c r="AY115" s="31"/>
      <c r="AZ115" s="31"/>
      <c r="BA115" s="31"/>
      <c r="BB115" s="31"/>
      <c r="BC115" s="31"/>
      <c r="BD115" s="31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>
        <v>18</v>
      </c>
      <c r="CP115" s="33"/>
      <c r="CQ115" s="33"/>
      <c r="CR115" s="33"/>
      <c r="CS115" s="33"/>
      <c r="CT115" s="34"/>
      <c r="CU115" s="33">
        <v>1</v>
      </c>
      <c r="CV115" s="33"/>
      <c r="CW115" s="33">
        <v>4</v>
      </c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>
        <v>0.1</v>
      </c>
      <c r="DL115" s="33">
        <v>4</v>
      </c>
      <c r="DM115" s="33"/>
      <c r="DN115" s="34"/>
      <c r="DO115" s="34"/>
      <c r="DP115" s="34"/>
      <c r="EU115" s="34"/>
      <c r="EV115" s="34"/>
      <c r="EW115" s="35"/>
      <c r="EX115" s="35">
        <v>4</v>
      </c>
      <c r="EY115" s="35">
        <v>0.1</v>
      </c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>
        <v>2</v>
      </c>
      <c r="FL115" s="35"/>
      <c r="FM115" s="35"/>
    </row>
    <row r="116" spans="1:182" x14ac:dyDescent="0.25">
      <c r="A116" s="26" t="str">
        <f t="shared" si="10"/>
        <v>SH_M_1_E_05_2023</v>
      </c>
      <c r="B116" s="26" t="str">
        <f t="shared" si="11"/>
        <v>SH_M_1_E_05</v>
      </c>
      <c r="C116" s="26" t="str">
        <f t="shared" si="12"/>
        <v>SH_2023</v>
      </c>
      <c r="D116" s="27" t="s">
        <v>28</v>
      </c>
      <c r="E116" s="73">
        <v>45112</v>
      </c>
      <c r="F116" s="27">
        <v>2023</v>
      </c>
      <c r="G116" s="27" t="s">
        <v>294</v>
      </c>
      <c r="H116" s="27" t="s">
        <v>293</v>
      </c>
      <c r="I116" s="27">
        <v>5</v>
      </c>
      <c r="J116" s="27" t="s">
        <v>231</v>
      </c>
      <c r="K116" s="27">
        <v>1</v>
      </c>
      <c r="L116" s="27" t="s">
        <v>204</v>
      </c>
      <c r="M116" s="27" t="s">
        <v>271</v>
      </c>
      <c r="N116" s="27" t="s">
        <v>264</v>
      </c>
      <c r="O116" s="67">
        <f t="shared" si="9"/>
        <v>100</v>
      </c>
      <c r="P116" s="29">
        <v>51</v>
      </c>
      <c r="Q116" s="29"/>
      <c r="R116" s="29"/>
      <c r="S116" s="29"/>
      <c r="T116" s="29"/>
      <c r="U116" s="29">
        <v>5</v>
      </c>
      <c r="V116" s="29"/>
      <c r="W116" s="29">
        <v>2</v>
      </c>
      <c r="X116" s="29"/>
      <c r="Y116" s="29">
        <v>5</v>
      </c>
      <c r="Z116" s="29">
        <v>37</v>
      </c>
      <c r="AA116" s="29"/>
      <c r="AB116" s="29"/>
      <c r="AC116" s="29"/>
      <c r="AD116" s="29"/>
      <c r="AE116" s="29"/>
      <c r="AF116" s="29"/>
      <c r="AG116" s="29"/>
      <c r="AH116" s="29"/>
      <c r="AI116" s="29"/>
      <c r="AJ116" s="30"/>
      <c r="AK116" s="30"/>
      <c r="AL116" s="30"/>
      <c r="AM116" s="30"/>
      <c r="AN116" s="30"/>
      <c r="AO116" s="30"/>
      <c r="AP116" s="31"/>
      <c r="AQ116" s="31"/>
      <c r="AR116" s="31"/>
      <c r="AS116" s="31">
        <v>74</v>
      </c>
      <c r="AT116" s="31">
        <v>16</v>
      </c>
      <c r="AU116" s="31">
        <v>8</v>
      </c>
      <c r="AV116" s="31"/>
      <c r="AW116" s="31"/>
      <c r="AX116" s="31"/>
      <c r="AY116" s="31"/>
      <c r="AZ116" s="31"/>
      <c r="BA116" s="31"/>
      <c r="BB116" s="31"/>
      <c r="BC116" s="31">
        <v>1</v>
      </c>
      <c r="BD116" s="31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EU116" s="34"/>
      <c r="EV116" s="34"/>
      <c r="EW116" s="35"/>
      <c r="EX116" s="35">
        <v>5</v>
      </c>
      <c r="EY116" s="35">
        <v>2</v>
      </c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>
        <v>3</v>
      </c>
      <c r="FL116" s="35"/>
      <c r="FM116" s="35"/>
    </row>
    <row r="117" spans="1:182" x14ac:dyDescent="0.25">
      <c r="A117" s="26" t="str">
        <f t="shared" si="10"/>
        <v>SH_M_1_E_03_2023</v>
      </c>
      <c r="B117" s="26" t="str">
        <f t="shared" si="11"/>
        <v>SH_M_1_E_03</v>
      </c>
      <c r="C117" s="26" t="str">
        <f t="shared" si="12"/>
        <v>SH_2023</v>
      </c>
      <c r="D117" s="27" t="s">
        <v>28</v>
      </c>
      <c r="E117" s="73">
        <v>45112</v>
      </c>
      <c r="F117" s="27">
        <v>2023</v>
      </c>
      <c r="G117" s="27" t="s">
        <v>294</v>
      </c>
      <c r="H117" s="27" t="s">
        <v>293</v>
      </c>
      <c r="I117" s="27">
        <v>3</v>
      </c>
      <c r="J117" s="27" t="s">
        <v>231</v>
      </c>
      <c r="K117" s="27">
        <v>1</v>
      </c>
      <c r="L117" s="27" t="s">
        <v>204</v>
      </c>
      <c r="M117" s="27" t="s">
        <v>268</v>
      </c>
      <c r="N117" s="27" t="s">
        <v>264</v>
      </c>
      <c r="O117" s="67">
        <f t="shared" si="9"/>
        <v>100</v>
      </c>
      <c r="P117" s="29">
        <v>1</v>
      </c>
      <c r="Q117" s="29"/>
      <c r="R117" s="29"/>
      <c r="S117" s="29"/>
      <c r="T117" s="29"/>
      <c r="U117" s="29"/>
      <c r="V117" s="29"/>
      <c r="W117" s="29"/>
      <c r="X117" s="29"/>
      <c r="Y117" s="29"/>
      <c r="Z117" s="29">
        <v>99</v>
      </c>
      <c r="AA117" s="29"/>
      <c r="AB117" s="29"/>
      <c r="AC117" s="29"/>
      <c r="AD117" s="29"/>
      <c r="AE117" s="29"/>
      <c r="AF117" s="29"/>
      <c r="AG117" s="29"/>
      <c r="AH117" s="29"/>
      <c r="AI117" s="29"/>
      <c r="AJ117" s="30"/>
      <c r="AK117" s="30"/>
      <c r="AL117" s="30"/>
      <c r="AM117" s="30"/>
      <c r="AN117" s="30"/>
      <c r="AO117" s="30"/>
      <c r="AP117" s="31"/>
      <c r="AQ117" s="31"/>
      <c r="AR117" s="31"/>
      <c r="AS117" s="31">
        <v>59</v>
      </c>
      <c r="AT117" s="31">
        <v>3</v>
      </c>
      <c r="AU117" s="31">
        <v>2</v>
      </c>
      <c r="AV117" s="31"/>
      <c r="AW117" s="31"/>
      <c r="AX117" s="31"/>
      <c r="AY117" s="31"/>
      <c r="AZ117" s="31"/>
      <c r="BA117" s="31"/>
      <c r="BB117" s="31"/>
      <c r="BC117" s="31"/>
      <c r="BD117" s="31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EU117" s="34"/>
      <c r="EV117" s="34"/>
      <c r="EW117" s="35"/>
      <c r="EX117" s="35">
        <v>16</v>
      </c>
      <c r="EY117" s="35">
        <v>3</v>
      </c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>
        <v>2</v>
      </c>
      <c r="FL117" s="35"/>
      <c r="FM117" s="35"/>
    </row>
    <row r="118" spans="1:182" x14ac:dyDescent="0.25">
      <c r="A118" s="26" t="str">
        <f t="shared" si="10"/>
        <v>SH_M_1_E_02_2023</v>
      </c>
      <c r="B118" s="26" t="str">
        <f t="shared" si="11"/>
        <v>SH_M_1_E_02</v>
      </c>
      <c r="C118" s="26" t="str">
        <f t="shared" si="12"/>
        <v>SH_2023</v>
      </c>
      <c r="D118" s="27" t="s">
        <v>28</v>
      </c>
      <c r="E118" s="73">
        <v>45112</v>
      </c>
      <c r="F118" s="27">
        <v>2023</v>
      </c>
      <c r="G118" s="27" t="s">
        <v>294</v>
      </c>
      <c r="H118" s="27" t="s">
        <v>293</v>
      </c>
      <c r="I118" s="27">
        <v>2</v>
      </c>
      <c r="J118" s="27" t="s">
        <v>231</v>
      </c>
      <c r="K118" s="27">
        <v>1</v>
      </c>
      <c r="L118" s="27" t="s">
        <v>204</v>
      </c>
      <c r="M118" s="27" t="s">
        <v>286</v>
      </c>
      <c r="N118" s="27" t="s">
        <v>264</v>
      </c>
      <c r="O118" s="67">
        <f t="shared" si="9"/>
        <v>100</v>
      </c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>
        <v>100</v>
      </c>
      <c r="AA118" s="29"/>
      <c r="AB118" s="29"/>
      <c r="AC118" s="29"/>
      <c r="AD118" s="29"/>
      <c r="AE118" s="29"/>
      <c r="AF118" s="29"/>
      <c r="AG118" s="29"/>
      <c r="AH118" s="29"/>
      <c r="AI118" s="29"/>
      <c r="AJ118" s="30"/>
      <c r="AK118" s="30"/>
      <c r="AL118" s="30"/>
      <c r="AM118" s="30"/>
      <c r="AN118" s="30"/>
      <c r="AO118" s="30"/>
      <c r="AP118" s="31"/>
      <c r="AQ118" s="31"/>
      <c r="AR118" s="31">
        <v>1</v>
      </c>
      <c r="AS118" s="31">
        <v>3</v>
      </c>
      <c r="AT118" s="31">
        <v>2</v>
      </c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EU118" s="34"/>
      <c r="EV118" s="34"/>
      <c r="EW118" s="35">
        <v>1</v>
      </c>
      <c r="EX118" s="35">
        <v>1</v>
      </c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>
        <v>2</v>
      </c>
      <c r="FL118" s="35"/>
      <c r="FM118" s="35"/>
    </row>
    <row r="119" spans="1:182" x14ac:dyDescent="0.25">
      <c r="A119" s="26" t="str">
        <f t="shared" si="10"/>
        <v>SH_H_1_E_02_2023</v>
      </c>
      <c r="B119" s="26" t="str">
        <f t="shared" si="11"/>
        <v>SH_H_1_E_02</v>
      </c>
      <c r="C119" s="26" t="str">
        <f t="shared" si="12"/>
        <v>SH_2023</v>
      </c>
      <c r="D119" s="27" t="s">
        <v>28</v>
      </c>
      <c r="E119" s="73">
        <v>45112</v>
      </c>
      <c r="F119" s="27">
        <v>2023</v>
      </c>
      <c r="G119" s="27" t="s">
        <v>294</v>
      </c>
      <c r="H119" s="27" t="s">
        <v>293</v>
      </c>
      <c r="I119" s="27">
        <v>2</v>
      </c>
      <c r="J119" s="27" t="s">
        <v>229</v>
      </c>
      <c r="K119" s="27">
        <v>1</v>
      </c>
      <c r="L119" s="27" t="s">
        <v>204</v>
      </c>
      <c r="M119" s="27" t="s">
        <v>286</v>
      </c>
      <c r="N119" s="27" t="s">
        <v>264</v>
      </c>
      <c r="O119" s="67">
        <f t="shared" si="9"/>
        <v>100</v>
      </c>
      <c r="P119" s="29">
        <v>12</v>
      </c>
      <c r="Q119" s="29"/>
      <c r="R119" s="29"/>
      <c r="S119" s="29"/>
      <c r="T119" s="29"/>
      <c r="U119" s="29">
        <v>59</v>
      </c>
      <c r="V119" s="29"/>
      <c r="W119" s="29"/>
      <c r="X119" s="29"/>
      <c r="Y119" s="29">
        <v>1</v>
      </c>
      <c r="Z119" s="29">
        <v>22</v>
      </c>
      <c r="AA119" s="29"/>
      <c r="AB119" s="29"/>
      <c r="AC119" s="29">
        <v>6</v>
      </c>
      <c r="AD119" s="29"/>
      <c r="AE119" s="29"/>
      <c r="AF119" s="29"/>
      <c r="AG119" s="29"/>
      <c r="AH119" s="29"/>
      <c r="AI119" s="29"/>
      <c r="AJ119" s="30"/>
      <c r="AK119" s="30"/>
      <c r="AL119" s="30"/>
      <c r="AM119" s="30"/>
      <c r="AN119" s="30"/>
      <c r="AO119" s="30"/>
      <c r="AP119" s="31"/>
      <c r="AQ119" s="31"/>
      <c r="AR119" s="31"/>
      <c r="AS119" s="31">
        <v>36</v>
      </c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CC119" s="33"/>
      <c r="CD119" s="33"/>
      <c r="CE119" s="33"/>
      <c r="CF119" s="33"/>
      <c r="CG119" s="33"/>
      <c r="CH119" s="33"/>
      <c r="CI119" s="33"/>
      <c r="CJ119" s="33">
        <v>12</v>
      </c>
      <c r="CK119" s="33"/>
      <c r="CL119" s="33"/>
      <c r="CM119" s="33"/>
      <c r="CN119" s="33"/>
      <c r="CO119" s="33"/>
      <c r="CP119" s="33"/>
      <c r="CQ119" s="33"/>
      <c r="CR119" s="33"/>
      <c r="CS119" s="33"/>
      <c r="CT119" s="34"/>
      <c r="CU119" s="33"/>
      <c r="CV119" s="33"/>
      <c r="CW119" s="33">
        <v>1</v>
      </c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4"/>
      <c r="DO119" s="34"/>
      <c r="EU119" s="34"/>
      <c r="EV119" s="34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</row>
    <row r="120" spans="1:182" x14ac:dyDescent="0.25">
      <c r="A120" s="26" t="str">
        <f t="shared" si="10"/>
        <v>SH_H_1_E_03_2023</v>
      </c>
      <c r="B120" s="26" t="str">
        <f t="shared" si="11"/>
        <v>SH_H_1_E_03</v>
      </c>
      <c r="C120" s="26" t="str">
        <f t="shared" si="12"/>
        <v>SH_2023</v>
      </c>
      <c r="D120" s="27" t="s">
        <v>28</v>
      </c>
      <c r="E120" s="73">
        <v>45112</v>
      </c>
      <c r="F120" s="27">
        <v>2023</v>
      </c>
      <c r="G120" s="27" t="s">
        <v>294</v>
      </c>
      <c r="H120" s="27" t="s">
        <v>293</v>
      </c>
      <c r="I120" s="27">
        <v>3</v>
      </c>
      <c r="J120" s="27" t="s">
        <v>229</v>
      </c>
      <c r="K120" s="27">
        <v>1</v>
      </c>
      <c r="L120" s="27" t="s">
        <v>204</v>
      </c>
      <c r="M120" s="27" t="s">
        <v>268</v>
      </c>
      <c r="N120" s="27" t="s">
        <v>264</v>
      </c>
      <c r="O120" s="67">
        <f t="shared" si="9"/>
        <v>100</v>
      </c>
      <c r="P120" s="29">
        <v>43</v>
      </c>
      <c r="Q120" s="29"/>
      <c r="R120" s="29"/>
      <c r="S120" s="29"/>
      <c r="T120" s="29"/>
      <c r="U120" s="29">
        <v>5</v>
      </c>
      <c r="V120" s="29"/>
      <c r="W120" s="29">
        <v>16</v>
      </c>
      <c r="X120" s="29"/>
      <c r="Y120" s="29">
        <v>3</v>
      </c>
      <c r="Z120" s="29">
        <v>24</v>
      </c>
      <c r="AA120" s="29"/>
      <c r="AB120" s="29"/>
      <c r="AC120" s="29">
        <v>9</v>
      </c>
      <c r="AD120" s="29"/>
      <c r="AE120" s="29"/>
      <c r="AF120" s="29"/>
      <c r="AG120" s="29"/>
      <c r="AH120" s="29"/>
      <c r="AI120" s="29"/>
      <c r="AJ120" s="30"/>
      <c r="AK120" s="30"/>
      <c r="AL120" s="30"/>
      <c r="AM120" s="30"/>
      <c r="AN120" s="30"/>
      <c r="AO120" s="30"/>
      <c r="AP120" s="31"/>
      <c r="AQ120" s="31"/>
      <c r="AR120" s="31"/>
      <c r="AS120" s="31">
        <v>59</v>
      </c>
      <c r="AT120" s="31"/>
      <c r="AU120" s="31">
        <v>39</v>
      </c>
      <c r="AV120" s="31"/>
      <c r="AW120" s="31"/>
      <c r="AX120" s="31"/>
      <c r="AY120" s="31"/>
      <c r="AZ120" s="31"/>
      <c r="BA120" s="31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4"/>
      <c r="CU120" s="33">
        <v>1</v>
      </c>
      <c r="CV120" s="33"/>
      <c r="CW120" s="33">
        <v>0.1</v>
      </c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4"/>
      <c r="DO120" s="34"/>
      <c r="EU120" s="34"/>
      <c r="EV120" s="34"/>
      <c r="EW120" s="35"/>
      <c r="EX120" s="35">
        <v>8</v>
      </c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</row>
    <row r="121" spans="1:182" x14ac:dyDescent="0.25">
      <c r="A121" s="26" t="str">
        <f t="shared" si="10"/>
        <v>SH_H_1_E_05_2023</v>
      </c>
      <c r="B121" s="26" t="str">
        <f t="shared" si="11"/>
        <v>SH_H_1_E_05</v>
      </c>
      <c r="C121" s="26" t="str">
        <f t="shared" si="12"/>
        <v>SH_2023</v>
      </c>
      <c r="D121" s="27" t="s">
        <v>28</v>
      </c>
      <c r="E121" s="73">
        <v>45112</v>
      </c>
      <c r="F121" s="27">
        <v>2023</v>
      </c>
      <c r="G121" s="27" t="s">
        <v>294</v>
      </c>
      <c r="H121" s="27" t="s">
        <v>293</v>
      </c>
      <c r="I121" s="27">
        <v>5</v>
      </c>
      <c r="J121" s="27" t="s">
        <v>229</v>
      </c>
      <c r="K121" s="27">
        <v>1</v>
      </c>
      <c r="L121" s="27" t="s">
        <v>204</v>
      </c>
      <c r="M121" s="27" t="s">
        <v>271</v>
      </c>
      <c r="N121" s="27" t="s">
        <v>264</v>
      </c>
      <c r="O121" s="67">
        <f t="shared" si="9"/>
        <v>100</v>
      </c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>
        <v>100</v>
      </c>
      <c r="AA121" s="29"/>
      <c r="AB121" s="29"/>
      <c r="AC121" s="29"/>
      <c r="AD121" s="29"/>
      <c r="AE121" s="29"/>
      <c r="AF121" s="29"/>
      <c r="AG121" s="29"/>
      <c r="AH121" s="29"/>
      <c r="AI121" s="29"/>
      <c r="AJ121" s="30"/>
      <c r="AK121" s="30"/>
      <c r="AL121" s="30"/>
      <c r="AM121" s="30"/>
      <c r="AN121" s="30"/>
      <c r="AO121" s="30"/>
      <c r="AP121" s="31"/>
      <c r="AQ121" s="31"/>
      <c r="AR121" s="31">
        <v>1</v>
      </c>
      <c r="AS121" s="31">
        <v>7</v>
      </c>
      <c r="AT121" s="31"/>
      <c r="AU121" s="31"/>
      <c r="AV121" s="31"/>
      <c r="AW121" s="31"/>
      <c r="AX121" s="31"/>
      <c r="AY121" s="31"/>
      <c r="AZ121" s="31"/>
      <c r="BA121" s="31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4"/>
      <c r="CU121" s="33">
        <v>2</v>
      </c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4"/>
      <c r="DO121" s="34"/>
      <c r="EU121" s="34"/>
      <c r="EV121" s="34"/>
      <c r="EW121" s="35"/>
      <c r="EX121" s="35">
        <v>5</v>
      </c>
      <c r="EY121" s="35">
        <v>2</v>
      </c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>
        <v>2</v>
      </c>
      <c r="FL121" s="35"/>
      <c r="FM121" s="35"/>
    </row>
    <row r="122" spans="1:182" x14ac:dyDescent="0.25">
      <c r="A122" s="26" t="str">
        <f t="shared" si="10"/>
        <v>SH_H_1_E_06_2023</v>
      </c>
      <c r="B122" s="26" t="str">
        <f t="shared" si="11"/>
        <v>SH_H_1_E_06</v>
      </c>
      <c r="C122" s="26" t="str">
        <f t="shared" si="12"/>
        <v>SH_2023</v>
      </c>
      <c r="D122" s="27" t="s">
        <v>28</v>
      </c>
      <c r="E122" s="73">
        <v>45112</v>
      </c>
      <c r="F122" s="27">
        <v>2023</v>
      </c>
      <c r="G122" s="27" t="s">
        <v>294</v>
      </c>
      <c r="H122" s="27" t="s">
        <v>293</v>
      </c>
      <c r="I122" s="27">
        <v>6</v>
      </c>
      <c r="J122" s="27" t="s">
        <v>229</v>
      </c>
      <c r="K122" s="27">
        <v>1</v>
      </c>
      <c r="L122" s="27" t="s">
        <v>204</v>
      </c>
      <c r="M122" s="27" t="s">
        <v>280</v>
      </c>
      <c r="N122" s="27" t="s">
        <v>264</v>
      </c>
      <c r="O122" s="67">
        <f t="shared" si="9"/>
        <v>100</v>
      </c>
      <c r="P122" s="29">
        <v>54</v>
      </c>
      <c r="Q122" s="29"/>
      <c r="R122" s="29"/>
      <c r="S122" s="29"/>
      <c r="T122" s="29"/>
      <c r="U122" s="29">
        <v>17</v>
      </c>
      <c r="V122" s="29"/>
      <c r="W122" s="29">
        <v>6</v>
      </c>
      <c r="X122" s="29"/>
      <c r="Y122" s="29">
        <v>9</v>
      </c>
      <c r="Z122" s="29">
        <v>12</v>
      </c>
      <c r="AA122" s="29"/>
      <c r="AB122" s="29"/>
      <c r="AC122" s="29">
        <v>2</v>
      </c>
      <c r="AD122" s="29"/>
      <c r="AE122" s="29"/>
      <c r="AF122" s="29"/>
      <c r="AG122" s="29"/>
      <c r="AH122" s="29"/>
      <c r="AI122" s="29"/>
      <c r="AJ122" s="30"/>
      <c r="AK122" s="30"/>
      <c r="AL122" s="30"/>
      <c r="AM122" s="30"/>
      <c r="AN122" s="30"/>
      <c r="AO122" s="30"/>
      <c r="AP122" s="31"/>
      <c r="AQ122" s="31"/>
      <c r="AR122" s="31"/>
      <c r="AS122" s="31">
        <v>8</v>
      </c>
      <c r="AT122" s="31">
        <v>5</v>
      </c>
      <c r="AU122" s="31"/>
      <c r="AV122" s="31"/>
      <c r="AW122" s="31"/>
      <c r="AX122" s="31"/>
      <c r="AY122" s="31"/>
      <c r="AZ122" s="31"/>
      <c r="BA122" s="31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4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4"/>
      <c r="DO122" s="34"/>
      <c r="EU122" s="34"/>
      <c r="EV122" s="34"/>
      <c r="EW122" s="35"/>
      <c r="EX122" s="35">
        <v>2</v>
      </c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</row>
    <row r="123" spans="1:182" x14ac:dyDescent="0.25">
      <c r="A123" s="26" t="str">
        <f t="shared" si="10"/>
        <v>SH_H_1_E_08_2023</v>
      </c>
      <c r="B123" s="26" t="str">
        <f t="shared" si="11"/>
        <v>SH_H_1_E_08</v>
      </c>
      <c r="C123" s="26" t="str">
        <f t="shared" si="12"/>
        <v>SH_2023</v>
      </c>
      <c r="D123" s="27" t="s">
        <v>28</v>
      </c>
      <c r="E123" s="73">
        <v>45112</v>
      </c>
      <c r="F123" s="27">
        <v>2023</v>
      </c>
      <c r="G123" s="27" t="s">
        <v>294</v>
      </c>
      <c r="H123" s="27" t="s">
        <v>293</v>
      </c>
      <c r="I123" s="27">
        <v>8</v>
      </c>
      <c r="J123" s="27" t="s">
        <v>229</v>
      </c>
      <c r="K123" s="27">
        <v>1</v>
      </c>
      <c r="L123" s="27" t="s">
        <v>204</v>
      </c>
      <c r="M123" s="27" t="s">
        <v>272</v>
      </c>
      <c r="N123" s="27" t="s">
        <v>264</v>
      </c>
      <c r="O123" s="67">
        <f t="shared" si="9"/>
        <v>100</v>
      </c>
      <c r="P123" s="29">
        <v>17</v>
      </c>
      <c r="Q123" s="29"/>
      <c r="R123" s="29"/>
      <c r="S123" s="29"/>
      <c r="T123" s="29"/>
      <c r="U123" s="29">
        <v>71</v>
      </c>
      <c r="V123" s="29"/>
      <c r="W123" s="29">
        <v>2</v>
      </c>
      <c r="X123" s="29"/>
      <c r="Y123" s="29"/>
      <c r="Z123" s="29">
        <v>1</v>
      </c>
      <c r="AA123" s="29"/>
      <c r="AB123" s="29"/>
      <c r="AC123" s="29"/>
      <c r="AD123" s="29"/>
      <c r="AE123" s="29"/>
      <c r="AF123" s="29">
        <v>9</v>
      </c>
      <c r="AG123" s="29"/>
      <c r="AH123" s="29"/>
      <c r="AI123" s="29"/>
      <c r="AJ123" s="30"/>
      <c r="AK123" s="30"/>
      <c r="AL123" s="30"/>
      <c r="AM123" s="30"/>
      <c r="AN123" s="30"/>
      <c r="AO123" s="30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CC123" s="33"/>
      <c r="CD123" s="33"/>
      <c r="CE123" s="33"/>
      <c r="CF123" s="33"/>
      <c r="CG123" s="33"/>
      <c r="CH123" s="33"/>
      <c r="CI123" s="33"/>
      <c r="CJ123" s="33">
        <v>31</v>
      </c>
      <c r="CK123" s="33"/>
      <c r="CL123" s="33"/>
      <c r="CM123" s="33"/>
      <c r="CN123" s="33"/>
      <c r="CO123" s="33"/>
      <c r="CP123" s="33"/>
      <c r="CQ123" s="33"/>
      <c r="CR123" s="33"/>
      <c r="CS123" s="33"/>
      <c r="CT123" s="34"/>
      <c r="CU123" s="33"/>
      <c r="CV123" s="33"/>
      <c r="CW123" s="33">
        <v>1</v>
      </c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4"/>
      <c r="DO123" s="34"/>
      <c r="EU123" s="34"/>
      <c r="EV123" s="34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</row>
    <row r="124" spans="1:182" x14ac:dyDescent="0.25">
      <c r="A124" s="26" t="str">
        <f t="shared" si="10"/>
        <v>SH_H_1_E_10_2023</v>
      </c>
      <c r="B124" s="26" t="str">
        <f t="shared" si="11"/>
        <v>SH_H_1_E_10</v>
      </c>
      <c r="C124" s="26" t="str">
        <f t="shared" si="12"/>
        <v>SH_2023</v>
      </c>
      <c r="D124" s="27" t="s">
        <v>28</v>
      </c>
      <c r="E124" s="73">
        <v>45112</v>
      </c>
      <c r="F124" s="27">
        <v>2023</v>
      </c>
      <c r="G124" s="27" t="s">
        <v>294</v>
      </c>
      <c r="H124" s="27" t="s">
        <v>293</v>
      </c>
      <c r="I124" s="27">
        <v>10</v>
      </c>
      <c r="J124" s="27" t="s">
        <v>229</v>
      </c>
      <c r="K124" s="27">
        <v>1</v>
      </c>
      <c r="L124" s="27" t="s">
        <v>204</v>
      </c>
      <c r="M124" s="27" t="s">
        <v>275</v>
      </c>
      <c r="N124" s="27" t="s">
        <v>264</v>
      </c>
      <c r="O124" s="67">
        <f t="shared" si="9"/>
        <v>100.1</v>
      </c>
      <c r="P124" s="29">
        <v>18</v>
      </c>
      <c r="Q124" s="29"/>
      <c r="R124" s="29"/>
      <c r="S124" s="29"/>
      <c r="T124" s="29"/>
      <c r="U124" s="29">
        <v>73</v>
      </c>
      <c r="V124" s="29"/>
      <c r="W124" s="29">
        <v>3</v>
      </c>
      <c r="X124" s="29"/>
      <c r="Y124" s="29"/>
      <c r="Z124" s="29">
        <v>1</v>
      </c>
      <c r="AA124" s="29"/>
      <c r="AB124" s="29"/>
      <c r="AC124" s="29"/>
      <c r="AD124" s="29"/>
      <c r="AE124" s="29"/>
      <c r="AF124" s="29">
        <v>5</v>
      </c>
      <c r="AG124" s="29"/>
      <c r="AH124" s="29">
        <v>0.1</v>
      </c>
      <c r="AI124" s="29"/>
      <c r="AJ124" s="30"/>
      <c r="AK124" s="30"/>
      <c r="AL124" s="30"/>
      <c r="AM124" s="30"/>
      <c r="AN124" s="30"/>
      <c r="AO124" s="30"/>
      <c r="AP124" s="31"/>
      <c r="AQ124" s="31"/>
      <c r="AR124" s="31"/>
      <c r="AS124" s="31"/>
      <c r="AT124" s="31">
        <v>86</v>
      </c>
      <c r="AU124" s="31"/>
      <c r="AV124" s="31"/>
      <c r="AW124" s="31"/>
      <c r="AX124" s="31"/>
      <c r="AY124" s="31"/>
      <c r="AZ124" s="31"/>
      <c r="BA124" s="31"/>
      <c r="CC124" s="33"/>
      <c r="CD124" s="33"/>
      <c r="CE124" s="33"/>
      <c r="CF124" s="33"/>
      <c r="CG124" s="33"/>
      <c r="CH124" s="33"/>
      <c r="CI124" s="33"/>
      <c r="CJ124" s="33">
        <v>15</v>
      </c>
      <c r="CK124" s="33"/>
      <c r="CL124" s="33"/>
      <c r="CM124" s="33"/>
      <c r="CN124" s="33"/>
      <c r="CO124" s="33"/>
      <c r="CP124" s="33"/>
      <c r="CQ124" s="33"/>
      <c r="CR124" s="33"/>
      <c r="CS124" s="33"/>
      <c r="CT124" s="34"/>
      <c r="CU124" s="33">
        <v>0.1</v>
      </c>
      <c r="CV124" s="33"/>
      <c r="CW124" s="33">
        <v>0.1</v>
      </c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4"/>
      <c r="DO124" s="34"/>
      <c r="EU124" s="34"/>
      <c r="EV124" s="34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</row>
    <row r="125" spans="1:182" x14ac:dyDescent="0.25">
      <c r="A125" s="26" t="str">
        <f t="shared" si="10"/>
        <v>SH_H_1_E_11_2023</v>
      </c>
      <c r="B125" s="26" t="str">
        <f t="shared" si="11"/>
        <v>SH_H_1_E_11</v>
      </c>
      <c r="C125" s="26" t="str">
        <f t="shared" si="12"/>
        <v>SH_2023</v>
      </c>
      <c r="D125" s="27" t="s">
        <v>28</v>
      </c>
      <c r="E125" s="73">
        <v>45112</v>
      </c>
      <c r="F125" s="27">
        <v>2023</v>
      </c>
      <c r="G125" s="27" t="s">
        <v>294</v>
      </c>
      <c r="H125" s="27" t="s">
        <v>293</v>
      </c>
      <c r="I125" s="27">
        <v>11</v>
      </c>
      <c r="J125" s="27" t="s">
        <v>229</v>
      </c>
      <c r="K125" s="27">
        <v>1</v>
      </c>
      <c r="L125" s="27" t="s">
        <v>204</v>
      </c>
      <c r="M125" s="27" t="s">
        <v>288</v>
      </c>
      <c r="N125" s="27" t="s">
        <v>264</v>
      </c>
      <c r="O125" s="67">
        <f t="shared" si="9"/>
        <v>100</v>
      </c>
      <c r="P125" s="29">
        <v>79</v>
      </c>
      <c r="Q125" s="29"/>
      <c r="R125" s="29"/>
      <c r="S125" s="29"/>
      <c r="T125" s="29"/>
      <c r="U125" s="29">
        <v>10</v>
      </c>
      <c r="V125" s="29"/>
      <c r="W125" s="29"/>
      <c r="X125" s="29">
        <v>1</v>
      </c>
      <c r="Y125" s="29"/>
      <c r="Z125" s="29">
        <v>1</v>
      </c>
      <c r="AA125" s="29"/>
      <c r="AB125" s="29"/>
      <c r="AC125" s="29"/>
      <c r="AD125" s="29"/>
      <c r="AE125" s="29"/>
      <c r="AF125" s="29">
        <v>8</v>
      </c>
      <c r="AG125" s="29">
        <v>1</v>
      </c>
      <c r="AH125" s="29"/>
      <c r="AI125" s="29"/>
      <c r="AJ125" s="30"/>
      <c r="AK125" s="30"/>
      <c r="AL125" s="30"/>
      <c r="AM125" s="30"/>
      <c r="AN125" s="30"/>
      <c r="AO125" s="30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CC125" s="33"/>
      <c r="CD125" s="33"/>
      <c r="CE125" s="33"/>
      <c r="CF125" s="33"/>
      <c r="CG125" s="33"/>
      <c r="CH125" s="33"/>
      <c r="CI125" s="33"/>
      <c r="CJ125" s="33">
        <v>33</v>
      </c>
      <c r="CK125" s="33"/>
      <c r="CL125" s="33"/>
      <c r="CM125" s="33"/>
      <c r="CN125" s="33"/>
      <c r="CO125" s="33"/>
      <c r="CP125" s="33">
        <v>3</v>
      </c>
      <c r="CQ125" s="33"/>
      <c r="CR125" s="33"/>
      <c r="CS125" s="33"/>
      <c r="CT125" s="34"/>
      <c r="CU125" s="33">
        <v>2</v>
      </c>
      <c r="CV125" s="33"/>
      <c r="CW125" s="33">
        <v>1</v>
      </c>
      <c r="CX125" s="33"/>
      <c r="CY125" s="33">
        <v>0.1</v>
      </c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4"/>
      <c r="DO125" s="34"/>
      <c r="EU125" s="34"/>
      <c r="EV125" s="34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</row>
    <row r="126" spans="1:182" x14ac:dyDescent="0.25">
      <c r="A126" s="26" t="str">
        <f t="shared" si="10"/>
        <v>SH_L_1_E_01_2023</v>
      </c>
      <c r="B126" s="26" t="str">
        <f t="shared" si="11"/>
        <v>SH_L_1_E_01</v>
      </c>
      <c r="C126" s="26" t="str">
        <f t="shared" si="12"/>
        <v>SH_2023</v>
      </c>
      <c r="D126" s="27" t="s">
        <v>28</v>
      </c>
      <c r="E126" s="73">
        <v>45112</v>
      </c>
      <c r="F126" s="27">
        <v>2023</v>
      </c>
      <c r="G126" s="27" t="s">
        <v>295</v>
      </c>
      <c r="H126" s="27" t="s">
        <v>291</v>
      </c>
      <c r="I126" s="27">
        <v>1</v>
      </c>
      <c r="J126" s="27" t="s">
        <v>230</v>
      </c>
      <c r="K126" s="27">
        <v>1</v>
      </c>
      <c r="L126" s="27" t="s">
        <v>204</v>
      </c>
      <c r="N126" s="27" t="s">
        <v>264</v>
      </c>
      <c r="O126" s="67">
        <f t="shared" si="9"/>
        <v>100.19999999999999</v>
      </c>
      <c r="P126" s="29">
        <v>40</v>
      </c>
      <c r="Q126" s="29">
        <v>38</v>
      </c>
      <c r="R126" s="29">
        <v>2</v>
      </c>
      <c r="S126" s="29">
        <v>4</v>
      </c>
      <c r="T126" s="29"/>
      <c r="U126" s="29"/>
      <c r="V126" s="29">
        <v>0.1</v>
      </c>
      <c r="W126" s="29">
        <v>0.1</v>
      </c>
      <c r="X126" s="29"/>
      <c r="Y126" s="29"/>
      <c r="Z126" s="29"/>
      <c r="AA126" s="29"/>
      <c r="AB126" s="29">
        <v>1</v>
      </c>
      <c r="AC126" s="29"/>
      <c r="AD126" s="29"/>
      <c r="AE126" s="29">
        <v>3</v>
      </c>
      <c r="AF126" s="29">
        <v>7</v>
      </c>
      <c r="AG126" s="29"/>
      <c r="AH126" s="29">
        <v>2</v>
      </c>
      <c r="AI126" s="29">
        <v>3</v>
      </c>
      <c r="AJ126" s="30"/>
      <c r="AK126" s="30"/>
      <c r="AL126" s="30"/>
      <c r="AM126" s="30"/>
      <c r="AN126" s="30"/>
      <c r="AO126" s="30"/>
      <c r="AP126" s="31"/>
      <c r="AQ126" s="31">
        <v>5</v>
      </c>
      <c r="AR126" s="31"/>
      <c r="AS126" s="31"/>
      <c r="AT126" s="31"/>
      <c r="AU126" s="31"/>
      <c r="AV126" s="31"/>
      <c r="AW126" s="31">
        <v>2</v>
      </c>
      <c r="AX126" s="31">
        <v>1</v>
      </c>
      <c r="AY126" s="31"/>
      <c r="AZ126" s="31"/>
      <c r="BA126" s="31"/>
      <c r="BB126" s="31"/>
      <c r="BC126" s="31"/>
      <c r="BD126" s="31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3"/>
      <c r="CD126" s="33"/>
      <c r="CE126" s="33"/>
      <c r="CF126" s="33">
        <v>29</v>
      </c>
      <c r="CG126" s="33">
        <v>34</v>
      </c>
      <c r="CH126" s="33"/>
      <c r="CI126" s="33"/>
      <c r="CJ126" s="33"/>
      <c r="CK126" s="33"/>
      <c r="CL126" s="33">
        <v>0.1</v>
      </c>
      <c r="CM126" s="33">
        <v>3</v>
      </c>
      <c r="CN126" s="33"/>
      <c r="CO126" s="33"/>
      <c r="CP126" s="33"/>
      <c r="CQ126" s="33"/>
      <c r="CR126" s="33">
        <v>1</v>
      </c>
      <c r="CS126" s="33"/>
      <c r="CT126" s="34"/>
      <c r="CU126" s="33"/>
      <c r="CV126" s="33"/>
      <c r="CW126" s="33"/>
      <c r="CX126" s="33"/>
      <c r="CY126" s="33"/>
      <c r="CZ126" s="33">
        <v>11</v>
      </c>
      <c r="DA126" s="33"/>
      <c r="DB126" s="33"/>
      <c r="DC126" s="33"/>
      <c r="DD126" s="33"/>
      <c r="DE126" s="33"/>
      <c r="DF126" s="33"/>
      <c r="DG126" s="33"/>
      <c r="DH126" s="33"/>
      <c r="DI126" s="33"/>
      <c r="DJ126" s="33">
        <v>1</v>
      </c>
      <c r="DK126" s="33"/>
      <c r="DL126" s="33"/>
      <c r="DM126" s="33"/>
      <c r="DN126" s="34"/>
      <c r="DO126" s="34"/>
      <c r="DP126" s="34">
        <v>1</v>
      </c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3"/>
      <c r="ET126" s="34"/>
      <c r="EU126" s="34"/>
      <c r="EV126" s="34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V126" s="77"/>
      <c r="FW126" s="77"/>
      <c r="FX126" s="77"/>
      <c r="FY126" s="77"/>
      <c r="FZ126" s="77"/>
    </row>
    <row r="127" spans="1:182" x14ac:dyDescent="0.25">
      <c r="A127" s="26" t="str">
        <f t="shared" si="10"/>
        <v>SH_L_1_E_03_2023</v>
      </c>
      <c r="B127" s="26" t="str">
        <f t="shared" si="11"/>
        <v>SH_L_1_E_03</v>
      </c>
      <c r="C127" s="26" t="str">
        <f t="shared" si="12"/>
        <v>SH_2023</v>
      </c>
      <c r="D127" s="27" t="s">
        <v>28</v>
      </c>
      <c r="E127" s="73">
        <v>45112</v>
      </c>
      <c r="F127" s="27">
        <v>2023</v>
      </c>
      <c r="G127" s="27" t="s">
        <v>295</v>
      </c>
      <c r="H127" s="27" t="s">
        <v>291</v>
      </c>
      <c r="I127" s="27">
        <v>3</v>
      </c>
      <c r="J127" s="27" t="s">
        <v>230</v>
      </c>
      <c r="K127" s="27">
        <v>1</v>
      </c>
      <c r="L127" s="27" t="s">
        <v>204</v>
      </c>
      <c r="N127" s="27" t="s">
        <v>264</v>
      </c>
      <c r="O127" s="67">
        <f t="shared" si="9"/>
        <v>100</v>
      </c>
      <c r="P127" s="29"/>
      <c r="Q127" s="29">
        <v>65</v>
      </c>
      <c r="R127" s="29">
        <v>2</v>
      </c>
      <c r="S127" s="29">
        <v>9</v>
      </c>
      <c r="T127" s="29">
        <v>5</v>
      </c>
      <c r="U127" s="29"/>
      <c r="V127" s="29"/>
      <c r="W127" s="29"/>
      <c r="X127" s="29"/>
      <c r="Y127" s="29"/>
      <c r="Z127" s="29"/>
      <c r="AA127" s="29"/>
      <c r="AB127" s="29">
        <v>8</v>
      </c>
      <c r="AC127" s="29"/>
      <c r="AD127" s="29"/>
      <c r="AE127" s="29"/>
      <c r="AF127" s="29">
        <v>5</v>
      </c>
      <c r="AG127" s="29"/>
      <c r="AH127" s="29">
        <v>2</v>
      </c>
      <c r="AI127" s="29">
        <v>4</v>
      </c>
      <c r="AJ127" s="30"/>
      <c r="AK127" s="30"/>
      <c r="AL127" s="30"/>
      <c r="AM127" s="30"/>
      <c r="AN127" s="30"/>
      <c r="AO127" s="30"/>
      <c r="AP127" s="31"/>
      <c r="AQ127" s="31">
        <v>1</v>
      </c>
      <c r="AR127" s="31"/>
      <c r="AS127" s="31"/>
      <c r="AT127" s="31"/>
      <c r="AU127" s="31"/>
      <c r="AV127" s="31"/>
      <c r="AW127" s="31">
        <v>1</v>
      </c>
      <c r="AX127" s="31"/>
      <c r="AY127" s="31"/>
      <c r="AZ127" s="31"/>
      <c r="BA127" s="31"/>
      <c r="BB127" s="31"/>
      <c r="BC127" s="31"/>
      <c r="BD127" s="31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3"/>
      <c r="CD127" s="33"/>
      <c r="CE127" s="33"/>
      <c r="CF127" s="33">
        <v>9</v>
      </c>
      <c r="CG127" s="33">
        <v>87</v>
      </c>
      <c r="CH127" s="33"/>
      <c r="CI127" s="33"/>
      <c r="CJ127" s="33"/>
      <c r="CK127" s="33"/>
      <c r="CL127" s="33">
        <v>3</v>
      </c>
      <c r="CM127" s="33">
        <v>1</v>
      </c>
      <c r="CN127" s="33"/>
      <c r="CO127" s="33"/>
      <c r="CP127" s="33"/>
      <c r="CQ127" s="33"/>
      <c r="CR127" s="33"/>
      <c r="CS127" s="33"/>
      <c r="CT127" s="34"/>
      <c r="CU127" s="33"/>
      <c r="CV127" s="33"/>
      <c r="CW127" s="33">
        <v>1</v>
      </c>
      <c r="CX127" s="33"/>
      <c r="CY127" s="33"/>
      <c r="CZ127" s="33">
        <v>9</v>
      </c>
      <c r="DA127" s="33">
        <v>1</v>
      </c>
      <c r="DB127" s="33"/>
      <c r="DC127" s="33"/>
      <c r="DD127" s="33"/>
      <c r="DE127" s="33"/>
      <c r="DF127" s="33"/>
      <c r="DG127" s="33"/>
      <c r="DH127" s="33"/>
      <c r="DI127" s="33"/>
      <c r="DJ127" s="33"/>
      <c r="DK127" s="33">
        <v>0.1</v>
      </c>
      <c r="DL127" s="33"/>
      <c r="DM127" s="33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3"/>
      <c r="ET127" s="34"/>
      <c r="EU127" s="34"/>
      <c r="EV127" s="34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V127" s="77"/>
      <c r="FW127" s="77"/>
      <c r="FX127" s="77"/>
      <c r="FY127" s="77"/>
      <c r="FZ127" s="77"/>
    </row>
    <row r="128" spans="1:182" x14ac:dyDescent="0.25">
      <c r="A128" s="26" t="str">
        <f t="shared" si="10"/>
        <v>SH_L_1_E_05_2023</v>
      </c>
      <c r="B128" s="26" t="str">
        <f t="shared" si="11"/>
        <v>SH_L_1_E_05</v>
      </c>
      <c r="C128" s="26" t="str">
        <f t="shared" si="12"/>
        <v>SH_2023</v>
      </c>
      <c r="D128" s="27" t="s">
        <v>28</v>
      </c>
      <c r="E128" s="73">
        <v>45112</v>
      </c>
      <c r="F128" s="27">
        <v>2023</v>
      </c>
      <c r="G128" s="27" t="s">
        <v>295</v>
      </c>
      <c r="H128" s="27" t="s">
        <v>291</v>
      </c>
      <c r="I128" s="27">
        <v>5</v>
      </c>
      <c r="J128" s="27" t="s">
        <v>230</v>
      </c>
      <c r="K128" s="27">
        <v>1</v>
      </c>
      <c r="L128" s="27" t="s">
        <v>204</v>
      </c>
      <c r="N128" s="27" t="s">
        <v>264</v>
      </c>
      <c r="O128" s="67">
        <f t="shared" si="9"/>
        <v>100</v>
      </c>
      <c r="P128" s="29">
        <v>46</v>
      </c>
      <c r="Q128" s="29">
        <v>10</v>
      </c>
      <c r="R128" s="29">
        <v>1</v>
      </c>
      <c r="S128" s="29">
        <v>4</v>
      </c>
      <c r="T128" s="29"/>
      <c r="U128" s="29"/>
      <c r="V128" s="29"/>
      <c r="W128" s="29">
        <v>1</v>
      </c>
      <c r="X128" s="29"/>
      <c r="Y128" s="29"/>
      <c r="Z128" s="29"/>
      <c r="AA128" s="29"/>
      <c r="AB128" s="29">
        <v>1</v>
      </c>
      <c r="AC128" s="29"/>
      <c r="AD128" s="29"/>
      <c r="AE128" s="29">
        <v>11</v>
      </c>
      <c r="AF128" s="29"/>
      <c r="AG128" s="29"/>
      <c r="AH128" s="29">
        <v>14</v>
      </c>
      <c r="AI128" s="29">
        <v>12</v>
      </c>
      <c r="AJ128" s="30"/>
      <c r="AK128" s="30"/>
      <c r="AL128" s="30"/>
      <c r="AM128" s="30"/>
      <c r="AN128" s="30"/>
      <c r="AO128" s="30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>
        <v>2</v>
      </c>
      <c r="BB128" s="31"/>
      <c r="BC128" s="31"/>
      <c r="BD128" s="31"/>
      <c r="BE128" s="32"/>
      <c r="BF128" s="32"/>
      <c r="BG128" s="32"/>
      <c r="CC128" s="33"/>
      <c r="CD128" s="33"/>
      <c r="CE128" s="33"/>
      <c r="CF128" s="33">
        <v>80</v>
      </c>
      <c r="CG128" s="33"/>
      <c r="CH128" s="33"/>
      <c r="CI128" s="33"/>
      <c r="CJ128" s="33"/>
      <c r="CK128" s="33"/>
      <c r="CL128" s="33">
        <v>12</v>
      </c>
      <c r="CM128" s="33">
        <v>10</v>
      </c>
      <c r="CN128" s="33"/>
      <c r="CO128" s="33"/>
      <c r="CP128" s="33"/>
      <c r="CQ128" s="33"/>
      <c r="CR128" s="33"/>
      <c r="CS128" s="33"/>
      <c r="CT128" s="34">
        <v>12</v>
      </c>
      <c r="CU128" s="33"/>
      <c r="CV128" s="33"/>
      <c r="CW128" s="33"/>
      <c r="CX128" s="33"/>
      <c r="CY128" s="33"/>
      <c r="CZ128" s="33">
        <v>2</v>
      </c>
      <c r="DA128" s="33">
        <v>2</v>
      </c>
      <c r="DB128" s="33"/>
      <c r="DC128" s="33"/>
      <c r="DD128" s="33"/>
      <c r="DE128" s="33"/>
      <c r="DF128" s="33"/>
      <c r="DG128" s="33"/>
      <c r="DH128" s="33"/>
      <c r="DI128" s="33"/>
      <c r="DJ128" s="33">
        <v>0.1</v>
      </c>
      <c r="DK128" s="33"/>
      <c r="DL128" s="33"/>
      <c r="DM128" s="33"/>
      <c r="DN128" s="34"/>
      <c r="DO128" s="34"/>
      <c r="DP128" s="34">
        <v>2</v>
      </c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</row>
    <row r="129" spans="1:182" x14ac:dyDescent="0.25">
      <c r="A129" s="26" t="str">
        <f t="shared" si="10"/>
        <v>SH_L_1_E_07_2023</v>
      </c>
      <c r="B129" s="26" t="str">
        <f t="shared" si="11"/>
        <v>SH_L_1_E_07</v>
      </c>
      <c r="C129" s="26" t="str">
        <f t="shared" si="12"/>
        <v>SH_2023</v>
      </c>
      <c r="D129" s="27" t="s">
        <v>28</v>
      </c>
      <c r="E129" s="73">
        <v>45112</v>
      </c>
      <c r="F129" s="27">
        <v>2023</v>
      </c>
      <c r="G129" s="27" t="s">
        <v>295</v>
      </c>
      <c r="H129" s="27" t="s">
        <v>291</v>
      </c>
      <c r="I129" s="27">
        <v>7</v>
      </c>
      <c r="J129" s="27" t="s">
        <v>230</v>
      </c>
      <c r="K129" s="27">
        <v>1</v>
      </c>
      <c r="L129" s="27" t="s">
        <v>204</v>
      </c>
      <c r="N129" s="27" t="s">
        <v>264</v>
      </c>
      <c r="O129" s="67">
        <f t="shared" si="9"/>
        <v>100</v>
      </c>
      <c r="P129" s="29">
        <v>34</v>
      </c>
      <c r="Q129" s="29">
        <v>21</v>
      </c>
      <c r="R129" s="29">
        <v>2</v>
      </c>
      <c r="S129" s="29">
        <v>9</v>
      </c>
      <c r="T129" s="29"/>
      <c r="U129" s="29"/>
      <c r="V129" s="29"/>
      <c r="W129" s="29"/>
      <c r="X129" s="29"/>
      <c r="Y129" s="29"/>
      <c r="Z129" s="29">
        <v>1</v>
      </c>
      <c r="AA129" s="29"/>
      <c r="AB129" s="29">
        <v>2</v>
      </c>
      <c r="AC129" s="29"/>
      <c r="AD129" s="29"/>
      <c r="AE129" s="29"/>
      <c r="AF129" s="29">
        <v>25</v>
      </c>
      <c r="AG129" s="29"/>
      <c r="AH129" s="29">
        <v>1</v>
      </c>
      <c r="AI129" s="29">
        <v>5</v>
      </c>
      <c r="AJ129" s="30"/>
      <c r="AK129" s="30"/>
      <c r="AL129" s="30"/>
      <c r="AM129" s="30"/>
      <c r="AN129" s="30"/>
      <c r="AO129" s="30"/>
      <c r="AP129" s="31"/>
      <c r="AQ129" s="31">
        <v>1</v>
      </c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3"/>
      <c r="CD129" s="33"/>
      <c r="CE129" s="33"/>
      <c r="CF129" s="33"/>
      <c r="CG129" s="33">
        <v>85</v>
      </c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4"/>
      <c r="CU129" s="33"/>
      <c r="CV129" s="33"/>
      <c r="CW129" s="33"/>
      <c r="CX129" s="33"/>
      <c r="CY129" s="33"/>
      <c r="CZ129" s="33">
        <v>2</v>
      </c>
      <c r="DA129" s="33">
        <v>27</v>
      </c>
      <c r="DB129" s="33"/>
      <c r="DC129" s="33"/>
      <c r="DD129" s="33"/>
      <c r="DE129" s="33"/>
      <c r="DF129" s="33"/>
      <c r="DG129" s="33"/>
      <c r="DH129" s="33"/>
      <c r="DI129" s="33"/>
      <c r="DJ129" s="33">
        <v>1</v>
      </c>
      <c r="DK129" s="33"/>
      <c r="DL129" s="33"/>
      <c r="DM129" s="33"/>
      <c r="DN129" s="34"/>
      <c r="DO129" s="34"/>
      <c r="DP129" s="34">
        <v>7</v>
      </c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3"/>
      <c r="ET129" s="34"/>
      <c r="EU129" s="34"/>
      <c r="EV129" s="34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V129" s="77"/>
      <c r="FW129" s="77"/>
      <c r="FX129" s="77"/>
      <c r="FY129" s="77"/>
      <c r="FZ129" s="77"/>
    </row>
    <row r="130" spans="1:182" x14ac:dyDescent="0.25">
      <c r="A130" s="26" t="str">
        <f t="shared" si="10"/>
        <v>SH_L_1_E_09_2023</v>
      </c>
      <c r="B130" s="26" t="str">
        <f t="shared" si="11"/>
        <v>SH_L_1_E_09</v>
      </c>
      <c r="C130" s="26" t="str">
        <f t="shared" si="12"/>
        <v>SH_2023</v>
      </c>
      <c r="D130" s="27" t="s">
        <v>28</v>
      </c>
      <c r="E130" s="73">
        <v>45112</v>
      </c>
      <c r="F130" s="27">
        <v>2023</v>
      </c>
      <c r="G130" s="27" t="s">
        <v>295</v>
      </c>
      <c r="H130" s="27" t="s">
        <v>291</v>
      </c>
      <c r="I130" s="27">
        <v>9</v>
      </c>
      <c r="J130" s="27" t="s">
        <v>230</v>
      </c>
      <c r="K130" s="27">
        <v>1</v>
      </c>
      <c r="L130" s="27" t="s">
        <v>204</v>
      </c>
      <c r="N130" s="27" t="s">
        <v>264</v>
      </c>
      <c r="O130" s="67">
        <f t="shared" si="9"/>
        <v>100</v>
      </c>
      <c r="P130" s="29">
        <v>59</v>
      </c>
      <c r="Q130" s="29">
        <v>2</v>
      </c>
      <c r="R130" s="29">
        <v>1</v>
      </c>
      <c r="S130" s="29"/>
      <c r="T130" s="29"/>
      <c r="U130" s="29">
        <v>1</v>
      </c>
      <c r="V130" s="29"/>
      <c r="W130" s="29">
        <v>1</v>
      </c>
      <c r="X130" s="29">
        <v>4</v>
      </c>
      <c r="Y130" s="29"/>
      <c r="Z130" s="29"/>
      <c r="AA130" s="29"/>
      <c r="AB130" s="29">
        <v>2</v>
      </c>
      <c r="AC130" s="29">
        <v>5</v>
      </c>
      <c r="AD130" s="29"/>
      <c r="AE130" s="29">
        <v>2</v>
      </c>
      <c r="AF130" s="29"/>
      <c r="AG130" s="29"/>
      <c r="AH130" s="29">
        <v>9</v>
      </c>
      <c r="AI130" s="29">
        <v>14</v>
      </c>
      <c r="AJ130" s="30"/>
      <c r="AK130" s="30"/>
      <c r="AL130" s="30"/>
      <c r="AM130" s="30"/>
      <c r="AN130" s="30"/>
      <c r="AO130" s="30"/>
      <c r="AP130" s="31"/>
      <c r="AQ130" s="31"/>
      <c r="AR130" s="31">
        <v>1</v>
      </c>
      <c r="AS130" s="31"/>
      <c r="AT130" s="31">
        <v>29</v>
      </c>
      <c r="AU130" s="31"/>
      <c r="AV130" s="31">
        <v>2</v>
      </c>
      <c r="AW130" s="31"/>
      <c r="AX130" s="31"/>
      <c r="AY130" s="31"/>
      <c r="AZ130" s="31"/>
      <c r="BA130" s="31">
        <v>1</v>
      </c>
      <c r="BB130" s="31"/>
      <c r="BC130" s="31"/>
      <c r="BD130" s="31"/>
      <c r="BE130" s="32"/>
      <c r="BF130" s="32"/>
      <c r="BG130" s="32"/>
      <c r="CC130" s="33"/>
      <c r="CD130" s="33"/>
      <c r="CE130" s="33"/>
      <c r="CF130" s="33">
        <v>10</v>
      </c>
      <c r="CG130" s="33"/>
      <c r="CH130" s="33"/>
      <c r="CI130" s="33"/>
      <c r="CJ130" s="33"/>
      <c r="CK130" s="33"/>
      <c r="CL130" s="33">
        <v>17</v>
      </c>
      <c r="CM130" s="33">
        <v>2</v>
      </c>
      <c r="CN130" s="33"/>
      <c r="CO130" s="33"/>
      <c r="CP130" s="33"/>
      <c r="CQ130" s="33"/>
      <c r="CR130" s="33"/>
      <c r="CS130" s="33"/>
      <c r="CT130" s="34">
        <v>13</v>
      </c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</row>
    <row r="131" spans="1:182" x14ac:dyDescent="0.25">
      <c r="A131" s="26" t="str">
        <f t="shared" si="10"/>
        <v>SH_L_2_E_02_2023</v>
      </c>
      <c r="B131" s="26" t="str">
        <f t="shared" si="11"/>
        <v>SH_L_2_E_02</v>
      </c>
      <c r="C131" s="26" t="str">
        <f t="shared" si="12"/>
        <v>SH_2023</v>
      </c>
      <c r="D131" s="27" t="s">
        <v>28</v>
      </c>
      <c r="E131" s="73">
        <v>45112</v>
      </c>
      <c r="F131" s="27">
        <v>2023</v>
      </c>
      <c r="G131" s="27" t="s">
        <v>295</v>
      </c>
      <c r="H131" s="27" t="s">
        <v>291</v>
      </c>
      <c r="I131" s="27">
        <v>2</v>
      </c>
      <c r="J131" s="27" t="s">
        <v>230</v>
      </c>
      <c r="K131" s="27">
        <v>2</v>
      </c>
      <c r="L131" s="27" t="s">
        <v>204</v>
      </c>
      <c r="N131" s="27" t="s">
        <v>264</v>
      </c>
      <c r="O131" s="67">
        <f t="shared" si="9"/>
        <v>100.1</v>
      </c>
      <c r="P131" s="29">
        <v>57</v>
      </c>
      <c r="Q131" s="29">
        <v>11</v>
      </c>
      <c r="R131" s="29">
        <v>8</v>
      </c>
      <c r="S131" s="29">
        <v>2</v>
      </c>
      <c r="T131" s="29"/>
      <c r="U131" s="29">
        <v>1</v>
      </c>
      <c r="V131" s="29"/>
      <c r="W131" s="29">
        <v>1</v>
      </c>
      <c r="X131" s="29">
        <v>0.1</v>
      </c>
      <c r="Y131" s="29"/>
      <c r="Z131" s="29"/>
      <c r="AA131" s="29"/>
      <c r="AB131" s="29">
        <v>2</v>
      </c>
      <c r="AC131" s="29">
        <v>4</v>
      </c>
      <c r="AD131" s="29"/>
      <c r="AE131" s="29"/>
      <c r="AF131" s="29">
        <v>12</v>
      </c>
      <c r="AG131" s="29"/>
      <c r="AH131" s="29">
        <v>1</v>
      </c>
      <c r="AI131" s="29">
        <v>1</v>
      </c>
      <c r="AJ131" s="30"/>
      <c r="AK131" s="30"/>
      <c r="AL131" s="30"/>
      <c r="AM131" s="30"/>
      <c r="AN131" s="30"/>
      <c r="AO131" s="30"/>
      <c r="AP131" s="31">
        <v>1</v>
      </c>
      <c r="AQ131" s="31">
        <v>5</v>
      </c>
      <c r="AR131" s="31"/>
      <c r="AS131" s="31"/>
      <c r="AT131" s="31">
        <v>4</v>
      </c>
      <c r="AU131" s="31"/>
      <c r="AV131" s="31"/>
      <c r="AW131" s="31">
        <v>1</v>
      </c>
      <c r="AX131" s="31"/>
      <c r="AY131" s="31"/>
      <c r="AZ131" s="31"/>
      <c r="BA131" s="31"/>
      <c r="BB131" s="31"/>
      <c r="BC131" s="31"/>
      <c r="BD131" s="31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3"/>
      <c r="CD131" s="33">
        <v>2</v>
      </c>
      <c r="CE131" s="33"/>
      <c r="CF131" s="33"/>
      <c r="CG131" s="33">
        <v>98</v>
      </c>
      <c r="CH131" s="33"/>
      <c r="CI131" s="33"/>
      <c r="CJ131" s="33"/>
      <c r="CK131" s="33"/>
      <c r="CL131" s="33">
        <v>1</v>
      </c>
      <c r="CM131" s="33"/>
      <c r="CN131" s="33"/>
      <c r="CO131" s="33"/>
      <c r="CP131" s="33"/>
      <c r="CQ131" s="33"/>
      <c r="CR131" s="33"/>
      <c r="CS131" s="33"/>
      <c r="CT131" s="34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>
        <v>1</v>
      </c>
      <c r="DI131" s="33"/>
      <c r="DJ131" s="33"/>
      <c r="DK131" s="33"/>
      <c r="DL131" s="33"/>
      <c r="DM131" s="33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3"/>
      <c r="ET131" s="34"/>
      <c r="EU131" s="34"/>
      <c r="EV131" s="34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V131" s="77"/>
      <c r="FW131" s="77"/>
      <c r="FX131" s="77"/>
      <c r="FY131" s="77"/>
      <c r="FZ131" s="77"/>
    </row>
    <row r="132" spans="1:182" x14ac:dyDescent="0.25">
      <c r="A132" s="26" t="str">
        <f t="shared" si="10"/>
        <v>SH_L_2_E_04_2023</v>
      </c>
      <c r="B132" s="26" t="str">
        <f t="shared" si="11"/>
        <v>SH_L_2_E_04</v>
      </c>
      <c r="C132" s="26" t="str">
        <f t="shared" si="12"/>
        <v>SH_2023</v>
      </c>
      <c r="D132" s="27" t="s">
        <v>28</v>
      </c>
      <c r="E132" s="73">
        <v>45112</v>
      </c>
      <c r="F132" s="27">
        <v>2023</v>
      </c>
      <c r="G132" s="27" t="s">
        <v>295</v>
      </c>
      <c r="H132" s="27" t="s">
        <v>291</v>
      </c>
      <c r="I132" s="27">
        <v>4</v>
      </c>
      <c r="J132" s="27" t="s">
        <v>230</v>
      </c>
      <c r="K132" s="27">
        <v>2</v>
      </c>
      <c r="L132" s="27" t="s">
        <v>204</v>
      </c>
      <c r="N132" s="27" t="s">
        <v>264</v>
      </c>
      <c r="O132" s="67">
        <f t="shared" si="9"/>
        <v>100</v>
      </c>
      <c r="P132" s="29">
        <v>64</v>
      </c>
      <c r="Q132" s="29">
        <v>2</v>
      </c>
      <c r="R132" s="29"/>
      <c r="S132" s="29"/>
      <c r="T132" s="29"/>
      <c r="U132" s="29">
        <v>1</v>
      </c>
      <c r="V132" s="29"/>
      <c r="W132" s="29">
        <v>4</v>
      </c>
      <c r="X132" s="29"/>
      <c r="Y132" s="29"/>
      <c r="Z132" s="29"/>
      <c r="AA132" s="29"/>
      <c r="AB132" s="29">
        <v>3</v>
      </c>
      <c r="AC132" s="29">
        <v>1</v>
      </c>
      <c r="AD132" s="29">
        <v>19</v>
      </c>
      <c r="AE132" s="29"/>
      <c r="AF132" s="29"/>
      <c r="AG132" s="29"/>
      <c r="AH132" s="29">
        <v>3</v>
      </c>
      <c r="AI132" s="29">
        <v>3</v>
      </c>
      <c r="AJ132" s="30"/>
      <c r="AK132" s="30"/>
      <c r="AL132" s="30"/>
      <c r="AM132" s="30"/>
      <c r="AN132" s="30"/>
      <c r="AO132" s="30"/>
      <c r="AP132" s="31"/>
      <c r="AQ132" s="31">
        <v>4</v>
      </c>
      <c r="AR132" s="31"/>
      <c r="AS132" s="31"/>
      <c r="AT132" s="31"/>
      <c r="AU132" s="31"/>
      <c r="AV132" s="31"/>
      <c r="AW132" s="31"/>
      <c r="AX132" s="31"/>
      <c r="AY132" s="31"/>
      <c r="AZ132" s="31"/>
      <c r="BA132" s="31">
        <v>2</v>
      </c>
      <c r="BB132" s="31"/>
      <c r="BC132" s="31"/>
      <c r="BD132" s="31"/>
      <c r="BE132" s="32"/>
      <c r="BF132" s="32"/>
      <c r="BG132" s="32"/>
      <c r="CC132" s="33"/>
      <c r="CD132" s="33"/>
      <c r="CE132" s="33"/>
      <c r="CF132" s="33"/>
      <c r="CG132" s="33"/>
      <c r="CH132" s="33"/>
      <c r="CI132" s="33"/>
      <c r="CJ132" s="33"/>
      <c r="CK132" s="33">
        <v>6</v>
      </c>
      <c r="CL132" s="33">
        <v>2</v>
      </c>
      <c r="CM132" s="33">
        <v>1</v>
      </c>
      <c r="CN132" s="33"/>
      <c r="CO132" s="33"/>
      <c r="CP132" s="33"/>
      <c r="CQ132" s="33"/>
      <c r="CR132" s="33"/>
      <c r="CS132" s="33"/>
      <c r="CT132" s="34"/>
      <c r="CU132" s="33"/>
      <c r="CV132" s="33"/>
      <c r="CW132" s="33"/>
      <c r="CX132" s="33"/>
      <c r="CY132" s="33"/>
      <c r="CZ132" s="33"/>
      <c r="DA132" s="33">
        <v>5</v>
      </c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</row>
    <row r="133" spans="1:182" x14ac:dyDescent="0.25">
      <c r="A133" s="26" t="str">
        <f t="shared" si="10"/>
        <v>SH_L_2_E_06_2023</v>
      </c>
      <c r="B133" s="26" t="str">
        <f t="shared" si="11"/>
        <v>SH_L_2_E_06</v>
      </c>
      <c r="C133" s="26" t="str">
        <f t="shared" si="12"/>
        <v>SH_2023</v>
      </c>
      <c r="D133" s="27" t="s">
        <v>28</v>
      </c>
      <c r="E133" s="73">
        <v>45112</v>
      </c>
      <c r="F133" s="27">
        <v>2023</v>
      </c>
      <c r="G133" s="27" t="s">
        <v>295</v>
      </c>
      <c r="H133" s="27" t="s">
        <v>291</v>
      </c>
      <c r="I133" s="27">
        <v>6</v>
      </c>
      <c r="J133" s="27" t="s">
        <v>230</v>
      </c>
      <c r="K133" s="27">
        <v>2</v>
      </c>
      <c r="L133" s="27" t="s">
        <v>204</v>
      </c>
      <c r="N133" s="27" t="s">
        <v>264</v>
      </c>
      <c r="O133" s="67">
        <f t="shared" si="9"/>
        <v>100.1</v>
      </c>
      <c r="P133" s="29"/>
      <c r="Q133" s="29">
        <v>76</v>
      </c>
      <c r="R133" s="29">
        <v>0.1</v>
      </c>
      <c r="S133" s="29">
        <v>1</v>
      </c>
      <c r="T133" s="29"/>
      <c r="U133" s="29"/>
      <c r="V133" s="29"/>
      <c r="W133" s="29"/>
      <c r="X133" s="29"/>
      <c r="Y133" s="29"/>
      <c r="Z133" s="29"/>
      <c r="AA133" s="29"/>
      <c r="AB133" s="29">
        <v>1</v>
      </c>
      <c r="AC133" s="29"/>
      <c r="AD133" s="29"/>
      <c r="AE133" s="29"/>
      <c r="AF133" s="29">
        <v>2</v>
      </c>
      <c r="AG133" s="29"/>
      <c r="AH133" s="29">
        <v>12</v>
      </c>
      <c r="AI133" s="29">
        <v>8</v>
      </c>
      <c r="AJ133" s="30"/>
      <c r="AK133" s="30"/>
      <c r="AL133" s="30"/>
      <c r="AM133" s="30"/>
      <c r="AN133" s="30"/>
      <c r="AO133" s="30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>
        <v>1</v>
      </c>
      <c r="BB133" s="31"/>
      <c r="BC133" s="31"/>
      <c r="BD133" s="31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3"/>
      <c r="CD133" s="33">
        <v>15</v>
      </c>
      <c r="CE133" s="33"/>
      <c r="CF133" s="33">
        <v>2</v>
      </c>
      <c r="CG133" s="33">
        <v>28</v>
      </c>
      <c r="CH133" s="33"/>
      <c r="CI133" s="33"/>
      <c r="CJ133" s="33"/>
      <c r="CK133" s="33"/>
      <c r="CL133" s="33">
        <v>5</v>
      </c>
      <c r="CM133" s="33">
        <v>12</v>
      </c>
      <c r="CN133" s="33"/>
      <c r="CO133" s="33"/>
      <c r="CP133" s="33"/>
      <c r="CQ133" s="33"/>
      <c r="CR133" s="33"/>
      <c r="CS133" s="33"/>
      <c r="CT133" s="34"/>
      <c r="CU133" s="33"/>
      <c r="CV133" s="33"/>
      <c r="CW133" s="33"/>
      <c r="CX133" s="33"/>
      <c r="CY133" s="33"/>
      <c r="CZ133" s="33">
        <v>6</v>
      </c>
      <c r="DA133" s="33"/>
      <c r="DB133" s="33"/>
      <c r="DC133" s="33"/>
      <c r="DD133" s="33"/>
      <c r="DE133" s="33"/>
      <c r="DF133" s="33"/>
      <c r="DG133" s="33">
        <v>6</v>
      </c>
      <c r="DH133" s="33">
        <v>1</v>
      </c>
      <c r="DI133" s="33"/>
      <c r="DJ133" s="33"/>
      <c r="DK133" s="33"/>
      <c r="DL133" s="33"/>
      <c r="DM133" s="33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3"/>
      <c r="ET133" s="34"/>
      <c r="EU133" s="34"/>
      <c r="EV133" s="34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R133" s="37">
        <v>1</v>
      </c>
      <c r="FV133" s="77"/>
      <c r="FW133" s="77"/>
      <c r="FX133" s="77"/>
      <c r="FY133" s="77"/>
      <c r="FZ133" s="77"/>
    </row>
    <row r="134" spans="1:182" x14ac:dyDescent="0.25">
      <c r="A134" s="26" t="str">
        <f t="shared" si="10"/>
        <v>SH_L_2_E_10_2023</v>
      </c>
      <c r="B134" s="26" t="str">
        <f t="shared" si="11"/>
        <v>SH_L_2_E_10</v>
      </c>
      <c r="C134" s="26" t="str">
        <f t="shared" si="12"/>
        <v>SH_2023</v>
      </c>
      <c r="D134" s="27" t="s">
        <v>28</v>
      </c>
      <c r="E134" s="73">
        <v>45112</v>
      </c>
      <c r="F134" s="27">
        <v>2023</v>
      </c>
      <c r="G134" s="27" t="s">
        <v>295</v>
      </c>
      <c r="H134" s="27" t="s">
        <v>291</v>
      </c>
      <c r="I134" s="27">
        <v>10</v>
      </c>
      <c r="J134" s="27" t="s">
        <v>230</v>
      </c>
      <c r="K134" s="27">
        <v>2</v>
      </c>
      <c r="L134" s="27" t="s">
        <v>204</v>
      </c>
      <c r="N134" s="27" t="s">
        <v>264</v>
      </c>
      <c r="O134" s="67">
        <f t="shared" si="9"/>
        <v>100.1</v>
      </c>
      <c r="P134" s="29">
        <v>4</v>
      </c>
      <c r="Q134" s="29">
        <v>8</v>
      </c>
      <c r="R134" s="29">
        <v>1</v>
      </c>
      <c r="S134" s="29">
        <v>0.1</v>
      </c>
      <c r="T134" s="29"/>
      <c r="U134" s="29"/>
      <c r="V134" s="29"/>
      <c r="W134" s="29"/>
      <c r="X134" s="29"/>
      <c r="Y134" s="29"/>
      <c r="Z134" s="29"/>
      <c r="AA134" s="29"/>
      <c r="AB134" s="29">
        <v>1</v>
      </c>
      <c r="AC134" s="29"/>
      <c r="AD134" s="29"/>
      <c r="AE134" s="29"/>
      <c r="AF134" s="29"/>
      <c r="AG134" s="29"/>
      <c r="AH134" s="29">
        <v>80</v>
      </c>
      <c r="AI134" s="29">
        <v>6</v>
      </c>
      <c r="AJ134" s="30"/>
      <c r="AK134" s="30"/>
      <c r="AL134" s="30"/>
      <c r="AM134" s="30"/>
      <c r="AN134" s="30"/>
      <c r="AO134" s="30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>
        <v>1</v>
      </c>
      <c r="BD134" s="31"/>
      <c r="BE134" s="32"/>
      <c r="BF134" s="32"/>
      <c r="BG134" s="32"/>
      <c r="CC134" s="33"/>
      <c r="CD134" s="33"/>
      <c r="CE134" s="33"/>
      <c r="CF134" s="33"/>
      <c r="CG134" s="33"/>
      <c r="CH134" s="33"/>
      <c r="CI134" s="33"/>
      <c r="CJ134" s="33"/>
      <c r="CK134" s="33">
        <v>0.1</v>
      </c>
      <c r="CL134" s="33">
        <v>2</v>
      </c>
      <c r="CM134" s="33">
        <v>12</v>
      </c>
      <c r="CN134" s="33"/>
      <c r="CO134" s="33"/>
      <c r="CP134" s="33"/>
      <c r="CQ134" s="33"/>
      <c r="CR134" s="33">
        <v>2</v>
      </c>
      <c r="CS134" s="33"/>
      <c r="CT134" s="34"/>
      <c r="CU134" s="33"/>
      <c r="CV134" s="33"/>
      <c r="CW134" s="33"/>
      <c r="CX134" s="33"/>
      <c r="CY134" s="33"/>
      <c r="CZ134" s="33">
        <v>62</v>
      </c>
      <c r="DA134" s="33">
        <v>30</v>
      </c>
      <c r="DB134" s="33"/>
      <c r="DC134" s="33"/>
      <c r="DD134" s="33"/>
      <c r="DE134" s="33"/>
      <c r="DF134" s="33"/>
      <c r="DG134" s="33">
        <v>0.1</v>
      </c>
      <c r="DH134" s="33">
        <v>8</v>
      </c>
      <c r="DI134" s="33"/>
      <c r="DJ134" s="33"/>
      <c r="DK134" s="33"/>
      <c r="DL134" s="33"/>
      <c r="DM134" s="33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</row>
    <row r="135" spans="1:182" x14ac:dyDescent="0.25">
      <c r="A135" s="26" t="str">
        <f t="shared" si="10"/>
        <v>SH_L_3_E_07_2023</v>
      </c>
      <c r="B135" s="26" t="str">
        <f t="shared" si="11"/>
        <v>SH_L_3_E_07</v>
      </c>
      <c r="C135" s="26" t="str">
        <f t="shared" si="12"/>
        <v>SH_2023</v>
      </c>
      <c r="D135" s="27" t="s">
        <v>28</v>
      </c>
      <c r="E135" s="73">
        <v>45112</v>
      </c>
      <c r="F135" s="27">
        <v>2023</v>
      </c>
      <c r="G135" s="27" t="s">
        <v>295</v>
      </c>
      <c r="H135" s="27" t="s">
        <v>291</v>
      </c>
      <c r="I135" s="27">
        <v>7</v>
      </c>
      <c r="J135" s="27" t="s">
        <v>230</v>
      </c>
      <c r="K135" s="27">
        <v>3</v>
      </c>
      <c r="L135" s="27" t="s">
        <v>204</v>
      </c>
      <c r="N135" s="27" t="s">
        <v>264</v>
      </c>
      <c r="O135" s="67">
        <f t="shared" si="9"/>
        <v>100.1</v>
      </c>
      <c r="P135" s="29"/>
      <c r="Q135" s="29">
        <v>72</v>
      </c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>
        <v>3</v>
      </c>
      <c r="AE135" s="29"/>
      <c r="AF135" s="29">
        <v>0.1</v>
      </c>
      <c r="AG135" s="29"/>
      <c r="AH135" s="29">
        <v>13</v>
      </c>
      <c r="AI135" s="29">
        <v>12</v>
      </c>
      <c r="AJ135" s="30"/>
      <c r="AK135" s="30"/>
      <c r="AL135" s="30"/>
      <c r="AM135" s="30"/>
      <c r="AN135" s="30"/>
      <c r="AO135" s="30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2"/>
      <c r="BF135" s="32"/>
      <c r="BG135" s="32"/>
      <c r="CC135" s="33"/>
      <c r="CD135" s="33">
        <v>36</v>
      </c>
      <c r="CE135" s="33"/>
      <c r="CF135" s="33">
        <v>5</v>
      </c>
      <c r="CG135" s="33"/>
      <c r="CH135" s="33"/>
      <c r="CI135" s="33"/>
      <c r="CJ135" s="33"/>
      <c r="CK135" s="33">
        <v>4</v>
      </c>
      <c r="CL135" s="33">
        <v>7</v>
      </c>
      <c r="CM135" s="33">
        <v>6</v>
      </c>
      <c r="CN135" s="33"/>
      <c r="CO135" s="33"/>
      <c r="CP135" s="33"/>
      <c r="CQ135" s="33"/>
      <c r="CR135" s="33"/>
      <c r="CS135" s="33"/>
      <c r="CT135" s="34"/>
      <c r="CU135" s="33"/>
      <c r="CV135" s="33"/>
      <c r="CW135" s="33"/>
      <c r="CX135" s="33"/>
      <c r="CY135" s="33"/>
      <c r="CZ135" s="33">
        <v>20</v>
      </c>
      <c r="DA135" s="33">
        <v>5</v>
      </c>
      <c r="DB135" s="33">
        <v>17</v>
      </c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</row>
    <row r="136" spans="1:182" x14ac:dyDescent="0.25">
      <c r="A136" s="26" t="str">
        <f t="shared" si="10"/>
        <v>SH_L_3_E_09_2023</v>
      </c>
      <c r="B136" s="26" t="str">
        <f t="shared" si="11"/>
        <v>SH_L_3_E_09</v>
      </c>
      <c r="C136" s="26" t="str">
        <f t="shared" si="12"/>
        <v>SH_2023</v>
      </c>
      <c r="D136" s="27" t="s">
        <v>28</v>
      </c>
      <c r="E136" s="73">
        <v>45112</v>
      </c>
      <c r="F136" s="27">
        <v>2023</v>
      </c>
      <c r="G136" s="27" t="s">
        <v>295</v>
      </c>
      <c r="H136" s="27" t="s">
        <v>291</v>
      </c>
      <c r="I136" s="27">
        <v>9</v>
      </c>
      <c r="J136" s="27" t="s">
        <v>230</v>
      </c>
      <c r="K136" s="27">
        <v>3</v>
      </c>
      <c r="L136" s="27" t="s">
        <v>204</v>
      </c>
      <c r="N136" s="27" t="s">
        <v>264</v>
      </c>
      <c r="O136" s="67">
        <f t="shared" si="9"/>
        <v>100.19999999999999</v>
      </c>
      <c r="P136" s="29">
        <v>4</v>
      </c>
      <c r="Q136" s="29">
        <v>55</v>
      </c>
      <c r="R136" s="29">
        <v>2</v>
      </c>
      <c r="S136" s="29">
        <v>3</v>
      </c>
      <c r="T136" s="29"/>
      <c r="U136" s="29">
        <v>0.1</v>
      </c>
      <c r="V136" s="29"/>
      <c r="W136" s="29">
        <v>0.1</v>
      </c>
      <c r="X136" s="29"/>
      <c r="Y136" s="29"/>
      <c r="Z136" s="29"/>
      <c r="AA136" s="29"/>
      <c r="AB136" s="29"/>
      <c r="AC136" s="29"/>
      <c r="AD136" s="29"/>
      <c r="AE136" s="29"/>
      <c r="AF136" s="29">
        <v>17</v>
      </c>
      <c r="AG136" s="29"/>
      <c r="AH136" s="29">
        <v>9</v>
      </c>
      <c r="AI136" s="29">
        <v>10</v>
      </c>
      <c r="AJ136" s="30"/>
      <c r="AK136" s="30"/>
      <c r="AL136" s="30"/>
      <c r="AM136" s="30"/>
      <c r="AN136" s="30"/>
      <c r="AO136" s="30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>
        <v>2</v>
      </c>
      <c r="BB136" s="31"/>
      <c r="BC136" s="31">
        <v>1</v>
      </c>
      <c r="BD136" s="31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3"/>
      <c r="CD136" s="33">
        <v>15</v>
      </c>
      <c r="CE136" s="33"/>
      <c r="CF136" s="33"/>
      <c r="CG136" s="33">
        <v>39</v>
      </c>
      <c r="CH136" s="33"/>
      <c r="CI136" s="33"/>
      <c r="CJ136" s="33"/>
      <c r="CK136" s="33"/>
      <c r="CL136" s="33">
        <v>2</v>
      </c>
      <c r="CM136" s="33">
        <v>7</v>
      </c>
      <c r="CN136" s="33"/>
      <c r="CO136" s="33"/>
      <c r="CP136" s="33"/>
      <c r="CQ136" s="33"/>
      <c r="CR136" s="33">
        <v>5</v>
      </c>
      <c r="CS136" s="33"/>
      <c r="CT136" s="34"/>
      <c r="CU136" s="33"/>
      <c r="CV136" s="33"/>
      <c r="CW136" s="33"/>
      <c r="CX136" s="33"/>
      <c r="CY136" s="33"/>
      <c r="CZ136" s="33">
        <v>3</v>
      </c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3"/>
      <c r="ET136" s="34"/>
      <c r="EU136" s="34"/>
      <c r="EV136" s="34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V136" s="77"/>
      <c r="FW136" s="77"/>
      <c r="FX136" s="77"/>
      <c r="FY136" s="77"/>
      <c r="FZ136" s="77"/>
    </row>
    <row r="137" spans="1:182" x14ac:dyDescent="0.25">
      <c r="A137" s="26" t="str">
        <f t="shared" si="10"/>
        <v>SH_M_1_E_10_2023</v>
      </c>
      <c r="B137" s="26" t="str">
        <f t="shared" si="11"/>
        <v>SH_M_1_E_10</v>
      </c>
      <c r="C137" s="26" t="str">
        <f t="shared" si="12"/>
        <v>SH_2023</v>
      </c>
      <c r="D137" s="27" t="s">
        <v>28</v>
      </c>
      <c r="E137" s="73">
        <v>45112</v>
      </c>
      <c r="F137" s="27">
        <v>2023</v>
      </c>
      <c r="G137" s="27" t="s">
        <v>295</v>
      </c>
      <c r="H137" s="27" t="s">
        <v>291</v>
      </c>
      <c r="I137" s="27">
        <v>10</v>
      </c>
      <c r="J137" s="27" t="s">
        <v>231</v>
      </c>
      <c r="K137" s="27">
        <v>1</v>
      </c>
      <c r="L137" s="27" t="s">
        <v>204</v>
      </c>
      <c r="M137" s="27" t="s">
        <v>275</v>
      </c>
      <c r="N137" s="27" t="s">
        <v>264</v>
      </c>
      <c r="O137" s="67">
        <f t="shared" si="9"/>
        <v>100.2</v>
      </c>
      <c r="P137" s="29">
        <v>2</v>
      </c>
      <c r="Q137" s="29"/>
      <c r="R137" s="29"/>
      <c r="S137" s="29"/>
      <c r="T137" s="29"/>
      <c r="U137" s="29">
        <v>0.1</v>
      </c>
      <c r="V137" s="29"/>
      <c r="W137" s="29">
        <v>0.1</v>
      </c>
      <c r="X137" s="29">
        <v>1</v>
      </c>
      <c r="Y137" s="29"/>
      <c r="Z137" s="29">
        <v>96</v>
      </c>
      <c r="AA137" s="29"/>
      <c r="AB137" s="29">
        <v>1</v>
      </c>
      <c r="AC137" s="29"/>
      <c r="AD137" s="29"/>
      <c r="AE137" s="29"/>
      <c r="AF137" s="29"/>
      <c r="AG137" s="29"/>
      <c r="AH137" s="29"/>
      <c r="AI137" s="29"/>
      <c r="AJ137" s="30"/>
      <c r="AK137" s="30"/>
      <c r="AL137" s="30"/>
      <c r="AM137" s="30"/>
      <c r="AN137" s="30"/>
      <c r="AO137" s="30"/>
      <c r="AP137" s="31"/>
      <c r="AQ137" s="31"/>
      <c r="AR137" s="31">
        <v>7</v>
      </c>
      <c r="AS137" s="31">
        <v>37</v>
      </c>
      <c r="AT137" s="31">
        <v>15</v>
      </c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2"/>
      <c r="BF137" s="32"/>
      <c r="BG137" s="32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4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L137" s="34"/>
      <c r="EM137" s="34"/>
      <c r="EN137" s="34"/>
      <c r="EO137" s="34"/>
      <c r="EP137" s="34"/>
      <c r="EQ137" s="34"/>
      <c r="ER137" s="34"/>
      <c r="ES137" s="33"/>
      <c r="ET137" s="34"/>
      <c r="EU137" s="34"/>
      <c r="EV137" s="34"/>
      <c r="EW137" s="35"/>
      <c r="EX137" s="35">
        <v>3</v>
      </c>
      <c r="EY137" s="35">
        <v>1</v>
      </c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>
        <v>6</v>
      </c>
      <c r="FL137" s="35"/>
      <c r="FM137" s="35"/>
    </row>
    <row r="138" spans="1:182" x14ac:dyDescent="0.25">
      <c r="A138" s="26" t="str">
        <f t="shared" si="10"/>
        <v>SH_M_1_E_08_2023</v>
      </c>
      <c r="B138" s="26" t="str">
        <f t="shared" si="11"/>
        <v>SH_M_1_E_08</v>
      </c>
      <c r="C138" s="26" t="str">
        <f t="shared" si="12"/>
        <v>SH_2023</v>
      </c>
      <c r="D138" s="27" t="s">
        <v>28</v>
      </c>
      <c r="E138" s="73">
        <v>45112</v>
      </c>
      <c r="F138" s="27">
        <v>2023</v>
      </c>
      <c r="G138" s="27" t="s">
        <v>295</v>
      </c>
      <c r="H138" s="27" t="s">
        <v>291</v>
      </c>
      <c r="I138" s="27">
        <v>8</v>
      </c>
      <c r="J138" s="27" t="s">
        <v>231</v>
      </c>
      <c r="K138" s="27">
        <v>1</v>
      </c>
      <c r="L138" s="27" t="s">
        <v>204</v>
      </c>
      <c r="M138" s="27" t="s">
        <v>272</v>
      </c>
      <c r="N138" s="27" t="s">
        <v>264</v>
      </c>
      <c r="O138" s="67">
        <f t="shared" si="9"/>
        <v>100.2</v>
      </c>
      <c r="P138" s="29">
        <v>3</v>
      </c>
      <c r="Q138" s="29">
        <v>18</v>
      </c>
      <c r="R138" s="29">
        <v>6</v>
      </c>
      <c r="S138" s="29"/>
      <c r="T138" s="29"/>
      <c r="U138" s="29">
        <v>0.1</v>
      </c>
      <c r="V138" s="29"/>
      <c r="W138" s="29">
        <v>0.1</v>
      </c>
      <c r="X138" s="29"/>
      <c r="Y138" s="29"/>
      <c r="Z138" s="29">
        <v>40</v>
      </c>
      <c r="AA138" s="29"/>
      <c r="AB138" s="29">
        <v>33</v>
      </c>
      <c r="AC138" s="29"/>
      <c r="AD138" s="29"/>
      <c r="AE138" s="29"/>
      <c r="AF138" s="29"/>
      <c r="AG138" s="29"/>
      <c r="AH138" s="29"/>
      <c r="AI138" s="29"/>
      <c r="AJ138" s="30"/>
      <c r="AK138" s="30"/>
      <c r="AL138" s="30"/>
      <c r="AM138" s="30"/>
      <c r="AN138" s="30"/>
      <c r="AO138" s="30"/>
      <c r="AP138" s="31"/>
      <c r="AQ138" s="31"/>
      <c r="AR138" s="31">
        <v>3</v>
      </c>
      <c r="AS138" s="31">
        <v>12</v>
      </c>
      <c r="AT138" s="31">
        <v>10</v>
      </c>
      <c r="AU138" s="31"/>
      <c r="AV138" s="31">
        <v>1</v>
      </c>
      <c r="AW138" s="31"/>
      <c r="AX138" s="31"/>
      <c r="AY138" s="31"/>
      <c r="AZ138" s="31"/>
      <c r="BA138" s="31"/>
      <c r="BB138" s="31"/>
      <c r="BC138" s="31">
        <v>2</v>
      </c>
      <c r="BD138" s="31"/>
      <c r="BE138" s="32"/>
      <c r="BF138" s="32"/>
      <c r="BG138" s="32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>
        <v>8</v>
      </c>
      <c r="CP138" s="33"/>
      <c r="CQ138" s="33"/>
      <c r="CR138" s="33"/>
      <c r="CS138" s="33"/>
      <c r="CT138" s="34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>
        <v>8</v>
      </c>
      <c r="DH138" s="33"/>
      <c r="DI138" s="33"/>
      <c r="DJ138" s="33"/>
      <c r="DK138" s="33"/>
      <c r="DL138" s="33"/>
      <c r="DM138" s="33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L138" s="34"/>
      <c r="EM138" s="34"/>
      <c r="EN138" s="34"/>
      <c r="EO138" s="34"/>
      <c r="EP138" s="34"/>
      <c r="EQ138" s="34"/>
      <c r="ER138" s="34"/>
      <c r="ES138" s="33"/>
      <c r="ET138" s="34"/>
      <c r="EU138" s="34"/>
      <c r="EV138" s="34"/>
      <c r="EW138" s="35"/>
      <c r="EX138" s="35">
        <v>3</v>
      </c>
      <c r="EY138" s="35">
        <v>1</v>
      </c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>
        <v>4</v>
      </c>
      <c r="FL138" s="35"/>
      <c r="FM138" s="35"/>
    </row>
    <row r="139" spans="1:182" x14ac:dyDescent="0.25">
      <c r="A139" s="26" t="str">
        <f t="shared" si="10"/>
        <v>SH_M_1_E_06_2023</v>
      </c>
      <c r="B139" s="26" t="str">
        <f t="shared" si="11"/>
        <v>SH_M_1_E_06</v>
      </c>
      <c r="C139" s="26" t="str">
        <f t="shared" si="12"/>
        <v>SH_2023</v>
      </c>
      <c r="D139" s="27" t="s">
        <v>28</v>
      </c>
      <c r="E139" s="73">
        <v>45112</v>
      </c>
      <c r="F139" s="27">
        <v>2023</v>
      </c>
      <c r="G139" s="27" t="s">
        <v>295</v>
      </c>
      <c r="H139" s="27" t="s">
        <v>291</v>
      </c>
      <c r="I139" s="27">
        <v>6</v>
      </c>
      <c r="J139" s="27" t="s">
        <v>231</v>
      </c>
      <c r="K139" s="27">
        <v>1</v>
      </c>
      <c r="L139" s="27" t="s">
        <v>204</v>
      </c>
      <c r="M139" s="27" t="s">
        <v>280</v>
      </c>
      <c r="N139" s="27" t="s">
        <v>264</v>
      </c>
      <c r="O139" s="67">
        <f t="shared" si="9"/>
        <v>100.3</v>
      </c>
      <c r="P139" s="29">
        <v>4</v>
      </c>
      <c r="Q139" s="29"/>
      <c r="R139" s="29"/>
      <c r="S139" s="29"/>
      <c r="T139" s="29"/>
      <c r="U139" s="29">
        <v>0.1</v>
      </c>
      <c r="V139" s="29"/>
      <c r="W139" s="29">
        <v>0.1</v>
      </c>
      <c r="X139" s="29">
        <v>6</v>
      </c>
      <c r="Y139" s="29">
        <v>2</v>
      </c>
      <c r="Z139" s="29">
        <v>88</v>
      </c>
      <c r="AA139" s="29"/>
      <c r="AB139" s="29">
        <v>0.1</v>
      </c>
      <c r="AC139" s="29"/>
      <c r="AD139" s="29"/>
      <c r="AE139" s="29"/>
      <c r="AF139" s="29"/>
      <c r="AG139" s="29"/>
      <c r="AH139" s="29"/>
      <c r="AI139" s="29"/>
      <c r="AJ139" s="30"/>
      <c r="AK139" s="30"/>
      <c r="AL139" s="30"/>
      <c r="AM139" s="30"/>
      <c r="AN139" s="30"/>
      <c r="AO139" s="30"/>
      <c r="AP139" s="31"/>
      <c r="AQ139" s="31"/>
      <c r="AR139" s="31"/>
      <c r="AS139" s="31">
        <v>43</v>
      </c>
      <c r="AT139" s="31">
        <v>5</v>
      </c>
      <c r="AU139" s="31">
        <v>27</v>
      </c>
      <c r="AV139" s="31"/>
      <c r="AW139" s="31"/>
      <c r="AX139" s="31"/>
      <c r="AY139" s="31"/>
      <c r="AZ139" s="31"/>
      <c r="BA139" s="31"/>
      <c r="BB139" s="31"/>
      <c r="BC139" s="31"/>
      <c r="BD139" s="31"/>
      <c r="BE139" s="32"/>
      <c r="BF139" s="32"/>
      <c r="BG139" s="32"/>
      <c r="CC139" s="33"/>
      <c r="CD139" s="33"/>
      <c r="CE139" s="33"/>
      <c r="CF139" s="33"/>
      <c r="CG139" s="33"/>
      <c r="CH139" s="33"/>
      <c r="CI139" s="33"/>
      <c r="CJ139" s="33"/>
      <c r="CK139" s="33">
        <v>1</v>
      </c>
      <c r="CL139" s="33"/>
      <c r="CM139" s="33"/>
      <c r="CN139" s="33"/>
      <c r="CO139" s="33"/>
      <c r="CP139" s="33"/>
      <c r="CQ139" s="33"/>
      <c r="CR139" s="33"/>
      <c r="CS139" s="33"/>
      <c r="CT139" s="34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L139" s="34"/>
      <c r="EM139" s="34"/>
      <c r="EN139" s="34"/>
      <c r="EO139" s="34"/>
      <c r="EP139" s="34"/>
      <c r="EQ139" s="34"/>
      <c r="ER139" s="34"/>
      <c r="ES139" s="33"/>
      <c r="ET139" s="34"/>
      <c r="EU139" s="34"/>
      <c r="EV139" s="34"/>
      <c r="EW139" s="35"/>
      <c r="EX139" s="35">
        <v>6</v>
      </c>
      <c r="EY139" s="35">
        <v>2</v>
      </c>
      <c r="EZ139" s="35"/>
      <c r="FA139" s="35"/>
      <c r="FB139" s="35"/>
      <c r="FC139" s="35"/>
      <c r="FD139" s="35"/>
      <c r="FE139" s="35"/>
      <c r="FF139" s="35"/>
      <c r="FG139" s="35"/>
      <c r="FH139" s="35">
        <v>3</v>
      </c>
      <c r="FI139" s="35"/>
      <c r="FJ139" s="35"/>
      <c r="FK139" s="35">
        <v>3</v>
      </c>
      <c r="FL139" s="35"/>
      <c r="FM139" s="35"/>
    </row>
    <row r="140" spans="1:182" x14ac:dyDescent="0.25">
      <c r="A140" s="26" t="str">
        <f t="shared" si="10"/>
        <v>SH_M_1_E_04_2023</v>
      </c>
      <c r="B140" s="26" t="str">
        <f t="shared" si="11"/>
        <v>SH_M_1_E_04</v>
      </c>
      <c r="C140" s="26" t="str">
        <f t="shared" si="12"/>
        <v>SH_2023</v>
      </c>
      <c r="D140" s="27" t="s">
        <v>28</v>
      </c>
      <c r="E140" s="73">
        <v>45112</v>
      </c>
      <c r="F140" s="27">
        <v>2023</v>
      </c>
      <c r="G140" s="27" t="s">
        <v>295</v>
      </c>
      <c r="H140" s="27" t="s">
        <v>291</v>
      </c>
      <c r="I140" s="27">
        <v>4</v>
      </c>
      <c r="J140" s="27" t="s">
        <v>231</v>
      </c>
      <c r="K140" s="27">
        <v>1</v>
      </c>
      <c r="L140" s="27" t="s">
        <v>204</v>
      </c>
      <c r="M140" s="27" t="s">
        <v>287</v>
      </c>
      <c r="N140" s="27" t="s">
        <v>264</v>
      </c>
      <c r="O140" s="67">
        <f t="shared" si="9"/>
        <v>100.19999999999999</v>
      </c>
      <c r="P140" s="29">
        <v>20</v>
      </c>
      <c r="Q140" s="29"/>
      <c r="R140" s="29"/>
      <c r="S140" s="29"/>
      <c r="T140" s="29"/>
      <c r="U140" s="29">
        <v>1</v>
      </c>
      <c r="V140" s="29"/>
      <c r="W140" s="29">
        <v>0.1</v>
      </c>
      <c r="X140" s="29">
        <v>1</v>
      </c>
      <c r="Y140" s="29">
        <v>5</v>
      </c>
      <c r="Z140" s="29">
        <v>72</v>
      </c>
      <c r="AA140" s="29">
        <v>0.1</v>
      </c>
      <c r="AB140" s="29">
        <v>1</v>
      </c>
      <c r="AC140" s="29"/>
      <c r="AD140" s="29"/>
      <c r="AE140" s="29"/>
      <c r="AF140" s="29"/>
      <c r="AG140" s="29"/>
      <c r="AH140" s="29"/>
      <c r="AI140" s="29"/>
      <c r="AJ140" s="30"/>
      <c r="AK140" s="30"/>
      <c r="AL140" s="30"/>
      <c r="AM140" s="30"/>
      <c r="AN140" s="30"/>
      <c r="AO140" s="30"/>
      <c r="AP140" s="31"/>
      <c r="AQ140" s="31"/>
      <c r="AR140" s="31"/>
      <c r="AS140" s="31">
        <v>45</v>
      </c>
      <c r="AT140" s="31">
        <v>15</v>
      </c>
      <c r="AU140" s="31">
        <v>21</v>
      </c>
      <c r="AV140" s="31"/>
      <c r="AW140" s="31"/>
      <c r="AX140" s="31"/>
      <c r="AY140" s="31"/>
      <c r="AZ140" s="31"/>
      <c r="BA140" s="31"/>
      <c r="BB140" s="31"/>
      <c r="BC140" s="31"/>
      <c r="BD140" s="31"/>
      <c r="BE140" s="32"/>
      <c r="BF140" s="32"/>
      <c r="BG140" s="32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>
        <v>2</v>
      </c>
      <c r="CP140" s="33"/>
      <c r="CQ140" s="33"/>
      <c r="CR140" s="33"/>
      <c r="CS140" s="33"/>
      <c r="CT140" s="34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L140" s="34"/>
      <c r="EM140" s="34"/>
      <c r="EN140" s="34"/>
      <c r="EO140" s="34"/>
      <c r="EP140" s="34"/>
      <c r="EQ140" s="34"/>
      <c r="ER140" s="34"/>
      <c r="ES140" s="33"/>
      <c r="ET140" s="34"/>
      <c r="EU140" s="34"/>
      <c r="EV140" s="34"/>
      <c r="EW140" s="35"/>
      <c r="EX140" s="35">
        <v>4</v>
      </c>
      <c r="EY140" s="35">
        <v>1</v>
      </c>
      <c r="EZ140" s="35"/>
      <c r="FA140" s="35"/>
      <c r="FB140" s="35"/>
      <c r="FC140" s="35"/>
      <c r="FD140" s="35"/>
      <c r="FE140" s="35"/>
      <c r="FF140" s="35"/>
      <c r="FG140" s="35"/>
      <c r="FH140" s="35">
        <v>1</v>
      </c>
      <c r="FI140" s="35"/>
      <c r="FJ140" s="35"/>
      <c r="FK140" s="35">
        <v>3</v>
      </c>
      <c r="FL140" s="35"/>
      <c r="FM140" s="35"/>
    </row>
    <row r="141" spans="1:182" x14ac:dyDescent="0.25">
      <c r="A141" s="26" t="str">
        <f t="shared" si="10"/>
        <v>SH_M_1_E_01_2023</v>
      </c>
      <c r="B141" s="26" t="str">
        <f t="shared" si="11"/>
        <v>SH_M_1_E_01</v>
      </c>
      <c r="C141" s="26" t="str">
        <f t="shared" si="12"/>
        <v>SH_2023</v>
      </c>
      <c r="D141" s="27" t="s">
        <v>28</v>
      </c>
      <c r="E141" s="73">
        <v>45112</v>
      </c>
      <c r="F141" s="27">
        <v>2023</v>
      </c>
      <c r="G141" s="27" t="s">
        <v>295</v>
      </c>
      <c r="H141" s="27" t="s">
        <v>291</v>
      </c>
      <c r="I141" s="27">
        <v>1</v>
      </c>
      <c r="J141" s="27" t="s">
        <v>231</v>
      </c>
      <c r="K141" s="27">
        <v>1</v>
      </c>
      <c r="L141" s="27" t="s">
        <v>204</v>
      </c>
      <c r="M141" s="27" t="s">
        <v>279</v>
      </c>
      <c r="N141" s="27" t="s">
        <v>264</v>
      </c>
      <c r="O141" s="67">
        <f t="shared" si="9"/>
        <v>100.2</v>
      </c>
      <c r="P141" s="29">
        <v>2</v>
      </c>
      <c r="Q141" s="29"/>
      <c r="R141" s="29"/>
      <c r="S141" s="29"/>
      <c r="T141" s="29"/>
      <c r="U141" s="29">
        <v>0.1</v>
      </c>
      <c r="V141" s="29"/>
      <c r="W141" s="29">
        <v>0.1</v>
      </c>
      <c r="X141" s="29"/>
      <c r="Y141" s="29">
        <v>1</v>
      </c>
      <c r="Z141" s="29">
        <v>97</v>
      </c>
      <c r="AA141" s="29"/>
      <c r="AB141" s="29"/>
      <c r="AC141" s="29"/>
      <c r="AD141" s="29"/>
      <c r="AE141" s="29"/>
      <c r="AF141" s="29"/>
      <c r="AG141" s="29"/>
      <c r="AH141" s="29"/>
      <c r="AI141" s="29"/>
      <c r="AJ141" s="30"/>
      <c r="AK141" s="30"/>
      <c r="AL141" s="30"/>
      <c r="AM141" s="30"/>
      <c r="AN141" s="30"/>
      <c r="AO141" s="30"/>
      <c r="AP141" s="31"/>
      <c r="AQ141" s="31"/>
      <c r="AR141" s="31"/>
      <c r="AS141" s="31">
        <v>60</v>
      </c>
      <c r="AT141" s="31">
        <v>3</v>
      </c>
      <c r="AU141" s="31">
        <v>18</v>
      </c>
      <c r="AV141" s="31"/>
      <c r="AW141" s="31"/>
      <c r="AX141" s="31"/>
      <c r="AY141" s="31"/>
      <c r="AZ141" s="31"/>
      <c r="BA141" s="31"/>
      <c r="BB141" s="31"/>
      <c r="BC141" s="31"/>
      <c r="BD141" s="31"/>
      <c r="BE141" s="32"/>
      <c r="BF141" s="32"/>
      <c r="BG141" s="32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4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L141" s="34"/>
      <c r="EM141" s="34"/>
      <c r="EN141" s="34"/>
      <c r="EO141" s="34"/>
      <c r="EP141" s="34"/>
      <c r="EQ141" s="34"/>
      <c r="ER141" s="34"/>
      <c r="ES141" s="33"/>
      <c r="ET141" s="34"/>
      <c r="EU141" s="34"/>
      <c r="EV141" s="34"/>
      <c r="EW141" s="35"/>
      <c r="EX141" s="35">
        <v>5</v>
      </c>
      <c r="EY141" s="35">
        <v>3</v>
      </c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>
        <v>1</v>
      </c>
      <c r="FL141" s="35"/>
      <c r="FM141" s="35"/>
    </row>
    <row r="142" spans="1:182" x14ac:dyDescent="0.25">
      <c r="A142" s="26" t="str">
        <f t="shared" si="10"/>
        <v>SH_H_1_E_01_2023</v>
      </c>
      <c r="B142" s="26" t="str">
        <f t="shared" si="11"/>
        <v>SH_H_1_E_01</v>
      </c>
      <c r="C142" s="26" t="str">
        <f t="shared" si="12"/>
        <v>SH_2023</v>
      </c>
      <c r="D142" s="27" t="s">
        <v>28</v>
      </c>
      <c r="E142" s="73">
        <v>45112</v>
      </c>
      <c r="F142" s="27">
        <v>2023</v>
      </c>
      <c r="G142" s="27" t="s">
        <v>295</v>
      </c>
      <c r="H142" s="27" t="s">
        <v>291</v>
      </c>
      <c r="I142" s="27">
        <v>1</v>
      </c>
      <c r="J142" s="27" t="s">
        <v>229</v>
      </c>
      <c r="K142" s="27">
        <v>1</v>
      </c>
      <c r="L142" s="27" t="s">
        <v>204</v>
      </c>
      <c r="M142" s="27" t="s">
        <v>279</v>
      </c>
      <c r="N142" s="27" t="s">
        <v>264</v>
      </c>
      <c r="O142" s="67">
        <f t="shared" si="9"/>
        <v>100.1</v>
      </c>
      <c r="P142" s="29">
        <v>69</v>
      </c>
      <c r="Q142" s="29"/>
      <c r="R142" s="29"/>
      <c r="S142" s="29"/>
      <c r="T142" s="29"/>
      <c r="U142" s="29">
        <v>25</v>
      </c>
      <c r="V142" s="29"/>
      <c r="W142" s="29">
        <v>4</v>
      </c>
      <c r="X142" s="29"/>
      <c r="Y142" s="29">
        <v>1</v>
      </c>
      <c r="Z142" s="29">
        <v>0.1</v>
      </c>
      <c r="AA142" s="29">
        <v>1</v>
      </c>
      <c r="AB142" s="29"/>
      <c r="AC142" s="29"/>
      <c r="AD142" s="29"/>
      <c r="AE142" s="29"/>
      <c r="AF142" s="29"/>
      <c r="AG142" s="29"/>
      <c r="AH142" s="29"/>
      <c r="AI142" s="29"/>
      <c r="AJ142" s="30"/>
      <c r="AK142" s="30"/>
      <c r="AL142" s="30"/>
      <c r="AM142" s="30"/>
      <c r="AN142" s="30"/>
      <c r="AO142" s="30"/>
      <c r="AP142" s="31"/>
      <c r="AQ142" s="31"/>
      <c r="AR142" s="31">
        <v>1</v>
      </c>
      <c r="AS142" s="31">
        <v>1</v>
      </c>
      <c r="AT142" s="31">
        <v>3</v>
      </c>
      <c r="AU142" s="31">
        <v>22</v>
      </c>
      <c r="AV142" s="31"/>
      <c r="AW142" s="31"/>
      <c r="AX142" s="31"/>
      <c r="AY142" s="31"/>
      <c r="AZ142" s="31"/>
      <c r="BA142" s="31"/>
      <c r="BB142" s="31"/>
      <c r="BC142" s="31"/>
      <c r="BD142" s="31"/>
      <c r="BE142" s="32"/>
      <c r="BF142" s="32"/>
      <c r="BG142" s="32"/>
      <c r="CC142" s="33"/>
      <c r="CD142" s="33"/>
      <c r="CE142" s="33"/>
      <c r="CF142" s="33"/>
      <c r="CG142" s="33"/>
      <c r="CH142" s="33"/>
      <c r="CI142" s="33"/>
      <c r="CJ142" s="33">
        <v>15</v>
      </c>
      <c r="CK142" s="33"/>
      <c r="CL142" s="33"/>
      <c r="CM142" s="33"/>
      <c r="CN142" s="33"/>
      <c r="CO142" s="33"/>
      <c r="CP142" s="33"/>
      <c r="CQ142" s="33"/>
      <c r="CR142" s="33"/>
      <c r="CS142" s="33"/>
      <c r="CT142" s="34">
        <v>1</v>
      </c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EL142" s="34"/>
      <c r="EM142" s="34"/>
      <c r="EN142" s="34"/>
      <c r="EO142" s="34"/>
      <c r="EP142" s="34"/>
      <c r="EQ142" s="34"/>
      <c r="ER142" s="34"/>
      <c r="ES142" s="33"/>
      <c r="ET142" s="34"/>
      <c r="EU142" s="34"/>
      <c r="EV142" s="34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</row>
    <row r="143" spans="1:182" x14ac:dyDescent="0.25">
      <c r="A143" s="26" t="str">
        <f t="shared" si="10"/>
        <v>SH_H_1_E_04_2023</v>
      </c>
      <c r="B143" s="26" t="str">
        <f t="shared" si="11"/>
        <v>SH_H_1_E_04</v>
      </c>
      <c r="C143" s="26" t="str">
        <f t="shared" si="12"/>
        <v>SH_2023</v>
      </c>
      <c r="D143" s="27" t="s">
        <v>28</v>
      </c>
      <c r="E143" s="73">
        <v>45112</v>
      </c>
      <c r="F143" s="27">
        <v>2023</v>
      </c>
      <c r="G143" s="27" t="s">
        <v>295</v>
      </c>
      <c r="H143" s="27" t="s">
        <v>291</v>
      </c>
      <c r="I143" s="27">
        <v>4</v>
      </c>
      <c r="J143" s="27" t="s">
        <v>229</v>
      </c>
      <c r="K143" s="27">
        <v>1</v>
      </c>
      <c r="L143" s="27" t="s">
        <v>204</v>
      </c>
      <c r="M143" s="7" t="s">
        <v>287</v>
      </c>
      <c r="N143" s="27" t="s">
        <v>264</v>
      </c>
      <c r="O143" s="67">
        <f t="shared" si="9"/>
        <v>100</v>
      </c>
      <c r="P143" s="29">
        <v>52</v>
      </c>
      <c r="Q143" s="29"/>
      <c r="R143" s="29"/>
      <c r="S143" s="29"/>
      <c r="T143" s="29"/>
      <c r="U143" s="29">
        <v>30</v>
      </c>
      <c r="V143" s="29"/>
      <c r="W143" s="29">
        <v>6</v>
      </c>
      <c r="X143" s="29"/>
      <c r="Y143" s="29">
        <v>2</v>
      </c>
      <c r="Z143" s="29">
        <v>3</v>
      </c>
      <c r="AA143" s="29">
        <v>4</v>
      </c>
      <c r="AB143" s="29"/>
      <c r="AC143" s="29">
        <v>3</v>
      </c>
      <c r="AD143" s="29"/>
      <c r="AE143" s="29"/>
      <c r="AF143" s="29"/>
      <c r="AG143" s="29"/>
      <c r="AH143" s="29"/>
      <c r="AI143" s="29"/>
      <c r="AJ143" s="30"/>
      <c r="AS143" s="31">
        <v>17</v>
      </c>
      <c r="AT143" s="31">
        <v>5</v>
      </c>
      <c r="AU143" s="31">
        <v>39</v>
      </c>
      <c r="AV143" s="31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4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EL143" s="34"/>
      <c r="EM143" s="34"/>
      <c r="EN143" s="34"/>
      <c r="EO143" s="34"/>
      <c r="EP143" s="34"/>
      <c r="EQ143" s="34"/>
      <c r="ER143" s="34"/>
      <c r="ES143" s="33"/>
      <c r="ET143" s="34"/>
      <c r="EU143" s="34"/>
      <c r="EV143" s="34"/>
      <c r="EW143" s="35"/>
      <c r="EX143" s="35">
        <v>1</v>
      </c>
      <c r="EY143" s="35">
        <v>0.1</v>
      </c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</row>
    <row r="144" spans="1:182" x14ac:dyDescent="0.25">
      <c r="A144" s="26" t="str">
        <f t="shared" si="10"/>
        <v>SH_H_1_E_07_2023</v>
      </c>
      <c r="B144" s="26" t="str">
        <f t="shared" si="11"/>
        <v>SH_H_1_E_07</v>
      </c>
      <c r="C144" s="26" t="str">
        <f t="shared" si="12"/>
        <v>SH_2023</v>
      </c>
      <c r="D144" s="27" t="s">
        <v>28</v>
      </c>
      <c r="E144" s="73">
        <v>45112</v>
      </c>
      <c r="F144" s="27">
        <v>2023</v>
      </c>
      <c r="G144" s="27" t="s">
        <v>295</v>
      </c>
      <c r="H144" s="27" t="s">
        <v>291</v>
      </c>
      <c r="I144" s="27">
        <v>7</v>
      </c>
      <c r="J144" s="27" t="s">
        <v>229</v>
      </c>
      <c r="K144" s="27">
        <v>1</v>
      </c>
      <c r="L144" s="27" t="s">
        <v>204</v>
      </c>
      <c r="M144" s="7" t="s">
        <v>274</v>
      </c>
      <c r="N144" s="27" t="s">
        <v>264</v>
      </c>
      <c r="O144" s="67">
        <f t="shared" si="9"/>
        <v>100</v>
      </c>
      <c r="P144" s="29">
        <v>80</v>
      </c>
      <c r="Q144" s="29"/>
      <c r="R144" s="29"/>
      <c r="S144" s="29"/>
      <c r="T144" s="29"/>
      <c r="U144" s="29">
        <v>8</v>
      </c>
      <c r="V144" s="29"/>
      <c r="W144" s="29">
        <v>2</v>
      </c>
      <c r="X144" s="29"/>
      <c r="Y144" s="29">
        <v>1</v>
      </c>
      <c r="Z144" s="29">
        <v>1</v>
      </c>
      <c r="AA144" s="29">
        <v>6</v>
      </c>
      <c r="AB144" s="29"/>
      <c r="AC144" s="29">
        <v>2</v>
      </c>
      <c r="AD144" s="29"/>
      <c r="AE144" s="29"/>
      <c r="AF144" s="29"/>
      <c r="AG144" s="29"/>
      <c r="AH144" s="29"/>
      <c r="AI144" s="29"/>
      <c r="AJ144" s="30"/>
      <c r="AS144" s="31">
        <v>7</v>
      </c>
      <c r="AT144" s="31">
        <v>7</v>
      </c>
      <c r="AU144" s="31">
        <v>76</v>
      </c>
      <c r="AV144" s="31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>
        <v>25</v>
      </c>
      <c r="CP144" s="33">
        <v>0.1</v>
      </c>
      <c r="CQ144" s="33"/>
      <c r="CR144" s="33"/>
      <c r="CS144" s="33"/>
      <c r="CT144" s="34">
        <v>1</v>
      </c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EL144" s="34"/>
      <c r="EM144" s="34"/>
      <c r="EN144" s="34"/>
      <c r="EO144" s="34"/>
      <c r="EP144" s="34"/>
      <c r="EQ144" s="34"/>
      <c r="ER144" s="34"/>
      <c r="ES144" s="33"/>
      <c r="ET144" s="34"/>
      <c r="EU144" s="34"/>
      <c r="EV144" s="34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</row>
    <row r="145" spans="1:169" x14ac:dyDescent="0.25">
      <c r="A145" s="26" t="str">
        <f t="shared" si="10"/>
        <v>SH_H_1_E_09_2023</v>
      </c>
      <c r="B145" s="26" t="str">
        <f t="shared" si="11"/>
        <v>SH_H_1_E_09</v>
      </c>
      <c r="C145" s="26" t="str">
        <f t="shared" si="12"/>
        <v>SH_2023</v>
      </c>
      <c r="D145" s="27" t="s">
        <v>28</v>
      </c>
      <c r="E145" s="73">
        <v>45112</v>
      </c>
      <c r="F145" s="27">
        <v>2023</v>
      </c>
      <c r="G145" s="27" t="s">
        <v>295</v>
      </c>
      <c r="H145" s="27" t="s">
        <v>291</v>
      </c>
      <c r="I145" s="27">
        <v>9</v>
      </c>
      <c r="J145" s="27" t="s">
        <v>229</v>
      </c>
      <c r="K145" s="27">
        <v>1</v>
      </c>
      <c r="L145" s="27" t="s">
        <v>204</v>
      </c>
      <c r="M145" s="7" t="s">
        <v>273</v>
      </c>
      <c r="N145" s="27" t="s">
        <v>264</v>
      </c>
      <c r="O145" s="67">
        <f t="shared" si="9"/>
        <v>100.1</v>
      </c>
      <c r="P145" s="29">
        <v>14</v>
      </c>
      <c r="Q145" s="29"/>
      <c r="R145" s="29"/>
      <c r="S145" s="29"/>
      <c r="T145" s="29"/>
      <c r="U145" s="29">
        <v>83</v>
      </c>
      <c r="V145" s="29"/>
      <c r="W145" s="29">
        <v>3</v>
      </c>
      <c r="X145" s="29"/>
      <c r="Y145" s="29"/>
      <c r="Z145" s="29"/>
      <c r="AA145" s="29"/>
      <c r="AB145" s="29"/>
      <c r="AC145" s="29">
        <v>0.1</v>
      </c>
      <c r="AD145" s="29"/>
      <c r="AE145" s="29"/>
      <c r="AF145" s="29"/>
      <c r="AG145" s="29"/>
      <c r="AH145" s="29"/>
      <c r="AI145" s="29"/>
      <c r="AJ145" s="30"/>
      <c r="AS145" s="31">
        <v>2</v>
      </c>
      <c r="AT145" s="31">
        <v>5</v>
      </c>
      <c r="AU145" s="31">
        <v>95</v>
      </c>
      <c r="AV145" s="31"/>
      <c r="CC145" s="33"/>
      <c r="CD145" s="33"/>
      <c r="CE145" s="33"/>
      <c r="CF145" s="33"/>
      <c r="CG145" s="33"/>
      <c r="CH145" s="33"/>
      <c r="CI145" s="33"/>
      <c r="CJ145" s="33">
        <v>33</v>
      </c>
      <c r="CK145" s="33"/>
      <c r="CL145" s="33"/>
      <c r="CM145" s="33"/>
      <c r="CN145" s="33"/>
      <c r="CO145" s="33">
        <v>10</v>
      </c>
      <c r="CP145" s="33"/>
      <c r="CQ145" s="33"/>
      <c r="CR145" s="33"/>
      <c r="CS145" s="33"/>
      <c r="CT145" s="34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EL145" s="34"/>
      <c r="EM145" s="34"/>
      <c r="EN145" s="34"/>
      <c r="EO145" s="34"/>
      <c r="EP145" s="34"/>
      <c r="EQ145" s="34"/>
      <c r="ER145" s="34"/>
      <c r="ES145" s="33"/>
      <c r="ET145" s="34"/>
      <c r="EU145" s="34"/>
      <c r="EV145" s="34"/>
      <c r="EW145" s="35"/>
      <c r="EX145" s="35"/>
      <c r="EY145" s="35"/>
      <c r="EZ145" s="35">
        <v>0.1</v>
      </c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</row>
    <row r="146" spans="1:169" x14ac:dyDescent="0.25">
      <c r="A146" s="26" t="str">
        <f t="shared" si="10"/>
        <v>YB_L_2_E_01_2023</v>
      </c>
      <c r="B146" s="26" t="str">
        <f t="shared" si="11"/>
        <v>YB_L_2_E_01</v>
      </c>
      <c r="C146" s="6" t="str">
        <f t="shared" si="12"/>
        <v>YB_2023</v>
      </c>
      <c r="D146" s="68" t="s">
        <v>29</v>
      </c>
      <c r="E146" s="78">
        <v>45111</v>
      </c>
      <c r="F146" s="68">
        <v>2023</v>
      </c>
      <c r="G146" s="68" t="s">
        <v>296</v>
      </c>
      <c r="H146" s="68" t="s">
        <v>297</v>
      </c>
      <c r="I146" s="68">
        <v>1</v>
      </c>
      <c r="J146" s="68" t="s">
        <v>230</v>
      </c>
      <c r="K146" s="68">
        <v>2</v>
      </c>
      <c r="L146" s="27" t="s">
        <v>204</v>
      </c>
      <c r="M146" s="68"/>
      <c r="N146" s="27" t="s">
        <v>264</v>
      </c>
      <c r="O146" s="67">
        <f t="shared" si="9"/>
        <v>100</v>
      </c>
      <c r="P146" s="69">
        <v>29</v>
      </c>
      <c r="Q146" s="69"/>
      <c r="R146" s="69"/>
      <c r="S146" s="69"/>
      <c r="T146" s="69"/>
      <c r="U146" s="69"/>
      <c r="V146" s="69"/>
      <c r="W146" s="69">
        <v>15</v>
      </c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>
        <v>56</v>
      </c>
      <c r="AI146" s="69"/>
      <c r="AJ146" s="70"/>
      <c r="AK146" s="70"/>
      <c r="AL146" s="70"/>
      <c r="AM146" s="70"/>
      <c r="AN146" s="70"/>
      <c r="AO146" s="70"/>
      <c r="AP146" s="71"/>
      <c r="AQ146" s="71"/>
      <c r="AR146" s="71"/>
      <c r="AS146" s="71"/>
      <c r="AT146" s="71">
        <v>1</v>
      </c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4"/>
      <c r="CU146" s="33"/>
      <c r="CV146" s="33"/>
      <c r="CW146" s="33">
        <v>0.1</v>
      </c>
      <c r="CX146" s="33"/>
      <c r="CY146" s="33"/>
      <c r="CZ146" s="33"/>
      <c r="DA146" s="33">
        <v>0.1</v>
      </c>
      <c r="DB146" s="33">
        <v>56</v>
      </c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EL146" s="34"/>
      <c r="EM146" s="34"/>
      <c r="EN146" s="34"/>
      <c r="EO146" s="34"/>
      <c r="EP146" s="34"/>
      <c r="EQ146" s="34"/>
      <c r="ER146" s="34"/>
      <c r="ES146" s="33"/>
      <c r="ET146" s="34"/>
      <c r="EU146" s="34"/>
      <c r="EV146" s="34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</row>
    <row r="147" spans="1:169" x14ac:dyDescent="0.25">
      <c r="A147" s="26" t="str">
        <f t="shared" si="10"/>
        <v>YB_L_2_E_02_2023</v>
      </c>
      <c r="B147" s="26" t="str">
        <f t="shared" si="11"/>
        <v>YB_L_2_E_02</v>
      </c>
      <c r="C147" s="6" t="str">
        <f t="shared" si="12"/>
        <v>YB_2023</v>
      </c>
      <c r="D147" s="68" t="s">
        <v>29</v>
      </c>
      <c r="E147" s="78">
        <v>45111</v>
      </c>
      <c r="F147" s="68">
        <v>2023</v>
      </c>
      <c r="G147" s="68" t="s">
        <v>296</v>
      </c>
      <c r="H147" s="68" t="s">
        <v>297</v>
      </c>
      <c r="I147" s="68">
        <v>2</v>
      </c>
      <c r="J147" s="68" t="s">
        <v>230</v>
      </c>
      <c r="K147" s="68">
        <v>2</v>
      </c>
      <c r="L147" s="27" t="s">
        <v>204</v>
      </c>
      <c r="M147" s="68"/>
      <c r="N147" s="27" t="s">
        <v>264</v>
      </c>
      <c r="O147" s="67">
        <f t="shared" si="9"/>
        <v>100.1</v>
      </c>
      <c r="P147" s="69"/>
      <c r="Q147" s="69">
        <v>13</v>
      </c>
      <c r="R147" s="69"/>
      <c r="S147" s="69"/>
      <c r="T147" s="69"/>
      <c r="U147" s="69"/>
      <c r="V147" s="69"/>
      <c r="W147" s="69">
        <v>7</v>
      </c>
      <c r="X147" s="69">
        <v>0.1</v>
      </c>
      <c r="Y147" s="69"/>
      <c r="Z147" s="69"/>
      <c r="AA147" s="69"/>
      <c r="AB147" s="69"/>
      <c r="AC147" s="69">
        <v>1</v>
      </c>
      <c r="AD147" s="69"/>
      <c r="AE147" s="69"/>
      <c r="AF147" s="69"/>
      <c r="AG147" s="69"/>
      <c r="AH147" s="69">
        <v>79</v>
      </c>
      <c r="AI147" s="69"/>
      <c r="AJ147" s="70"/>
      <c r="AK147" s="70"/>
      <c r="AL147" s="70"/>
      <c r="AM147" s="70"/>
      <c r="AN147" s="70"/>
      <c r="AO147" s="70"/>
      <c r="AP147" s="71"/>
      <c r="AQ147" s="71">
        <v>1</v>
      </c>
      <c r="AR147" s="71">
        <v>3</v>
      </c>
      <c r="AS147" s="71"/>
      <c r="AT147" s="71">
        <v>26</v>
      </c>
      <c r="AU147" s="71">
        <v>1</v>
      </c>
      <c r="AV147" s="71"/>
      <c r="AW147" s="71"/>
      <c r="AX147" s="71"/>
      <c r="AY147" s="71"/>
      <c r="AZ147" s="71"/>
      <c r="BA147" s="71"/>
      <c r="BB147" s="71"/>
      <c r="BC147" s="71"/>
      <c r="BD147" s="71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4"/>
      <c r="CU147" s="33"/>
      <c r="CV147" s="33"/>
      <c r="CW147" s="33"/>
      <c r="CX147" s="33"/>
      <c r="CY147" s="33"/>
      <c r="CZ147" s="33"/>
      <c r="DA147" s="33"/>
      <c r="DB147" s="33">
        <v>79</v>
      </c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EL147" s="34"/>
      <c r="EM147" s="34"/>
      <c r="EN147" s="34"/>
      <c r="EO147" s="34"/>
      <c r="EP147" s="34"/>
      <c r="EQ147" s="34"/>
      <c r="ER147" s="34"/>
      <c r="ES147" s="33"/>
      <c r="ET147" s="34"/>
      <c r="EU147" s="34"/>
      <c r="EV147" s="34"/>
      <c r="EW147" s="35"/>
      <c r="EX147" s="35"/>
      <c r="EY147" s="35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</row>
    <row r="148" spans="1:169" x14ac:dyDescent="0.25">
      <c r="A148" s="26" t="str">
        <f t="shared" si="10"/>
        <v>YB_L_2_E_03_2023</v>
      </c>
      <c r="B148" s="26" t="str">
        <f t="shared" si="11"/>
        <v>YB_L_2_E_03</v>
      </c>
      <c r="C148" s="6" t="str">
        <f t="shared" si="12"/>
        <v>YB_2023</v>
      </c>
      <c r="D148" s="68" t="s">
        <v>29</v>
      </c>
      <c r="E148" s="78">
        <v>45111</v>
      </c>
      <c r="F148" s="68">
        <v>2023</v>
      </c>
      <c r="G148" s="68" t="s">
        <v>296</v>
      </c>
      <c r="H148" s="68" t="s">
        <v>297</v>
      </c>
      <c r="I148" s="68">
        <v>3</v>
      </c>
      <c r="J148" s="68" t="s">
        <v>230</v>
      </c>
      <c r="K148" s="68">
        <v>2</v>
      </c>
      <c r="L148" s="27" t="s">
        <v>204</v>
      </c>
      <c r="M148" s="68"/>
      <c r="N148" s="27" t="s">
        <v>264</v>
      </c>
      <c r="O148" s="67">
        <f t="shared" si="9"/>
        <v>100</v>
      </c>
      <c r="P148" s="69"/>
      <c r="Q148" s="69">
        <v>33</v>
      </c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>
        <v>1</v>
      </c>
      <c r="AD148" s="69"/>
      <c r="AE148" s="69"/>
      <c r="AF148" s="69"/>
      <c r="AG148" s="69"/>
      <c r="AH148" s="69">
        <v>65</v>
      </c>
      <c r="AI148" s="69">
        <v>1</v>
      </c>
      <c r="AJ148" s="70"/>
      <c r="AK148" s="70"/>
      <c r="AL148" s="70"/>
      <c r="AM148" s="70"/>
      <c r="AN148" s="70"/>
      <c r="AO148" s="70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CC148" s="33"/>
      <c r="CD148" s="33"/>
      <c r="CE148" s="33"/>
      <c r="CF148" s="33">
        <v>2</v>
      </c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4"/>
      <c r="CU148" s="33"/>
      <c r="CV148" s="33"/>
      <c r="CW148" s="33"/>
      <c r="CX148" s="33"/>
      <c r="CY148" s="33"/>
      <c r="CZ148" s="33"/>
      <c r="DA148" s="33"/>
      <c r="DB148" s="33">
        <v>77</v>
      </c>
      <c r="DC148" s="33"/>
      <c r="DD148" s="33"/>
      <c r="DE148" s="33"/>
      <c r="DF148" s="33"/>
      <c r="DG148" s="33"/>
      <c r="DH148" s="33"/>
      <c r="DI148" s="33"/>
      <c r="DJ148" s="33">
        <v>8</v>
      </c>
      <c r="DK148" s="33"/>
      <c r="DL148" s="33"/>
      <c r="DM148" s="33"/>
      <c r="EL148" s="34"/>
      <c r="EM148" s="34"/>
      <c r="EN148" s="34"/>
      <c r="EO148" s="34"/>
      <c r="EP148" s="34"/>
      <c r="EQ148" s="34"/>
      <c r="ER148" s="34"/>
      <c r="ES148" s="33"/>
      <c r="ET148" s="34"/>
      <c r="EU148" s="34"/>
      <c r="EV148" s="34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</row>
    <row r="149" spans="1:169" x14ac:dyDescent="0.25">
      <c r="A149" s="26" t="str">
        <f t="shared" si="10"/>
        <v>YB_L_2_E_04_2023</v>
      </c>
      <c r="B149" s="26" t="str">
        <f t="shared" si="11"/>
        <v>YB_L_2_E_04</v>
      </c>
      <c r="C149" s="6" t="str">
        <f t="shared" si="12"/>
        <v>YB_2023</v>
      </c>
      <c r="D149" s="68" t="s">
        <v>29</v>
      </c>
      <c r="E149" s="78">
        <v>45111</v>
      </c>
      <c r="F149" s="68">
        <v>2023</v>
      </c>
      <c r="G149" s="68" t="s">
        <v>296</v>
      </c>
      <c r="H149" s="68" t="s">
        <v>297</v>
      </c>
      <c r="I149" s="68">
        <v>4</v>
      </c>
      <c r="J149" s="68" t="s">
        <v>230</v>
      </c>
      <c r="K149" s="68">
        <v>2</v>
      </c>
      <c r="L149" s="27" t="s">
        <v>204</v>
      </c>
      <c r="M149" s="68"/>
      <c r="N149" s="27" t="s">
        <v>264</v>
      </c>
      <c r="O149" s="67">
        <f t="shared" si="9"/>
        <v>100.2</v>
      </c>
      <c r="P149" s="69">
        <v>23</v>
      </c>
      <c r="Q149" s="69"/>
      <c r="R149" s="69"/>
      <c r="S149" s="69"/>
      <c r="T149" s="69"/>
      <c r="U149" s="69">
        <v>0.1</v>
      </c>
      <c r="V149" s="69"/>
      <c r="W149" s="69">
        <v>20</v>
      </c>
      <c r="X149" s="69">
        <v>3</v>
      </c>
      <c r="Y149" s="69">
        <v>0.1</v>
      </c>
      <c r="Z149" s="69"/>
      <c r="AA149" s="69"/>
      <c r="AB149" s="69"/>
      <c r="AC149" s="69">
        <v>2</v>
      </c>
      <c r="AD149" s="69"/>
      <c r="AE149" s="69"/>
      <c r="AF149" s="69"/>
      <c r="AG149" s="69"/>
      <c r="AH149" s="69">
        <v>51</v>
      </c>
      <c r="AI149" s="69">
        <v>1</v>
      </c>
      <c r="AJ149" s="70"/>
      <c r="AK149" s="70"/>
      <c r="AL149" s="70"/>
      <c r="AM149" s="70"/>
      <c r="AN149" s="70"/>
      <c r="AO149" s="70"/>
      <c r="AP149" s="71"/>
      <c r="AQ149" s="71">
        <v>5</v>
      </c>
      <c r="AR149" s="71">
        <v>3</v>
      </c>
      <c r="AS149" s="71">
        <v>2</v>
      </c>
      <c r="AT149" s="71">
        <v>67</v>
      </c>
      <c r="AU149" s="71">
        <v>6</v>
      </c>
      <c r="AV149" s="71"/>
      <c r="AW149" s="71"/>
      <c r="AX149" s="71">
        <v>1</v>
      </c>
      <c r="AY149" s="71"/>
      <c r="AZ149" s="71"/>
      <c r="BA149" s="71"/>
      <c r="BB149" s="71"/>
      <c r="BC149" s="71"/>
      <c r="BD149" s="71"/>
      <c r="CC149" s="33"/>
      <c r="CD149" s="33">
        <v>12</v>
      </c>
      <c r="CE149" s="33"/>
      <c r="CF149" s="33">
        <v>12</v>
      </c>
      <c r="CG149" s="33"/>
      <c r="CH149" s="33"/>
      <c r="CI149" s="33"/>
      <c r="CJ149" s="33"/>
      <c r="CK149" s="33"/>
      <c r="CL149" s="33"/>
      <c r="CM149" s="33">
        <v>1</v>
      </c>
      <c r="CN149" s="33"/>
      <c r="CO149" s="33"/>
      <c r="CP149" s="33"/>
      <c r="CQ149" s="33"/>
      <c r="CR149" s="33"/>
      <c r="CS149" s="33"/>
      <c r="CT149" s="34"/>
      <c r="CU149" s="33"/>
      <c r="CV149" s="33"/>
      <c r="CW149" s="33">
        <v>0.1</v>
      </c>
      <c r="CX149" s="33"/>
      <c r="CY149" s="33"/>
      <c r="CZ149" s="33">
        <v>12</v>
      </c>
      <c r="DA149" s="33">
        <v>5</v>
      </c>
      <c r="DB149" s="33">
        <v>16</v>
      </c>
      <c r="DC149" s="33"/>
      <c r="DD149" s="33"/>
      <c r="DE149" s="33"/>
      <c r="DF149" s="33"/>
      <c r="DG149" s="33"/>
      <c r="DH149" s="33"/>
      <c r="DI149" s="33"/>
      <c r="DJ149" s="33">
        <v>0.1</v>
      </c>
      <c r="DK149" s="33"/>
      <c r="DL149" s="33"/>
      <c r="DM149" s="33"/>
    </row>
    <row r="150" spans="1:169" x14ac:dyDescent="0.25">
      <c r="A150" s="26" t="str">
        <f t="shared" si="10"/>
        <v>YB_L_2_E_05_2023</v>
      </c>
      <c r="B150" s="26" t="str">
        <f t="shared" si="11"/>
        <v>YB_L_2_E_05</v>
      </c>
      <c r="C150" s="6" t="str">
        <f t="shared" si="12"/>
        <v>YB_2023</v>
      </c>
      <c r="D150" s="68" t="s">
        <v>29</v>
      </c>
      <c r="E150" s="78">
        <v>45111</v>
      </c>
      <c r="F150" s="68">
        <v>2023</v>
      </c>
      <c r="G150" s="68" t="s">
        <v>296</v>
      </c>
      <c r="H150" s="68" t="s">
        <v>297</v>
      </c>
      <c r="I150" s="68">
        <v>5</v>
      </c>
      <c r="J150" s="68" t="s">
        <v>230</v>
      </c>
      <c r="K150" s="68">
        <v>2</v>
      </c>
      <c r="L150" s="27" t="s">
        <v>204</v>
      </c>
      <c r="M150" s="68"/>
      <c r="N150" s="27" t="s">
        <v>264</v>
      </c>
      <c r="O150" s="67">
        <f t="shared" si="9"/>
        <v>100</v>
      </c>
      <c r="P150" s="69">
        <v>36</v>
      </c>
      <c r="Q150" s="69">
        <v>4</v>
      </c>
      <c r="R150" s="69"/>
      <c r="S150" s="69"/>
      <c r="T150" s="69"/>
      <c r="U150" s="69">
        <v>1</v>
      </c>
      <c r="V150" s="69"/>
      <c r="W150" s="69">
        <v>11</v>
      </c>
      <c r="X150" s="69">
        <v>1</v>
      </c>
      <c r="Y150" s="69"/>
      <c r="Z150" s="69"/>
      <c r="AA150" s="69"/>
      <c r="AB150" s="69"/>
      <c r="AC150" s="69">
        <v>6</v>
      </c>
      <c r="AD150" s="69"/>
      <c r="AE150" s="69"/>
      <c r="AF150" s="69"/>
      <c r="AG150" s="69"/>
      <c r="AH150" s="69">
        <v>26</v>
      </c>
      <c r="AI150" s="69">
        <v>15</v>
      </c>
      <c r="AJ150" s="70"/>
      <c r="AK150" s="70"/>
      <c r="AL150" s="70"/>
      <c r="AM150" s="70"/>
      <c r="AN150" s="70"/>
      <c r="AO150" s="70"/>
      <c r="AP150" s="71"/>
      <c r="AQ150" s="71">
        <v>1</v>
      </c>
      <c r="AR150" s="71"/>
      <c r="AS150" s="71"/>
      <c r="AT150" s="71">
        <v>22</v>
      </c>
      <c r="AU150" s="71">
        <v>1</v>
      </c>
      <c r="AV150" s="71"/>
      <c r="AW150" s="71"/>
      <c r="AX150" s="71"/>
      <c r="AY150" s="71"/>
      <c r="AZ150" s="71"/>
      <c r="BA150" s="71"/>
      <c r="BB150" s="71"/>
      <c r="BC150" s="71"/>
      <c r="BD150" s="71"/>
      <c r="CC150" s="79"/>
      <c r="CD150" s="79">
        <v>8</v>
      </c>
      <c r="CE150" s="79"/>
      <c r="CF150" s="79">
        <v>2</v>
      </c>
      <c r="CG150" s="79"/>
      <c r="CH150" s="79"/>
      <c r="CI150" s="79"/>
      <c r="CJ150" s="79"/>
      <c r="CK150" s="79"/>
      <c r="CL150" s="79"/>
      <c r="CM150" s="79">
        <v>9</v>
      </c>
      <c r="CN150" s="79"/>
      <c r="CO150" s="79"/>
      <c r="CP150" s="79"/>
      <c r="CQ150" s="79"/>
      <c r="CR150" s="79"/>
      <c r="CS150" s="79"/>
      <c r="CT150" s="80">
        <v>6</v>
      </c>
      <c r="CU150" s="79"/>
      <c r="CV150" s="79"/>
      <c r="CW150" s="79"/>
      <c r="CX150" s="79"/>
      <c r="CY150" s="79"/>
      <c r="CZ150" s="79"/>
      <c r="DA150" s="79">
        <v>13</v>
      </c>
      <c r="DB150" s="79"/>
      <c r="DC150" s="79"/>
      <c r="DD150" s="79"/>
      <c r="DE150" s="79"/>
      <c r="DF150" s="79"/>
      <c r="DG150" s="79"/>
      <c r="DH150" s="79"/>
      <c r="DI150" s="79"/>
      <c r="DJ150" s="79">
        <v>10</v>
      </c>
      <c r="DK150" s="79"/>
      <c r="DL150" s="79"/>
      <c r="DM150" s="79"/>
    </row>
    <row r="151" spans="1:169" x14ac:dyDescent="0.25">
      <c r="A151" s="26" t="str">
        <f t="shared" si="10"/>
        <v>YB_L_3_E_01_2023</v>
      </c>
      <c r="B151" s="26" t="str">
        <f t="shared" si="11"/>
        <v>YB_L_3_E_01</v>
      </c>
      <c r="C151" s="6" t="str">
        <f t="shared" si="12"/>
        <v>YB_2023</v>
      </c>
      <c r="D151" s="68" t="s">
        <v>29</v>
      </c>
      <c r="E151" s="78">
        <v>45111</v>
      </c>
      <c r="F151" s="68">
        <v>2023</v>
      </c>
      <c r="G151" s="68" t="s">
        <v>296</v>
      </c>
      <c r="H151" s="68" t="s">
        <v>297</v>
      </c>
      <c r="I151" s="68">
        <v>1</v>
      </c>
      <c r="J151" s="68" t="s">
        <v>230</v>
      </c>
      <c r="K151" s="68">
        <v>3</v>
      </c>
      <c r="L151" s="27" t="s">
        <v>204</v>
      </c>
      <c r="M151" s="68"/>
      <c r="N151" s="27" t="s">
        <v>264</v>
      </c>
      <c r="O151" s="67">
        <f t="shared" si="9"/>
        <v>100</v>
      </c>
      <c r="P151" s="69">
        <v>58</v>
      </c>
      <c r="Q151" s="69"/>
      <c r="R151" s="69">
        <v>2</v>
      </c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>
        <v>24</v>
      </c>
      <c r="AE151" s="69">
        <v>4</v>
      </c>
      <c r="AF151" s="69"/>
      <c r="AG151" s="69"/>
      <c r="AH151" s="69"/>
      <c r="AI151" s="69">
        <v>11</v>
      </c>
      <c r="AJ151" s="70">
        <v>1</v>
      </c>
      <c r="AK151" s="70"/>
      <c r="AL151" s="70"/>
      <c r="AM151" s="70"/>
      <c r="AN151" s="70"/>
      <c r="AO151" s="70"/>
      <c r="AP151" s="71"/>
      <c r="AQ151" s="71"/>
      <c r="AR151" s="71"/>
      <c r="AS151" s="71"/>
      <c r="AT151" s="71">
        <v>1</v>
      </c>
      <c r="AU151" s="71"/>
      <c r="AV151" s="71">
        <v>1</v>
      </c>
      <c r="AW151" s="71">
        <v>3</v>
      </c>
      <c r="AX151" s="71"/>
      <c r="AY151" s="71"/>
      <c r="AZ151" s="71"/>
      <c r="BA151" s="71">
        <v>2</v>
      </c>
      <c r="BB151" s="71"/>
      <c r="BC151" s="71"/>
      <c r="BD151" s="71"/>
      <c r="BM151" s="13">
        <v>3</v>
      </c>
      <c r="CC151" s="79"/>
      <c r="CD151" s="79"/>
      <c r="CE151" s="79"/>
      <c r="CF151" s="79">
        <v>73</v>
      </c>
      <c r="CG151" s="79"/>
      <c r="CH151" s="79"/>
      <c r="CI151" s="79"/>
      <c r="CJ151" s="79"/>
      <c r="CK151" s="79">
        <v>35</v>
      </c>
      <c r="CL151" s="79">
        <v>4</v>
      </c>
      <c r="CM151" s="79">
        <v>7</v>
      </c>
      <c r="CN151" s="79"/>
      <c r="CO151" s="79"/>
      <c r="CP151" s="79"/>
      <c r="CQ151" s="79"/>
      <c r="CR151" s="79"/>
      <c r="CS151" s="79"/>
      <c r="CT151" s="80"/>
      <c r="CU151" s="79"/>
      <c r="CV151" s="79"/>
      <c r="CW151" s="79"/>
      <c r="CX151" s="79"/>
      <c r="CY151" s="79"/>
      <c r="CZ151" s="79"/>
      <c r="DA151" s="79"/>
      <c r="DB151" s="79"/>
      <c r="DC151" s="79"/>
      <c r="DD151" s="79"/>
      <c r="DE151" s="79"/>
      <c r="DF151" s="79"/>
      <c r="DG151" s="79"/>
      <c r="DH151" s="79"/>
      <c r="DI151" s="79"/>
      <c r="DJ151" s="79">
        <v>1</v>
      </c>
      <c r="DK151" s="79"/>
      <c r="DL151" s="79"/>
      <c r="DM151" s="79"/>
    </row>
    <row r="152" spans="1:169" x14ac:dyDescent="0.25">
      <c r="A152" s="26" t="str">
        <f t="shared" si="10"/>
        <v>YB_L_3_E_03_2023</v>
      </c>
      <c r="B152" s="26" t="str">
        <f t="shared" si="11"/>
        <v>YB_L_3_E_03</v>
      </c>
      <c r="C152" s="6" t="str">
        <f t="shared" si="12"/>
        <v>YB_2023</v>
      </c>
      <c r="D152" s="68" t="s">
        <v>29</v>
      </c>
      <c r="E152" s="78">
        <v>45111</v>
      </c>
      <c r="F152" s="68">
        <v>2023</v>
      </c>
      <c r="G152" s="68" t="s">
        <v>296</v>
      </c>
      <c r="H152" s="68" t="s">
        <v>297</v>
      </c>
      <c r="I152" s="68">
        <v>3</v>
      </c>
      <c r="J152" s="68" t="s">
        <v>230</v>
      </c>
      <c r="K152" s="68">
        <v>3</v>
      </c>
      <c r="L152" s="27" t="s">
        <v>204</v>
      </c>
      <c r="M152" s="68"/>
      <c r="N152" s="27" t="s">
        <v>264</v>
      </c>
      <c r="O152" s="67">
        <f t="shared" si="9"/>
        <v>100</v>
      </c>
      <c r="P152" s="69">
        <v>68</v>
      </c>
      <c r="Q152" s="69"/>
      <c r="R152" s="69"/>
      <c r="S152" s="69">
        <v>4</v>
      </c>
      <c r="T152" s="69"/>
      <c r="U152" s="69"/>
      <c r="V152" s="69"/>
      <c r="W152" s="69">
        <v>6</v>
      </c>
      <c r="X152" s="69">
        <v>1</v>
      </c>
      <c r="Y152" s="69"/>
      <c r="Z152" s="69"/>
      <c r="AA152" s="69"/>
      <c r="AB152" s="69"/>
      <c r="AC152" s="69">
        <v>1</v>
      </c>
      <c r="AD152" s="69"/>
      <c r="AE152" s="69">
        <v>4</v>
      </c>
      <c r="AF152" s="69"/>
      <c r="AG152" s="69"/>
      <c r="AH152" s="69">
        <v>12</v>
      </c>
      <c r="AI152" s="69">
        <v>4</v>
      </c>
      <c r="AJ152" s="70"/>
      <c r="AK152" s="70"/>
      <c r="AL152" s="70"/>
      <c r="AM152" s="70"/>
      <c r="AN152" s="70"/>
      <c r="AO152" s="70"/>
      <c r="AP152" s="71"/>
      <c r="AQ152" s="71">
        <v>5</v>
      </c>
      <c r="AR152" s="71"/>
      <c r="AS152" s="71"/>
      <c r="AT152" s="71">
        <v>24</v>
      </c>
      <c r="AU152" s="71"/>
      <c r="AV152" s="71">
        <v>2</v>
      </c>
      <c r="AW152" s="71">
        <v>3</v>
      </c>
      <c r="AX152" s="71"/>
      <c r="AY152" s="71"/>
      <c r="AZ152" s="71"/>
      <c r="BA152" s="71"/>
      <c r="BB152" s="71"/>
      <c r="BC152" s="71"/>
      <c r="BD152" s="71"/>
      <c r="CC152" s="79"/>
      <c r="CD152" s="79"/>
      <c r="CE152" s="79"/>
      <c r="CF152" s="79">
        <v>92</v>
      </c>
      <c r="CG152" s="79"/>
      <c r="CH152" s="79"/>
      <c r="CI152" s="79"/>
      <c r="CJ152" s="79"/>
      <c r="CK152" s="79"/>
      <c r="CL152" s="79">
        <v>1</v>
      </c>
      <c r="CM152" s="79">
        <v>1</v>
      </c>
      <c r="CN152" s="79"/>
      <c r="CO152" s="79"/>
      <c r="CP152" s="79"/>
      <c r="CQ152" s="79"/>
      <c r="CR152" s="79"/>
      <c r="CS152" s="79"/>
      <c r="CT152" s="80">
        <v>11</v>
      </c>
      <c r="CU152" s="79"/>
      <c r="CV152" s="79"/>
      <c r="CW152" s="79"/>
      <c r="CX152" s="79"/>
      <c r="CY152" s="79"/>
      <c r="CZ152" s="79"/>
      <c r="DA152" s="79"/>
      <c r="DB152" s="79"/>
      <c r="DC152" s="79"/>
      <c r="DD152" s="79"/>
      <c r="DE152" s="79"/>
      <c r="DF152" s="79"/>
      <c r="DG152" s="79"/>
      <c r="DH152" s="79"/>
      <c r="DI152" s="79"/>
      <c r="DJ152" s="79">
        <v>1</v>
      </c>
      <c r="DK152" s="79"/>
      <c r="DL152" s="79"/>
      <c r="DM152" s="79"/>
    </row>
    <row r="153" spans="1:169" x14ac:dyDescent="0.25">
      <c r="A153" s="26" t="str">
        <f t="shared" si="10"/>
        <v>YB_L_3_E_05_2023</v>
      </c>
      <c r="B153" s="26" t="str">
        <f t="shared" si="11"/>
        <v>YB_L_3_E_05</v>
      </c>
      <c r="C153" s="6" t="str">
        <f t="shared" si="12"/>
        <v>YB_2023</v>
      </c>
      <c r="D153" s="68" t="s">
        <v>29</v>
      </c>
      <c r="E153" s="78">
        <v>45111</v>
      </c>
      <c r="F153" s="68">
        <v>2023</v>
      </c>
      <c r="G153" s="68" t="s">
        <v>296</v>
      </c>
      <c r="H153" s="68" t="s">
        <v>297</v>
      </c>
      <c r="I153" s="68">
        <v>5</v>
      </c>
      <c r="J153" s="68" t="s">
        <v>230</v>
      </c>
      <c r="K153" s="68">
        <v>3</v>
      </c>
      <c r="L153" s="27" t="s">
        <v>204</v>
      </c>
      <c r="M153" s="68"/>
      <c r="N153" s="27" t="s">
        <v>264</v>
      </c>
      <c r="O153" s="67">
        <f t="shared" si="9"/>
        <v>100</v>
      </c>
      <c r="P153" s="69">
        <v>29</v>
      </c>
      <c r="Q153" s="69"/>
      <c r="R153" s="69">
        <v>9</v>
      </c>
      <c r="S153" s="69">
        <v>9</v>
      </c>
      <c r="T153" s="69"/>
      <c r="U153" s="69"/>
      <c r="V153" s="69"/>
      <c r="W153" s="69"/>
      <c r="X153" s="69"/>
      <c r="Y153" s="69"/>
      <c r="Z153" s="69"/>
      <c r="AA153" s="69"/>
      <c r="AB153" s="69">
        <v>5</v>
      </c>
      <c r="AC153" s="69">
        <v>1</v>
      </c>
      <c r="AD153" s="69"/>
      <c r="AE153" s="69">
        <v>4</v>
      </c>
      <c r="AF153" s="69"/>
      <c r="AG153" s="69"/>
      <c r="AH153" s="69">
        <v>17</v>
      </c>
      <c r="AI153" s="69">
        <v>26</v>
      </c>
      <c r="AJ153" s="70"/>
      <c r="AK153" s="70"/>
      <c r="AL153" s="70"/>
      <c r="AM153" s="70"/>
      <c r="AN153" s="70"/>
      <c r="AO153" s="70"/>
      <c r="AP153" s="71"/>
      <c r="AQ153" s="71">
        <v>1</v>
      </c>
      <c r="AR153" s="71"/>
      <c r="AS153" s="71"/>
      <c r="AT153" s="71"/>
      <c r="AU153" s="71"/>
      <c r="AV153" s="71">
        <v>4</v>
      </c>
      <c r="AW153" s="71">
        <v>1</v>
      </c>
      <c r="AX153" s="71"/>
      <c r="AY153" s="71"/>
      <c r="AZ153" s="71"/>
      <c r="BA153" s="71"/>
      <c r="BB153" s="71"/>
      <c r="BC153" s="71"/>
      <c r="BD153" s="71"/>
      <c r="CC153" s="79"/>
      <c r="CD153" s="79"/>
      <c r="CE153" s="79"/>
      <c r="CF153" s="79">
        <v>71</v>
      </c>
      <c r="CG153" s="79"/>
      <c r="CH153" s="79"/>
      <c r="CI153" s="79"/>
      <c r="CJ153" s="79"/>
      <c r="CK153" s="79"/>
      <c r="CL153" s="79">
        <v>6</v>
      </c>
      <c r="CM153" s="79">
        <v>21</v>
      </c>
      <c r="CN153" s="79"/>
      <c r="CO153" s="79"/>
      <c r="CP153" s="79"/>
      <c r="CQ153" s="79"/>
      <c r="CR153" s="79">
        <v>0.1</v>
      </c>
      <c r="CS153" s="79"/>
      <c r="CT153" s="80">
        <v>21</v>
      </c>
      <c r="CU153" s="79"/>
      <c r="CV153" s="79"/>
      <c r="CW153" s="79"/>
      <c r="CX153" s="79"/>
      <c r="CY153" s="79"/>
      <c r="CZ153" s="79">
        <v>10</v>
      </c>
      <c r="DA153" s="79"/>
      <c r="DB153" s="79"/>
      <c r="DC153" s="79"/>
      <c r="DD153" s="79"/>
      <c r="DE153" s="79"/>
      <c r="DF153" s="79"/>
      <c r="DG153" s="79"/>
      <c r="DH153" s="79"/>
      <c r="DI153" s="79"/>
      <c r="DJ153" s="79">
        <v>2</v>
      </c>
      <c r="DK153" s="79"/>
      <c r="DL153" s="79"/>
      <c r="DM153" s="79"/>
    </row>
    <row r="154" spans="1:169" x14ac:dyDescent="0.25">
      <c r="A154" s="26" t="str">
        <f t="shared" si="10"/>
        <v>YB_L_3_E_07_2023</v>
      </c>
      <c r="B154" s="26" t="str">
        <f t="shared" si="11"/>
        <v>YB_L_3_E_07</v>
      </c>
      <c r="C154" s="6" t="str">
        <f t="shared" si="12"/>
        <v>YB_2023</v>
      </c>
      <c r="D154" s="68" t="s">
        <v>29</v>
      </c>
      <c r="E154" s="78">
        <v>45111</v>
      </c>
      <c r="F154" s="68">
        <v>2023</v>
      </c>
      <c r="G154" s="68" t="s">
        <v>296</v>
      </c>
      <c r="H154" s="68" t="s">
        <v>297</v>
      </c>
      <c r="I154" s="68">
        <v>7</v>
      </c>
      <c r="J154" s="68" t="s">
        <v>230</v>
      </c>
      <c r="K154" s="68">
        <v>3</v>
      </c>
      <c r="L154" s="27" t="s">
        <v>204</v>
      </c>
      <c r="M154" s="68"/>
      <c r="N154" s="27" t="s">
        <v>264</v>
      </c>
      <c r="O154" s="67">
        <f t="shared" si="9"/>
        <v>100</v>
      </c>
      <c r="P154" s="69">
        <v>46</v>
      </c>
      <c r="Q154" s="69"/>
      <c r="R154" s="69"/>
      <c r="S154" s="69"/>
      <c r="T154" s="69">
        <v>8</v>
      </c>
      <c r="U154" s="69"/>
      <c r="V154" s="69"/>
      <c r="W154" s="69">
        <v>2</v>
      </c>
      <c r="X154" s="69">
        <v>11</v>
      </c>
      <c r="Y154" s="69"/>
      <c r="Z154" s="69"/>
      <c r="AA154" s="69"/>
      <c r="AB154" s="69"/>
      <c r="AC154" s="69">
        <v>3</v>
      </c>
      <c r="AD154" s="69"/>
      <c r="AE154" s="69">
        <v>1</v>
      </c>
      <c r="AF154" s="69"/>
      <c r="AG154" s="69"/>
      <c r="AH154" s="69">
        <v>29</v>
      </c>
      <c r="AI154" s="69"/>
      <c r="AJ154" s="70"/>
      <c r="AK154" s="70"/>
      <c r="AL154" s="70"/>
      <c r="AM154" s="70"/>
      <c r="AN154" s="70"/>
      <c r="AO154" s="70"/>
      <c r="AP154" s="71">
        <v>3</v>
      </c>
      <c r="AQ154" s="71">
        <v>3</v>
      </c>
      <c r="AR154" s="71"/>
      <c r="AS154" s="71"/>
      <c r="AT154" s="71">
        <v>26</v>
      </c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CC154" s="79"/>
      <c r="CD154" s="79"/>
      <c r="CE154" s="79"/>
      <c r="CF154" s="79">
        <v>14</v>
      </c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  <c r="CQ154" s="79"/>
      <c r="CR154" s="79"/>
      <c r="CS154" s="79"/>
      <c r="CT154" s="80">
        <v>10</v>
      </c>
      <c r="CU154" s="79"/>
      <c r="CV154" s="79"/>
      <c r="CW154" s="79"/>
      <c r="CX154" s="79"/>
      <c r="CY154" s="79"/>
      <c r="CZ154" s="79">
        <v>5</v>
      </c>
      <c r="DA154" s="79"/>
      <c r="DB154" s="79"/>
      <c r="DC154" s="79"/>
      <c r="DD154" s="79"/>
      <c r="DE154" s="79"/>
      <c r="DF154" s="79"/>
      <c r="DG154" s="79"/>
      <c r="DH154" s="79"/>
      <c r="DI154" s="79"/>
      <c r="DJ154" s="79">
        <v>16</v>
      </c>
      <c r="DK154" s="79"/>
      <c r="DL154" s="79"/>
      <c r="DM154" s="79"/>
    </row>
    <row r="155" spans="1:169" x14ac:dyDescent="0.25">
      <c r="A155" s="26" t="str">
        <f t="shared" si="10"/>
        <v>YB_L_3_E_09_2023</v>
      </c>
      <c r="B155" s="26" t="str">
        <f t="shared" si="11"/>
        <v>YB_L_3_E_09</v>
      </c>
      <c r="C155" s="6" t="str">
        <f t="shared" si="12"/>
        <v>YB_2023</v>
      </c>
      <c r="D155" s="68" t="s">
        <v>29</v>
      </c>
      <c r="E155" s="78">
        <v>45111</v>
      </c>
      <c r="F155" s="68">
        <v>2023</v>
      </c>
      <c r="G155" s="68" t="s">
        <v>296</v>
      </c>
      <c r="H155" s="68" t="s">
        <v>297</v>
      </c>
      <c r="I155" s="68">
        <v>9</v>
      </c>
      <c r="J155" s="68" t="s">
        <v>230</v>
      </c>
      <c r="K155" s="68">
        <v>3</v>
      </c>
      <c r="L155" s="27" t="s">
        <v>204</v>
      </c>
      <c r="M155" s="68"/>
      <c r="N155" s="27" t="s">
        <v>264</v>
      </c>
      <c r="O155" s="67">
        <f t="shared" ref="O155:O217" si="13">SUM(P155:AO155)</f>
        <v>100</v>
      </c>
      <c r="P155" s="69">
        <v>24</v>
      </c>
      <c r="Q155" s="69"/>
      <c r="R155" s="69"/>
      <c r="S155" s="69">
        <v>1</v>
      </c>
      <c r="T155" s="69"/>
      <c r="U155" s="69"/>
      <c r="V155" s="69"/>
      <c r="W155" s="69">
        <v>1</v>
      </c>
      <c r="X155" s="69">
        <v>14</v>
      </c>
      <c r="Y155" s="69"/>
      <c r="Z155" s="69"/>
      <c r="AA155" s="69"/>
      <c r="AB155" s="69"/>
      <c r="AC155" s="69">
        <v>2</v>
      </c>
      <c r="AD155" s="69"/>
      <c r="AE155" s="69">
        <v>3</v>
      </c>
      <c r="AF155" s="69"/>
      <c r="AG155" s="69"/>
      <c r="AH155" s="69">
        <v>38</v>
      </c>
      <c r="AI155" s="69">
        <v>17</v>
      </c>
      <c r="AJ155" s="70"/>
      <c r="AK155" s="70"/>
      <c r="AL155" s="70"/>
      <c r="AM155" s="70"/>
      <c r="AN155" s="70"/>
      <c r="AO155" s="70"/>
      <c r="AP155" s="71">
        <v>6</v>
      </c>
      <c r="AQ155" s="71">
        <v>2</v>
      </c>
      <c r="AR155" s="71"/>
      <c r="AS155" s="71"/>
      <c r="AT155" s="71"/>
      <c r="AU155" s="71"/>
      <c r="AV155" s="71">
        <v>1</v>
      </c>
      <c r="AW155" s="71">
        <v>1</v>
      </c>
      <c r="AX155" s="71"/>
      <c r="AY155" s="71"/>
      <c r="AZ155" s="71"/>
      <c r="BA155" s="71"/>
      <c r="BB155" s="71"/>
      <c r="BC155" s="71"/>
      <c r="BD155" s="71"/>
      <c r="CC155" s="79"/>
      <c r="CD155" s="79"/>
      <c r="CE155" s="79"/>
      <c r="CF155" s="79">
        <v>31</v>
      </c>
      <c r="CG155" s="79"/>
      <c r="CH155" s="79"/>
      <c r="CI155" s="79"/>
      <c r="CJ155" s="79"/>
      <c r="CK155" s="79"/>
      <c r="CL155" s="79">
        <v>1</v>
      </c>
      <c r="CM155" s="79">
        <v>5</v>
      </c>
      <c r="CN155" s="79"/>
      <c r="CO155" s="79"/>
      <c r="CP155" s="79"/>
      <c r="CQ155" s="79"/>
      <c r="CR155" s="79"/>
      <c r="CS155" s="79"/>
      <c r="CT155" s="80">
        <v>15</v>
      </c>
      <c r="CU155" s="79"/>
      <c r="CV155" s="79"/>
      <c r="CW155" s="79"/>
      <c r="CX155" s="79"/>
      <c r="CY155" s="79"/>
      <c r="CZ155" s="79">
        <v>2</v>
      </c>
      <c r="DA155" s="79">
        <v>4</v>
      </c>
      <c r="DB155" s="79"/>
      <c r="DC155" s="79"/>
      <c r="DD155" s="79"/>
      <c r="DE155" s="79"/>
      <c r="DF155" s="79"/>
      <c r="DG155" s="79"/>
      <c r="DH155" s="79"/>
      <c r="DI155" s="79"/>
      <c r="DJ155" s="79">
        <v>6</v>
      </c>
      <c r="DK155" s="79"/>
      <c r="DL155" s="79"/>
      <c r="DM155" s="79"/>
    </row>
    <row r="156" spans="1:169" x14ac:dyDescent="0.25">
      <c r="A156" s="26" t="str">
        <f t="shared" si="10"/>
        <v>YB_L_1_E_02_2023</v>
      </c>
      <c r="B156" s="26" t="str">
        <f t="shared" si="11"/>
        <v>YB_L_1_E_02</v>
      </c>
      <c r="C156" s="6" t="str">
        <f t="shared" si="12"/>
        <v>YB_2023</v>
      </c>
      <c r="D156" s="68" t="s">
        <v>29</v>
      </c>
      <c r="E156" s="78">
        <v>45111</v>
      </c>
      <c r="F156" s="68">
        <v>2023</v>
      </c>
      <c r="G156" s="68" t="s">
        <v>277</v>
      </c>
      <c r="H156" s="68" t="s">
        <v>277</v>
      </c>
      <c r="I156" s="68">
        <v>2</v>
      </c>
      <c r="J156" s="68" t="s">
        <v>230</v>
      </c>
      <c r="K156" s="68">
        <v>1</v>
      </c>
      <c r="L156" s="68" t="s">
        <v>204</v>
      </c>
      <c r="M156" s="68"/>
      <c r="N156" s="27" t="s">
        <v>264</v>
      </c>
      <c r="O156" s="67">
        <f t="shared" si="13"/>
        <v>100.1</v>
      </c>
      <c r="P156" s="69">
        <v>28</v>
      </c>
      <c r="Q156" s="69">
        <v>30</v>
      </c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>
        <v>1</v>
      </c>
      <c r="AC156" s="69">
        <v>3</v>
      </c>
      <c r="AD156" s="69"/>
      <c r="AE156" s="69"/>
      <c r="AF156" s="69">
        <v>22</v>
      </c>
      <c r="AG156" s="69"/>
      <c r="AH156" s="69">
        <v>3</v>
      </c>
      <c r="AI156" s="69">
        <v>13</v>
      </c>
      <c r="AJ156" s="70">
        <v>0.1</v>
      </c>
      <c r="AK156" s="70"/>
      <c r="AL156" s="70"/>
      <c r="AM156" s="70"/>
      <c r="AN156" s="70"/>
      <c r="AO156" s="70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>
        <v>4</v>
      </c>
      <c r="BB156" s="71"/>
      <c r="BC156" s="71"/>
      <c r="BD156" s="71"/>
      <c r="CC156" s="33"/>
      <c r="CD156" s="33">
        <v>3</v>
      </c>
      <c r="CE156" s="33"/>
      <c r="CF156" s="33"/>
      <c r="CG156" s="33">
        <v>44</v>
      </c>
      <c r="CH156" s="33"/>
      <c r="CI156" s="33"/>
      <c r="CJ156" s="33"/>
      <c r="CK156" s="33"/>
      <c r="CL156" s="33">
        <v>3</v>
      </c>
      <c r="CM156" s="33">
        <v>16</v>
      </c>
      <c r="CN156" s="33"/>
      <c r="CO156" s="33"/>
      <c r="CP156" s="33"/>
      <c r="CQ156" s="33"/>
      <c r="CR156" s="33"/>
      <c r="CS156" s="33"/>
      <c r="CT156" s="34"/>
      <c r="CU156" s="33"/>
      <c r="CV156" s="33"/>
      <c r="CW156" s="33"/>
      <c r="CX156" s="33"/>
      <c r="CY156" s="33"/>
      <c r="CZ156" s="33">
        <v>16</v>
      </c>
      <c r="DA156" s="33"/>
      <c r="DB156" s="33"/>
      <c r="DC156" s="33"/>
      <c r="DD156" s="33"/>
      <c r="DE156" s="33"/>
      <c r="DF156" s="33"/>
      <c r="DG156" s="33">
        <v>1</v>
      </c>
      <c r="DH156" s="33">
        <v>1</v>
      </c>
      <c r="DI156" s="33"/>
      <c r="DJ156" s="33">
        <v>2</v>
      </c>
      <c r="DK156" s="33"/>
      <c r="DL156" s="33"/>
      <c r="DM156" s="33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</row>
    <row r="157" spans="1:169" x14ac:dyDescent="0.25">
      <c r="A157" s="26" t="str">
        <f t="shared" si="10"/>
        <v>YB_L_1_E_04_2023</v>
      </c>
      <c r="B157" s="26" t="str">
        <f t="shared" si="11"/>
        <v>YB_L_1_E_04</v>
      </c>
      <c r="C157" s="6" t="str">
        <f t="shared" si="12"/>
        <v>YB_2023</v>
      </c>
      <c r="D157" s="68" t="s">
        <v>29</v>
      </c>
      <c r="E157" s="78">
        <v>45111</v>
      </c>
      <c r="F157" s="68">
        <v>2023</v>
      </c>
      <c r="G157" s="68" t="s">
        <v>277</v>
      </c>
      <c r="H157" s="68" t="s">
        <v>277</v>
      </c>
      <c r="I157" s="68">
        <v>4</v>
      </c>
      <c r="J157" s="68" t="s">
        <v>230</v>
      </c>
      <c r="K157" s="68">
        <v>1</v>
      </c>
      <c r="L157" s="68" t="s">
        <v>204</v>
      </c>
      <c r="M157" s="68"/>
      <c r="N157" s="27" t="s">
        <v>264</v>
      </c>
      <c r="O157" s="67">
        <f t="shared" si="13"/>
        <v>100.1</v>
      </c>
      <c r="P157" s="69">
        <v>64</v>
      </c>
      <c r="Q157" s="69"/>
      <c r="R157" s="69">
        <v>5</v>
      </c>
      <c r="S157" s="69">
        <v>3</v>
      </c>
      <c r="T157" s="69"/>
      <c r="U157" s="69">
        <v>1</v>
      </c>
      <c r="V157" s="69"/>
      <c r="W157" s="69">
        <v>2</v>
      </c>
      <c r="X157" s="69"/>
      <c r="Y157" s="69"/>
      <c r="Z157" s="69"/>
      <c r="AA157" s="69"/>
      <c r="AB157" s="69"/>
      <c r="AC157" s="69"/>
      <c r="AD157" s="69"/>
      <c r="AE157" s="69"/>
      <c r="AF157" s="69">
        <v>18</v>
      </c>
      <c r="AG157" s="69"/>
      <c r="AH157" s="69">
        <v>4</v>
      </c>
      <c r="AI157" s="69">
        <v>3</v>
      </c>
      <c r="AJ157" s="70">
        <v>0.1</v>
      </c>
      <c r="AK157" s="70"/>
      <c r="AL157" s="70"/>
      <c r="AM157" s="70"/>
      <c r="AN157" s="70"/>
      <c r="AO157" s="70"/>
      <c r="AP157" s="71"/>
      <c r="AQ157" s="71">
        <v>1</v>
      </c>
      <c r="AR157" s="71">
        <v>1</v>
      </c>
      <c r="AS157" s="71"/>
      <c r="AT157" s="71"/>
      <c r="AU157" s="71"/>
      <c r="AV157" s="71">
        <v>1</v>
      </c>
      <c r="AW157" s="71"/>
      <c r="AX157" s="71"/>
      <c r="AY157" s="71"/>
      <c r="AZ157" s="71"/>
      <c r="BA157" s="71"/>
      <c r="BB157" s="71"/>
      <c r="BC157" s="71">
        <v>1</v>
      </c>
      <c r="BD157" s="71"/>
      <c r="CC157" s="33"/>
      <c r="CD157" s="33">
        <v>5</v>
      </c>
      <c r="CE157" s="33"/>
      <c r="CF157" s="33"/>
      <c r="CG157" s="33">
        <v>72</v>
      </c>
      <c r="CH157" s="33"/>
      <c r="CI157" s="33"/>
      <c r="CJ157" s="33"/>
      <c r="CK157" s="33"/>
      <c r="CL157" s="33"/>
      <c r="CM157" s="33">
        <v>3</v>
      </c>
      <c r="CN157" s="33"/>
      <c r="CO157" s="33"/>
      <c r="CP157" s="33"/>
      <c r="CQ157" s="33"/>
      <c r="CR157" s="33"/>
      <c r="CS157" s="33"/>
      <c r="CT157" s="34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EX157" s="35"/>
      <c r="EY157" s="35"/>
      <c r="EZ157" s="35"/>
      <c r="FA157" s="35"/>
      <c r="FB157" s="35"/>
      <c r="FC157" s="35"/>
      <c r="FD157" s="35"/>
      <c r="FE157" s="35">
        <v>0.1</v>
      </c>
      <c r="FF157" s="35"/>
      <c r="FG157" s="35"/>
      <c r="FH157" s="35"/>
      <c r="FI157" s="35"/>
      <c r="FJ157" s="35"/>
      <c r="FK157" s="35"/>
      <c r="FL157" s="35"/>
      <c r="FM157" s="35"/>
    </row>
    <row r="158" spans="1:169" x14ac:dyDescent="0.25">
      <c r="A158" s="26" t="str">
        <f t="shared" si="10"/>
        <v>YB_L_1_E_06_2023</v>
      </c>
      <c r="B158" s="26" t="str">
        <f t="shared" si="11"/>
        <v>YB_L_1_E_06</v>
      </c>
      <c r="C158" s="6" t="str">
        <f t="shared" si="12"/>
        <v>YB_2023</v>
      </c>
      <c r="D158" s="68" t="s">
        <v>29</v>
      </c>
      <c r="E158" s="78">
        <v>45111</v>
      </c>
      <c r="F158" s="68">
        <v>2023</v>
      </c>
      <c r="G158" s="68" t="s">
        <v>277</v>
      </c>
      <c r="H158" s="68" t="s">
        <v>277</v>
      </c>
      <c r="I158" s="68">
        <v>6</v>
      </c>
      <c r="J158" s="68" t="s">
        <v>230</v>
      </c>
      <c r="K158" s="68">
        <v>1</v>
      </c>
      <c r="L158" s="68" t="s">
        <v>204</v>
      </c>
      <c r="M158" s="68"/>
      <c r="N158" s="27" t="s">
        <v>264</v>
      </c>
      <c r="O158" s="67">
        <f t="shared" si="13"/>
        <v>100</v>
      </c>
      <c r="P158" s="69">
        <v>68</v>
      </c>
      <c r="Q158" s="69"/>
      <c r="R158" s="69"/>
      <c r="S158" s="69">
        <v>4</v>
      </c>
      <c r="T158" s="69"/>
      <c r="U158" s="69"/>
      <c r="V158" s="69"/>
      <c r="W158" s="69"/>
      <c r="X158" s="69"/>
      <c r="Y158" s="69"/>
      <c r="Z158" s="69"/>
      <c r="AA158" s="69"/>
      <c r="AB158" s="69"/>
      <c r="AC158" s="69">
        <v>1</v>
      </c>
      <c r="AD158" s="69"/>
      <c r="AE158" s="69">
        <v>4</v>
      </c>
      <c r="AF158" s="69"/>
      <c r="AG158" s="69"/>
      <c r="AH158" s="69">
        <v>5</v>
      </c>
      <c r="AI158" s="69">
        <v>18</v>
      </c>
      <c r="AJ158" s="70"/>
      <c r="AK158" s="70"/>
      <c r="AL158" s="70"/>
      <c r="AM158" s="70"/>
      <c r="AN158" s="70"/>
      <c r="AO158" s="70"/>
      <c r="AP158" s="71"/>
      <c r="AQ158" s="71">
        <v>1</v>
      </c>
      <c r="AR158" s="71"/>
      <c r="AS158" s="71"/>
      <c r="AT158" s="71"/>
      <c r="AU158" s="71"/>
      <c r="AV158" s="71"/>
      <c r="AW158" s="71">
        <v>1</v>
      </c>
      <c r="AX158" s="71"/>
      <c r="AY158" s="71"/>
      <c r="AZ158" s="71"/>
      <c r="BA158" s="71">
        <v>3</v>
      </c>
      <c r="BB158" s="71"/>
      <c r="BC158" s="71">
        <v>1</v>
      </c>
      <c r="BD158" s="71"/>
      <c r="CC158" s="33"/>
      <c r="CD158" s="33"/>
      <c r="CE158" s="33"/>
      <c r="CF158" s="33">
        <v>12</v>
      </c>
      <c r="CG158" s="33">
        <v>64</v>
      </c>
      <c r="CH158" s="33"/>
      <c r="CI158" s="33"/>
      <c r="CJ158" s="33"/>
      <c r="CK158" s="33"/>
      <c r="CL158" s="33">
        <v>6</v>
      </c>
      <c r="CM158" s="33">
        <v>15</v>
      </c>
      <c r="CN158" s="33"/>
      <c r="CO158" s="33"/>
      <c r="CP158" s="33"/>
      <c r="CQ158" s="33"/>
      <c r="CR158" s="33">
        <v>3</v>
      </c>
      <c r="CS158" s="33"/>
      <c r="CT158" s="34"/>
      <c r="CU158" s="33"/>
      <c r="CV158" s="33"/>
      <c r="CW158" s="33"/>
      <c r="CX158" s="33"/>
      <c r="CY158" s="33"/>
      <c r="CZ158" s="33">
        <v>10</v>
      </c>
      <c r="DA158" s="33"/>
      <c r="DB158" s="33">
        <v>1</v>
      </c>
      <c r="DC158" s="33"/>
      <c r="DD158" s="33"/>
      <c r="DE158" s="33"/>
      <c r="DF158" s="33"/>
      <c r="DG158" s="33">
        <v>1</v>
      </c>
      <c r="DH158" s="33">
        <v>0.1</v>
      </c>
      <c r="DI158" s="33"/>
      <c r="DJ158" s="33"/>
      <c r="DK158" s="33"/>
      <c r="DL158" s="33"/>
      <c r="DM158" s="33"/>
      <c r="EX158" s="35"/>
      <c r="EY158" s="35"/>
      <c r="EZ158" s="35"/>
      <c r="FA158" s="35"/>
      <c r="FB158" s="35"/>
      <c r="FC158" s="35"/>
      <c r="FD158" s="35"/>
      <c r="FE158" s="35">
        <v>0.1</v>
      </c>
      <c r="FF158" s="35"/>
      <c r="FG158" s="35"/>
      <c r="FH158" s="35"/>
      <c r="FI158" s="35"/>
      <c r="FJ158" s="35"/>
      <c r="FK158" s="35"/>
      <c r="FL158" s="35"/>
      <c r="FM158" s="35"/>
    </row>
    <row r="159" spans="1:169" x14ac:dyDescent="0.25">
      <c r="A159" s="26" t="str">
        <f t="shared" ref="A159:A168" si="14">CONCATENATE(D159,"_",J159,"_",K159,"_",L159,"_",TEXT(I159,"00"),"_",F159)</f>
        <v>YB_L_1_E_08_2023</v>
      </c>
      <c r="B159" s="26" t="str">
        <f t="shared" ref="B159:B168" si="15">CONCATENATE(D159,"_",J159,"_",K159,"_",L159,"_",TEXT(I159,"00"))</f>
        <v>YB_L_1_E_08</v>
      </c>
      <c r="C159" s="6" t="str">
        <f t="shared" ref="C159:C166" si="16">CONCATENATE(D159,,"_",F159)</f>
        <v>YB_2023</v>
      </c>
      <c r="D159" s="68" t="s">
        <v>29</v>
      </c>
      <c r="E159" s="78">
        <v>45111</v>
      </c>
      <c r="F159" s="68">
        <v>2023</v>
      </c>
      <c r="G159" s="68" t="s">
        <v>277</v>
      </c>
      <c r="H159" s="68" t="s">
        <v>277</v>
      </c>
      <c r="I159" s="68">
        <v>8</v>
      </c>
      <c r="J159" s="68" t="s">
        <v>230</v>
      </c>
      <c r="K159" s="68">
        <v>1</v>
      </c>
      <c r="L159" s="68" t="s">
        <v>204</v>
      </c>
      <c r="M159" s="68"/>
      <c r="N159" s="27" t="s">
        <v>264</v>
      </c>
      <c r="O159" s="67">
        <f t="shared" si="13"/>
        <v>100.1</v>
      </c>
      <c r="P159" s="69">
        <v>3</v>
      </c>
      <c r="Q159" s="69">
        <v>66</v>
      </c>
      <c r="R159" s="69">
        <v>2</v>
      </c>
      <c r="S159" s="69"/>
      <c r="T159" s="69"/>
      <c r="U159" s="69"/>
      <c r="V159" s="69"/>
      <c r="W159" s="69">
        <v>1</v>
      </c>
      <c r="X159" s="69"/>
      <c r="Y159" s="69"/>
      <c r="Z159" s="69"/>
      <c r="AA159" s="69"/>
      <c r="AB159" s="69"/>
      <c r="AC159" s="69">
        <v>1</v>
      </c>
      <c r="AD159" s="69">
        <v>7</v>
      </c>
      <c r="AE159" s="69">
        <v>2</v>
      </c>
      <c r="AF159" s="69"/>
      <c r="AG159" s="69"/>
      <c r="AH159" s="69">
        <v>10</v>
      </c>
      <c r="AI159" s="69">
        <v>8</v>
      </c>
      <c r="AJ159" s="70">
        <v>0.1</v>
      </c>
      <c r="AK159" s="70"/>
      <c r="AL159" s="70"/>
      <c r="AM159" s="70"/>
      <c r="AN159" s="70"/>
      <c r="AO159" s="70"/>
      <c r="AP159" s="71"/>
      <c r="AQ159" s="71">
        <v>2</v>
      </c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CC159" s="33"/>
      <c r="CD159" s="33">
        <v>3</v>
      </c>
      <c r="CE159" s="33"/>
      <c r="CF159" s="33">
        <v>62</v>
      </c>
      <c r="CG159" s="33"/>
      <c r="CH159" s="33"/>
      <c r="CI159" s="33"/>
      <c r="CJ159" s="33"/>
      <c r="CK159" s="33">
        <v>2</v>
      </c>
      <c r="CL159" s="33">
        <v>2</v>
      </c>
      <c r="CM159" s="33">
        <v>4</v>
      </c>
      <c r="CN159" s="33"/>
      <c r="CO159" s="33"/>
      <c r="CP159" s="33"/>
      <c r="CQ159" s="33"/>
      <c r="CR159" s="33">
        <v>4</v>
      </c>
      <c r="CS159" s="33"/>
      <c r="CT159" s="34"/>
      <c r="CU159" s="33"/>
      <c r="CV159" s="33"/>
      <c r="CW159" s="33"/>
      <c r="CX159" s="33"/>
      <c r="CY159" s="33"/>
      <c r="CZ159" s="33">
        <v>6</v>
      </c>
      <c r="DA159" s="33">
        <v>3</v>
      </c>
      <c r="DB159" s="33"/>
      <c r="DC159" s="33"/>
      <c r="DD159" s="33"/>
      <c r="DE159" s="33"/>
      <c r="DF159" s="33"/>
      <c r="DG159" s="33">
        <v>1</v>
      </c>
      <c r="DH159" s="33"/>
      <c r="DI159" s="33"/>
      <c r="DJ159" s="33">
        <v>1</v>
      </c>
      <c r="DK159" s="33"/>
      <c r="DL159" s="33"/>
      <c r="DM159" s="33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>
        <v>0.1</v>
      </c>
      <c r="FI159" s="35"/>
      <c r="FJ159" s="35"/>
      <c r="FK159" s="35"/>
      <c r="FL159" s="35"/>
      <c r="FM159" s="35"/>
    </row>
    <row r="160" spans="1:169" x14ac:dyDescent="0.25">
      <c r="A160" s="26" t="str">
        <f t="shared" si="14"/>
        <v>YB_L_1_E_10_2023</v>
      </c>
      <c r="B160" s="26" t="str">
        <f t="shared" si="15"/>
        <v>YB_L_1_E_10</v>
      </c>
      <c r="C160" s="6" t="str">
        <f t="shared" si="16"/>
        <v>YB_2023</v>
      </c>
      <c r="D160" s="68" t="s">
        <v>29</v>
      </c>
      <c r="E160" s="78">
        <v>45111</v>
      </c>
      <c r="F160" s="68">
        <v>2023</v>
      </c>
      <c r="G160" s="68" t="s">
        <v>277</v>
      </c>
      <c r="H160" s="68" t="s">
        <v>277</v>
      </c>
      <c r="I160" s="68">
        <v>10</v>
      </c>
      <c r="J160" s="68" t="s">
        <v>230</v>
      </c>
      <c r="K160" s="68">
        <v>1</v>
      </c>
      <c r="L160" s="68" t="s">
        <v>204</v>
      </c>
      <c r="M160" s="68"/>
      <c r="N160" s="27" t="s">
        <v>264</v>
      </c>
      <c r="O160" s="67">
        <f t="shared" si="13"/>
        <v>100.1</v>
      </c>
      <c r="P160" s="69">
        <v>59</v>
      </c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>
        <v>0.1</v>
      </c>
      <c r="AC160" s="69">
        <v>1</v>
      </c>
      <c r="AD160" s="69"/>
      <c r="AE160" s="69">
        <v>4</v>
      </c>
      <c r="AF160" s="69"/>
      <c r="AG160" s="69"/>
      <c r="AH160" s="69">
        <v>9</v>
      </c>
      <c r="AI160" s="69">
        <v>27</v>
      </c>
      <c r="AJ160" s="70"/>
      <c r="AK160" s="70"/>
      <c r="AL160" s="70"/>
      <c r="AM160" s="70"/>
      <c r="AN160" s="70"/>
      <c r="AO160" s="70"/>
      <c r="AP160" s="71"/>
      <c r="AQ160" s="71">
        <v>2</v>
      </c>
      <c r="AR160" s="71"/>
      <c r="AS160" s="71"/>
      <c r="AT160" s="71">
        <v>13</v>
      </c>
      <c r="AU160" s="71"/>
      <c r="AV160" s="71"/>
      <c r="AW160" s="71">
        <v>2</v>
      </c>
      <c r="AX160" s="71"/>
      <c r="AY160" s="71"/>
      <c r="AZ160" s="71"/>
      <c r="BA160" s="71">
        <v>3</v>
      </c>
      <c r="BB160" s="71"/>
      <c r="BC160" s="71"/>
      <c r="BD160" s="71"/>
      <c r="CC160" s="33"/>
      <c r="CD160" s="33"/>
      <c r="CE160" s="33"/>
      <c r="CF160" s="33">
        <v>74</v>
      </c>
      <c r="CG160" s="33"/>
      <c r="CH160" s="33"/>
      <c r="CI160" s="33"/>
      <c r="CJ160" s="33"/>
      <c r="CK160" s="33"/>
      <c r="CL160" s="33">
        <v>4</v>
      </c>
      <c r="CM160" s="33">
        <v>22</v>
      </c>
      <c r="CN160" s="33"/>
      <c r="CO160" s="33"/>
      <c r="CP160" s="33"/>
      <c r="CQ160" s="33"/>
      <c r="CR160" s="33"/>
      <c r="CS160" s="33"/>
      <c r="CT160" s="34"/>
      <c r="CU160" s="33"/>
      <c r="CV160" s="33"/>
      <c r="CW160" s="33"/>
      <c r="CX160" s="33"/>
      <c r="CY160" s="33"/>
      <c r="CZ160" s="33">
        <v>1</v>
      </c>
      <c r="DA160" s="33">
        <v>2</v>
      </c>
      <c r="DB160" s="33"/>
      <c r="DC160" s="33"/>
      <c r="DD160" s="33"/>
      <c r="DE160" s="33"/>
      <c r="DF160" s="33"/>
      <c r="DG160" s="33"/>
      <c r="DH160" s="33"/>
      <c r="DI160" s="33"/>
      <c r="DJ160" s="33">
        <v>5</v>
      </c>
      <c r="DK160" s="33"/>
      <c r="DL160" s="33"/>
      <c r="DM160" s="33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</row>
    <row r="161" spans="1:169" x14ac:dyDescent="0.25">
      <c r="A161" s="26" t="str">
        <f t="shared" si="14"/>
        <v>YB_L_3_E_02_2023</v>
      </c>
      <c r="B161" s="26" t="str">
        <f t="shared" si="15"/>
        <v>YB_L_3_E_02</v>
      </c>
      <c r="C161" s="6" t="str">
        <f t="shared" si="16"/>
        <v>YB_2023</v>
      </c>
      <c r="D161" s="68" t="s">
        <v>29</v>
      </c>
      <c r="E161" s="78">
        <v>45111</v>
      </c>
      <c r="F161" s="68">
        <v>2023</v>
      </c>
      <c r="G161" s="68" t="s">
        <v>277</v>
      </c>
      <c r="H161" s="68" t="s">
        <v>277</v>
      </c>
      <c r="I161" s="68">
        <v>2</v>
      </c>
      <c r="J161" s="68" t="s">
        <v>230</v>
      </c>
      <c r="K161" s="68">
        <v>3</v>
      </c>
      <c r="L161" s="68" t="s">
        <v>204</v>
      </c>
      <c r="M161" s="68"/>
      <c r="N161" s="27" t="s">
        <v>264</v>
      </c>
      <c r="O161" s="67">
        <f t="shared" si="13"/>
        <v>100</v>
      </c>
      <c r="P161" s="69">
        <v>75</v>
      </c>
      <c r="Q161" s="69"/>
      <c r="R161" s="69"/>
      <c r="S161" s="69">
        <v>9</v>
      </c>
      <c r="T161" s="69"/>
      <c r="U161" s="69"/>
      <c r="V161" s="69"/>
      <c r="W161" s="69">
        <v>4</v>
      </c>
      <c r="X161" s="69">
        <v>1</v>
      </c>
      <c r="Y161" s="69"/>
      <c r="Z161" s="69"/>
      <c r="AA161" s="69"/>
      <c r="AB161" s="69">
        <v>1</v>
      </c>
      <c r="AC161" s="69">
        <v>1</v>
      </c>
      <c r="AD161" s="69"/>
      <c r="AE161" s="69">
        <v>8</v>
      </c>
      <c r="AF161" s="69"/>
      <c r="AG161" s="69"/>
      <c r="AH161" s="69"/>
      <c r="AI161" s="69">
        <v>1</v>
      </c>
      <c r="AJ161" s="70"/>
      <c r="AK161" s="70"/>
      <c r="AL161" s="70"/>
      <c r="AM161" s="70"/>
      <c r="AN161" s="70"/>
      <c r="AO161" s="70"/>
      <c r="AP161" s="71"/>
      <c r="AQ161" s="71">
        <v>5</v>
      </c>
      <c r="AR161" s="71"/>
      <c r="AS161" s="71"/>
      <c r="AT161" s="71"/>
      <c r="AU161" s="71"/>
      <c r="AV161" s="71">
        <v>3</v>
      </c>
      <c r="AW161" s="71">
        <v>2</v>
      </c>
      <c r="AX161" s="71"/>
      <c r="AY161" s="71"/>
      <c r="AZ161" s="71"/>
      <c r="BA161" s="71"/>
      <c r="BB161" s="71"/>
      <c r="BC161" s="71">
        <v>1</v>
      </c>
      <c r="BD161" s="71"/>
      <c r="CC161" s="33"/>
      <c r="CD161" s="33"/>
      <c r="CE161" s="33"/>
      <c r="CF161" s="33">
        <v>100</v>
      </c>
      <c r="CG161" s="33"/>
      <c r="CH161" s="33"/>
      <c r="CI161" s="33"/>
      <c r="CJ161" s="33"/>
      <c r="CK161" s="33"/>
      <c r="CL161" s="33">
        <v>1</v>
      </c>
      <c r="CM161" s="33">
        <v>1</v>
      </c>
      <c r="CN161" s="33"/>
      <c r="CO161" s="33"/>
      <c r="CP161" s="33"/>
      <c r="CQ161" s="33"/>
      <c r="CR161" s="33"/>
      <c r="CS161" s="33"/>
      <c r="CT161" s="34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EX161" s="35"/>
      <c r="EY161" s="35"/>
      <c r="EZ161" s="35"/>
      <c r="FA161" s="35"/>
      <c r="FB161" s="35"/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</row>
    <row r="162" spans="1:169" x14ac:dyDescent="0.25">
      <c r="A162" s="26" t="str">
        <f t="shared" si="14"/>
        <v>YB_L_3_E_04_2023</v>
      </c>
      <c r="B162" s="26" t="str">
        <f t="shared" si="15"/>
        <v>YB_L_3_E_04</v>
      </c>
      <c r="C162" s="6" t="str">
        <f t="shared" si="16"/>
        <v>YB_2023</v>
      </c>
      <c r="D162" s="68" t="s">
        <v>29</v>
      </c>
      <c r="E162" s="78">
        <v>45111</v>
      </c>
      <c r="F162" s="68">
        <v>2023</v>
      </c>
      <c r="G162" s="68" t="s">
        <v>277</v>
      </c>
      <c r="H162" s="68" t="s">
        <v>277</v>
      </c>
      <c r="I162" s="68">
        <v>4</v>
      </c>
      <c r="J162" s="68" t="s">
        <v>230</v>
      </c>
      <c r="K162" s="68">
        <v>3</v>
      </c>
      <c r="L162" s="68" t="s">
        <v>204</v>
      </c>
      <c r="M162" s="68"/>
      <c r="N162" s="27" t="s">
        <v>264</v>
      </c>
      <c r="O162" s="67">
        <f t="shared" si="13"/>
        <v>100.1</v>
      </c>
      <c r="P162" s="69">
        <v>63</v>
      </c>
      <c r="Q162" s="69"/>
      <c r="R162" s="69">
        <v>1</v>
      </c>
      <c r="S162" s="69">
        <v>9</v>
      </c>
      <c r="T162" s="69"/>
      <c r="U162" s="69"/>
      <c r="V162" s="69"/>
      <c r="W162" s="69">
        <v>0.1</v>
      </c>
      <c r="X162" s="69"/>
      <c r="Y162" s="69"/>
      <c r="Z162" s="69"/>
      <c r="AA162" s="69"/>
      <c r="AB162" s="69">
        <v>2</v>
      </c>
      <c r="AC162" s="69">
        <v>5</v>
      </c>
      <c r="AD162" s="69">
        <v>16</v>
      </c>
      <c r="AE162" s="69">
        <v>2</v>
      </c>
      <c r="AF162" s="69"/>
      <c r="AG162" s="69"/>
      <c r="AH162" s="69"/>
      <c r="AI162" s="69">
        <v>2</v>
      </c>
      <c r="AJ162" s="70"/>
      <c r="AK162" s="70"/>
      <c r="AL162" s="70"/>
      <c r="AM162" s="70"/>
      <c r="AN162" s="70"/>
      <c r="AO162" s="70"/>
      <c r="AP162" s="71">
        <v>2</v>
      </c>
      <c r="AQ162" s="71">
        <v>1</v>
      </c>
      <c r="AR162" s="71"/>
      <c r="AS162" s="71"/>
      <c r="AT162" s="71"/>
      <c r="AU162" s="71"/>
      <c r="AV162" s="71">
        <v>1</v>
      </c>
      <c r="AW162" s="71"/>
      <c r="AX162" s="71"/>
      <c r="AY162" s="71"/>
      <c r="AZ162" s="71"/>
      <c r="BA162" s="71"/>
      <c r="BB162" s="71"/>
      <c r="BC162" s="71"/>
      <c r="BD162" s="71"/>
      <c r="CC162" s="33"/>
      <c r="CD162" s="33"/>
      <c r="CE162" s="33"/>
      <c r="CF162" s="33">
        <v>20</v>
      </c>
      <c r="CG162" s="33"/>
      <c r="CH162" s="33"/>
      <c r="CI162" s="33"/>
      <c r="CJ162" s="33"/>
      <c r="CK162" s="33">
        <v>60</v>
      </c>
      <c r="CL162" s="33"/>
      <c r="CM162" s="33">
        <v>5</v>
      </c>
      <c r="CN162" s="33"/>
      <c r="CO162" s="33"/>
      <c r="CP162" s="33"/>
      <c r="CQ162" s="33"/>
      <c r="CR162" s="33"/>
      <c r="CS162" s="33"/>
      <c r="CT162" s="34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>
        <v>0.1</v>
      </c>
      <c r="FI162" s="35"/>
      <c r="FJ162" s="35"/>
      <c r="FK162" s="35"/>
      <c r="FL162" s="35"/>
      <c r="FM162" s="35"/>
    </row>
    <row r="163" spans="1:169" x14ac:dyDescent="0.25">
      <c r="A163" s="26" t="str">
        <f t="shared" si="14"/>
        <v>YB_L_3_E_06_2023</v>
      </c>
      <c r="B163" s="26" t="str">
        <f t="shared" si="15"/>
        <v>YB_L_3_E_06</v>
      </c>
      <c r="C163" s="6" t="str">
        <f t="shared" si="16"/>
        <v>YB_2023</v>
      </c>
      <c r="D163" s="68" t="s">
        <v>29</v>
      </c>
      <c r="E163" s="78">
        <v>45111</v>
      </c>
      <c r="F163" s="68">
        <v>2023</v>
      </c>
      <c r="G163" s="68" t="s">
        <v>277</v>
      </c>
      <c r="H163" s="68" t="s">
        <v>277</v>
      </c>
      <c r="I163" s="27">
        <v>6</v>
      </c>
      <c r="J163" s="27" t="s">
        <v>230</v>
      </c>
      <c r="K163" s="27">
        <v>3</v>
      </c>
      <c r="L163" s="68" t="s">
        <v>204</v>
      </c>
      <c r="M163" s="7"/>
      <c r="N163" s="27" t="s">
        <v>264</v>
      </c>
      <c r="O163" s="67">
        <f t="shared" si="13"/>
        <v>100.1</v>
      </c>
      <c r="P163" s="29">
        <v>54</v>
      </c>
      <c r="Q163" s="29"/>
      <c r="R163" s="29"/>
      <c r="S163" s="29">
        <v>4</v>
      </c>
      <c r="T163" s="29"/>
      <c r="U163" s="29"/>
      <c r="V163" s="29"/>
      <c r="W163" s="29">
        <v>0.1</v>
      </c>
      <c r="X163" s="29">
        <v>5</v>
      </c>
      <c r="Y163" s="29"/>
      <c r="Z163" s="29"/>
      <c r="AA163" s="29"/>
      <c r="AB163" s="29">
        <v>2</v>
      </c>
      <c r="AC163" s="29"/>
      <c r="AD163" s="29"/>
      <c r="AE163" s="29">
        <v>5</v>
      </c>
      <c r="AF163" s="29"/>
      <c r="AG163" s="29"/>
      <c r="AH163" s="29">
        <v>22</v>
      </c>
      <c r="AI163" s="29">
        <v>8</v>
      </c>
      <c r="AJ163" s="30"/>
      <c r="AK163" s="30"/>
      <c r="AL163" s="30"/>
      <c r="AM163" s="30"/>
      <c r="AN163" s="30"/>
      <c r="AO163" s="30"/>
      <c r="AP163" s="31"/>
      <c r="AQ163" s="31">
        <v>7</v>
      </c>
      <c r="AR163" s="31"/>
      <c r="AS163" s="31"/>
      <c r="AT163" s="31"/>
      <c r="AU163" s="31"/>
      <c r="AV163" s="31">
        <v>1</v>
      </c>
      <c r="AW163" s="31"/>
      <c r="AX163" s="31"/>
      <c r="AY163" s="31"/>
      <c r="AZ163" s="31"/>
      <c r="BA163" s="31"/>
      <c r="BB163" s="31"/>
      <c r="BC163" s="31"/>
      <c r="BD163" s="31"/>
      <c r="CC163" s="33"/>
      <c r="CD163" s="33"/>
      <c r="CE163" s="33"/>
      <c r="CF163" s="33">
        <v>23</v>
      </c>
      <c r="CG163" s="33"/>
      <c r="CH163" s="33"/>
      <c r="CI163" s="33"/>
      <c r="CJ163" s="33"/>
      <c r="CK163" s="33"/>
      <c r="CL163" s="33">
        <v>7</v>
      </c>
      <c r="CM163" s="33">
        <v>11</v>
      </c>
      <c r="CN163" s="33"/>
      <c r="CO163" s="33"/>
      <c r="CP163" s="33"/>
      <c r="CQ163" s="33"/>
      <c r="CR163" s="33"/>
      <c r="CS163" s="33"/>
      <c r="CT163" s="34">
        <v>12</v>
      </c>
      <c r="CU163" s="33"/>
      <c r="CV163" s="33"/>
      <c r="CW163" s="33"/>
      <c r="CX163" s="33"/>
      <c r="CY163" s="33"/>
      <c r="CZ163" s="33"/>
      <c r="DA163" s="33">
        <v>6</v>
      </c>
      <c r="DB163" s="33"/>
      <c r="DC163" s="33"/>
      <c r="DD163" s="33"/>
      <c r="DE163" s="33"/>
      <c r="DF163" s="33"/>
      <c r="DG163" s="33"/>
      <c r="DH163" s="33"/>
      <c r="DI163" s="33"/>
      <c r="DJ163" s="33">
        <v>15</v>
      </c>
      <c r="DK163" s="33"/>
      <c r="DL163" s="33"/>
      <c r="DM163" s="33"/>
      <c r="EX163" s="35"/>
      <c r="EY163" s="35"/>
      <c r="EZ163" s="35"/>
      <c r="FA163" s="35"/>
      <c r="FB163" s="35"/>
      <c r="FC163" s="35"/>
      <c r="FD163" s="35"/>
      <c r="FE163" s="35"/>
      <c r="FF163" s="35"/>
      <c r="FG163" s="35"/>
      <c r="FH163" s="35"/>
      <c r="FI163" s="35"/>
      <c r="FJ163" s="35"/>
      <c r="FK163" s="35"/>
      <c r="FL163" s="35"/>
      <c r="FM163" s="35"/>
    </row>
    <row r="164" spans="1:169" x14ac:dyDescent="0.25">
      <c r="A164" s="26" t="str">
        <f t="shared" si="14"/>
        <v>YB_L_3_E_08_2023</v>
      </c>
      <c r="B164" s="26" t="str">
        <f t="shared" si="15"/>
        <v>YB_L_3_E_08</v>
      </c>
      <c r="C164" s="6" t="str">
        <f t="shared" si="16"/>
        <v>YB_2023</v>
      </c>
      <c r="D164" s="68" t="s">
        <v>29</v>
      </c>
      <c r="E164" s="78">
        <v>45111</v>
      </c>
      <c r="F164" s="68">
        <v>2023</v>
      </c>
      <c r="G164" s="68" t="s">
        <v>277</v>
      </c>
      <c r="H164" s="68" t="s">
        <v>277</v>
      </c>
      <c r="I164" s="27">
        <v>8</v>
      </c>
      <c r="J164" s="27" t="s">
        <v>230</v>
      </c>
      <c r="K164" s="27">
        <v>3</v>
      </c>
      <c r="L164" s="68" t="s">
        <v>204</v>
      </c>
      <c r="M164" s="7"/>
      <c r="N164" s="27" t="s">
        <v>264</v>
      </c>
      <c r="O164" s="67">
        <f t="shared" si="13"/>
        <v>100</v>
      </c>
      <c r="P164" s="29">
        <v>75</v>
      </c>
      <c r="Q164" s="29"/>
      <c r="R164" s="29"/>
      <c r="S164" s="29">
        <v>4</v>
      </c>
      <c r="T164" s="29"/>
      <c r="U164" s="29"/>
      <c r="V164" s="29"/>
      <c r="W164" s="29">
        <v>2</v>
      </c>
      <c r="X164" s="29">
        <v>1</v>
      </c>
      <c r="Y164" s="29"/>
      <c r="Z164" s="29"/>
      <c r="AA164" s="29"/>
      <c r="AB164" s="29"/>
      <c r="AC164" s="29"/>
      <c r="AD164" s="29">
        <v>6</v>
      </c>
      <c r="AE164" s="29">
        <v>5</v>
      </c>
      <c r="AF164" s="29"/>
      <c r="AG164" s="29"/>
      <c r="AH164" s="29">
        <v>3</v>
      </c>
      <c r="AI164" s="29">
        <v>4</v>
      </c>
      <c r="AJ164" s="30"/>
      <c r="AK164" s="30"/>
      <c r="AL164" s="30"/>
      <c r="AM164" s="30"/>
      <c r="AN164" s="30"/>
      <c r="AO164" s="30"/>
      <c r="AP164" s="31"/>
      <c r="AQ164" s="31">
        <v>5</v>
      </c>
      <c r="AR164" s="31"/>
      <c r="AS164" s="31"/>
      <c r="AT164" s="31"/>
      <c r="AU164" s="31"/>
      <c r="AV164" s="31">
        <v>1</v>
      </c>
      <c r="AW164" s="31">
        <v>1</v>
      </c>
      <c r="AX164" s="31"/>
      <c r="AY164" s="31"/>
      <c r="AZ164" s="31"/>
      <c r="BA164" s="31">
        <v>1</v>
      </c>
      <c r="BB164" s="31"/>
      <c r="BC164" s="31">
        <v>1</v>
      </c>
      <c r="BD164" s="31"/>
      <c r="CC164" s="33"/>
      <c r="CD164" s="33"/>
      <c r="CE164" s="33"/>
      <c r="CF164" s="33">
        <v>68</v>
      </c>
      <c r="CG164" s="33"/>
      <c r="CH164" s="33"/>
      <c r="CI164" s="33"/>
      <c r="CJ164" s="33"/>
      <c r="CK164" s="33">
        <v>9</v>
      </c>
      <c r="CL164" s="33">
        <v>2</v>
      </c>
      <c r="CM164" s="33">
        <v>0.1</v>
      </c>
      <c r="CN164" s="33"/>
      <c r="CO164" s="33"/>
      <c r="CP164" s="33"/>
      <c r="CQ164" s="33"/>
      <c r="CR164" s="33"/>
      <c r="CS164" s="33"/>
      <c r="CT164" s="34"/>
      <c r="CU164" s="33"/>
      <c r="CV164" s="33"/>
      <c r="CW164" s="33"/>
      <c r="CX164" s="33"/>
      <c r="CY164" s="33"/>
      <c r="CZ164" s="33"/>
      <c r="DA164" s="33">
        <v>4</v>
      </c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EX164" s="35"/>
      <c r="EY164" s="35"/>
      <c r="EZ164" s="35"/>
      <c r="FA164" s="35"/>
      <c r="FB164" s="35"/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</row>
    <row r="165" spans="1:169" x14ac:dyDescent="0.25">
      <c r="A165" s="26" t="str">
        <f t="shared" si="14"/>
        <v>YB_L_3_E_10_2023</v>
      </c>
      <c r="B165" s="26" t="str">
        <f t="shared" si="15"/>
        <v>YB_L_3_E_10</v>
      </c>
      <c r="C165" s="6" t="str">
        <f t="shared" si="16"/>
        <v>YB_2023</v>
      </c>
      <c r="D165" s="68" t="s">
        <v>29</v>
      </c>
      <c r="E165" s="78">
        <v>45111</v>
      </c>
      <c r="F165" s="68">
        <v>2023</v>
      </c>
      <c r="G165" s="68" t="s">
        <v>277</v>
      </c>
      <c r="H165" s="68" t="s">
        <v>277</v>
      </c>
      <c r="I165" s="27">
        <v>10</v>
      </c>
      <c r="J165" s="27" t="s">
        <v>230</v>
      </c>
      <c r="K165" s="27">
        <v>3</v>
      </c>
      <c r="L165" s="68" t="s">
        <v>204</v>
      </c>
      <c r="M165" s="7"/>
      <c r="N165" s="27" t="s">
        <v>264</v>
      </c>
      <c r="O165" s="67">
        <f t="shared" si="13"/>
        <v>109.1</v>
      </c>
      <c r="P165" s="29">
        <v>47</v>
      </c>
      <c r="Q165" s="29">
        <v>4</v>
      </c>
      <c r="R165" s="29"/>
      <c r="S165" s="29">
        <v>33</v>
      </c>
      <c r="T165" s="29"/>
      <c r="U165" s="29">
        <v>0.1</v>
      </c>
      <c r="V165" s="29"/>
      <c r="W165" s="29"/>
      <c r="X165" s="29"/>
      <c r="Y165" s="29"/>
      <c r="Z165" s="29"/>
      <c r="AA165" s="29"/>
      <c r="AB165" s="29">
        <v>1</v>
      </c>
      <c r="AC165" s="29">
        <v>2</v>
      </c>
      <c r="AD165" s="29"/>
      <c r="AE165" s="29"/>
      <c r="AF165" s="29"/>
      <c r="AG165" s="29"/>
      <c r="AH165" s="29">
        <v>6</v>
      </c>
      <c r="AI165" s="29">
        <v>7</v>
      </c>
      <c r="AJ165" s="30">
        <v>9</v>
      </c>
      <c r="AK165" s="30"/>
      <c r="AL165" s="30"/>
      <c r="AM165" s="30"/>
      <c r="AN165" s="30"/>
      <c r="AO165" s="30"/>
      <c r="AP165" s="31"/>
      <c r="AQ165" s="31"/>
      <c r="AR165" s="31">
        <v>2</v>
      </c>
      <c r="AS165" s="31"/>
      <c r="AT165" s="31"/>
      <c r="AU165" s="31"/>
      <c r="AV165" s="31"/>
      <c r="AW165" s="31">
        <v>4</v>
      </c>
      <c r="AX165" s="31"/>
      <c r="AY165" s="31"/>
      <c r="AZ165" s="31"/>
      <c r="BA165" s="31">
        <v>2</v>
      </c>
      <c r="BB165" s="31"/>
      <c r="BC165" s="31"/>
      <c r="BD165" s="31"/>
      <c r="CC165" s="33"/>
      <c r="CD165" s="33"/>
      <c r="CE165" s="33"/>
      <c r="CF165" s="33"/>
      <c r="CG165" s="33">
        <v>70</v>
      </c>
      <c r="CH165" s="33"/>
      <c r="CI165" s="33"/>
      <c r="CJ165" s="33"/>
      <c r="CK165" s="33"/>
      <c r="CL165" s="33">
        <v>1</v>
      </c>
      <c r="CM165" s="33">
        <v>7</v>
      </c>
      <c r="CN165" s="33"/>
      <c r="CO165" s="33"/>
      <c r="CP165" s="33"/>
      <c r="CQ165" s="33"/>
      <c r="CR165" s="33">
        <v>3</v>
      </c>
      <c r="CS165" s="33"/>
      <c r="CT165" s="34"/>
      <c r="CU165" s="33"/>
      <c r="CV165" s="33"/>
      <c r="CW165" s="33"/>
      <c r="CX165" s="33"/>
      <c r="CY165" s="33"/>
      <c r="CZ165" s="33">
        <v>1</v>
      </c>
      <c r="DA165" s="33"/>
      <c r="DB165" s="33"/>
      <c r="DC165" s="33"/>
      <c r="DD165" s="33"/>
      <c r="DE165" s="33"/>
      <c r="DF165" s="33"/>
      <c r="DG165" s="33">
        <v>1</v>
      </c>
      <c r="DH165" s="33"/>
      <c r="DI165" s="33"/>
      <c r="DJ165" s="33">
        <v>4</v>
      </c>
      <c r="DK165" s="33"/>
      <c r="DL165" s="33"/>
      <c r="DM165" s="33"/>
      <c r="EX165" s="35"/>
      <c r="EY165" s="35"/>
      <c r="EZ165" s="35"/>
      <c r="FA165" s="35"/>
      <c r="FB165" s="35"/>
      <c r="FC165" s="35"/>
      <c r="FD165" s="35"/>
      <c r="FE165" s="35"/>
      <c r="FF165" s="35"/>
      <c r="FG165" s="35"/>
      <c r="FH165" s="35"/>
      <c r="FI165" s="35"/>
      <c r="FJ165" s="35"/>
      <c r="FK165" s="35"/>
      <c r="FL165" s="35"/>
      <c r="FM165" s="35"/>
    </row>
    <row r="166" spans="1:169" x14ac:dyDescent="0.25">
      <c r="A166" s="26" t="str">
        <f t="shared" si="14"/>
        <v>YB_M_1_E_08_2023</v>
      </c>
      <c r="B166" s="26" t="str">
        <f t="shared" si="15"/>
        <v>YB_M_1_E_08</v>
      </c>
      <c r="C166" s="6" t="str">
        <f t="shared" si="16"/>
        <v>YB_2023</v>
      </c>
      <c r="D166" s="68" t="s">
        <v>29</v>
      </c>
      <c r="E166" s="78">
        <v>45111</v>
      </c>
      <c r="F166" s="68">
        <v>2023</v>
      </c>
      <c r="G166" s="68" t="s">
        <v>277</v>
      </c>
      <c r="H166" s="68" t="s">
        <v>277</v>
      </c>
      <c r="I166" s="27">
        <v>8</v>
      </c>
      <c r="J166" s="27" t="s">
        <v>231</v>
      </c>
      <c r="K166" s="27">
        <v>1</v>
      </c>
      <c r="L166" s="68" t="s">
        <v>204</v>
      </c>
      <c r="M166" s="7" t="s">
        <v>272</v>
      </c>
      <c r="N166" s="27" t="s">
        <v>264</v>
      </c>
      <c r="O166" s="67">
        <f t="shared" si="13"/>
        <v>100</v>
      </c>
      <c r="P166" s="29">
        <v>40</v>
      </c>
      <c r="Q166" s="29"/>
      <c r="R166" s="29"/>
      <c r="S166" s="29"/>
      <c r="T166" s="29"/>
      <c r="U166" s="29">
        <v>1</v>
      </c>
      <c r="V166" s="29"/>
      <c r="W166" s="29">
        <v>4</v>
      </c>
      <c r="X166" s="29">
        <v>28</v>
      </c>
      <c r="Y166" s="29">
        <v>6</v>
      </c>
      <c r="Z166" s="29">
        <v>19</v>
      </c>
      <c r="AA166" s="29"/>
      <c r="AB166" s="29">
        <v>1</v>
      </c>
      <c r="AC166" s="29">
        <v>1</v>
      </c>
      <c r="AD166" s="29"/>
      <c r="AE166" s="29"/>
      <c r="AF166" s="29"/>
      <c r="AG166" s="29"/>
      <c r="AH166" s="29"/>
      <c r="AI166" s="29"/>
      <c r="AJ166" s="30"/>
      <c r="AK166" s="30"/>
      <c r="AL166" s="30"/>
      <c r="AM166" s="30"/>
      <c r="AN166" s="30"/>
      <c r="AO166" s="30"/>
      <c r="AP166" s="31"/>
      <c r="AQ166" s="31"/>
      <c r="AR166" s="31">
        <v>1</v>
      </c>
      <c r="AS166" s="31">
        <v>43</v>
      </c>
      <c r="AT166" s="31">
        <v>16</v>
      </c>
      <c r="AU166" s="31">
        <v>21</v>
      </c>
      <c r="AV166" s="31"/>
      <c r="AW166" s="31"/>
      <c r="AX166" s="31"/>
      <c r="AY166" s="31"/>
      <c r="AZ166" s="31"/>
      <c r="BA166" s="31"/>
      <c r="BB166" s="31"/>
      <c r="BC166" s="31"/>
      <c r="BD166" s="31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>
        <v>2</v>
      </c>
      <c r="CP166" s="33"/>
      <c r="CQ166" s="33"/>
      <c r="CR166" s="33">
        <v>1</v>
      </c>
      <c r="CS166" s="33"/>
      <c r="CT166" s="34"/>
      <c r="CU166" s="33"/>
      <c r="CV166" s="33"/>
      <c r="CW166" s="33"/>
      <c r="CX166" s="33"/>
      <c r="CY166" s="33">
        <v>1</v>
      </c>
      <c r="CZ166" s="33">
        <v>2</v>
      </c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</row>
    <row r="167" spans="1:169" x14ac:dyDescent="0.25">
      <c r="A167" s="26" t="str">
        <f t="shared" si="14"/>
        <v>YB_M_1_E_04_2023</v>
      </c>
      <c r="B167" s="26" t="str">
        <f t="shared" si="15"/>
        <v>YB_M_1_E_04</v>
      </c>
      <c r="C167" s="6" t="str">
        <f>CONCATENATE(D167,,"_",F167)</f>
        <v>YB_2023</v>
      </c>
      <c r="D167" s="68" t="s">
        <v>29</v>
      </c>
      <c r="E167" s="78">
        <v>45111</v>
      </c>
      <c r="F167" s="68">
        <v>2023</v>
      </c>
      <c r="G167" s="68" t="s">
        <v>277</v>
      </c>
      <c r="H167" s="68" t="s">
        <v>277</v>
      </c>
      <c r="I167" s="27">
        <v>4</v>
      </c>
      <c r="J167" s="27" t="s">
        <v>231</v>
      </c>
      <c r="K167" s="27">
        <v>1</v>
      </c>
      <c r="L167" s="68" t="s">
        <v>204</v>
      </c>
      <c r="M167" s="7" t="s">
        <v>287</v>
      </c>
      <c r="N167" s="27" t="s">
        <v>264</v>
      </c>
      <c r="O167" s="67">
        <f t="shared" si="13"/>
        <v>100</v>
      </c>
      <c r="P167" s="29">
        <v>5</v>
      </c>
      <c r="Q167" s="29"/>
      <c r="R167" s="29"/>
      <c r="S167" s="29"/>
      <c r="T167" s="29"/>
      <c r="U167" s="29"/>
      <c r="V167" s="29"/>
      <c r="W167" s="29"/>
      <c r="X167" s="29"/>
      <c r="Y167" s="29"/>
      <c r="Z167" s="29">
        <v>91</v>
      </c>
      <c r="AA167" s="29"/>
      <c r="AB167" s="29">
        <v>3</v>
      </c>
      <c r="AC167" s="29">
        <v>1</v>
      </c>
      <c r="AD167" s="29"/>
      <c r="AE167" s="29"/>
      <c r="AF167" s="29"/>
      <c r="AG167" s="29"/>
      <c r="AH167" s="29"/>
      <c r="AI167" s="29"/>
      <c r="AJ167" s="30"/>
      <c r="AK167" s="30"/>
      <c r="AL167" s="30"/>
      <c r="AM167" s="30"/>
      <c r="AN167" s="30"/>
      <c r="AO167" s="30"/>
      <c r="AP167" s="31"/>
      <c r="AQ167" s="31"/>
      <c r="AR167" s="31">
        <v>5</v>
      </c>
      <c r="AS167" s="31">
        <v>6</v>
      </c>
      <c r="AT167" s="31">
        <v>35</v>
      </c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4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</row>
    <row r="168" spans="1:169" x14ac:dyDescent="0.25">
      <c r="A168" s="26" t="str">
        <f t="shared" si="14"/>
        <v>YB_M_1_E_02_2023</v>
      </c>
      <c r="B168" s="26" t="str">
        <f t="shared" si="15"/>
        <v>YB_M_1_E_02</v>
      </c>
      <c r="C168" s="6" t="str">
        <f>CONCATENATE(D168,,"_",F168)</f>
        <v>YB_2023</v>
      </c>
      <c r="D168" s="68" t="s">
        <v>29</v>
      </c>
      <c r="E168" s="78">
        <v>45111</v>
      </c>
      <c r="F168" s="68">
        <v>2023</v>
      </c>
      <c r="G168" s="68" t="s">
        <v>277</v>
      </c>
      <c r="H168" s="68" t="s">
        <v>277</v>
      </c>
      <c r="I168" s="27">
        <v>2</v>
      </c>
      <c r="J168" s="27" t="s">
        <v>231</v>
      </c>
      <c r="K168" s="27">
        <v>1</v>
      </c>
      <c r="L168" s="27" t="s">
        <v>204</v>
      </c>
      <c r="M168" s="7" t="s">
        <v>286</v>
      </c>
      <c r="N168" s="27" t="s">
        <v>264</v>
      </c>
      <c r="O168" s="67">
        <f t="shared" si="13"/>
        <v>96</v>
      </c>
      <c r="P168" s="29"/>
      <c r="Q168" s="29"/>
      <c r="R168" s="29"/>
      <c r="S168" s="29"/>
      <c r="T168" s="29"/>
      <c r="U168" s="29">
        <v>3</v>
      </c>
      <c r="V168" s="29"/>
      <c r="W168" s="29">
        <v>1</v>
      </c>
      <c r="X168" s="29"/>
      <c r="Y168" s="29">
        <v>2</v>
      </c>
      <c r="Z168" s="29">
        <v>88</v>
      </c>
      <c r="AA168" s="29"/>
      <c r="AB168" s="29">
        <v>2</v>
      </c>
      <c r="AC168" s="29"/>
      <c r="AD168" s="29"/>
      <c r="AE168" s="29"/>
      <c r="AF168" s="29"/>
      <c r="AG168" s="29"/>
      <c r="AH168" s="29"/>
      <c r="AI168" s="29"/>
      <c r="AJ168" s="30"/>
      <c r="AK168" s="30"/>
      <c r="AL168" s="30"/>
      <c r="AM168" s="30"/>
      <c r="AN168" s="30"/>
      <c r="AO168" s="30"/>
      <c r="AP168" s="31"/>
      <c r="AQ168" s="31"/>
      <c r="AR168" s="31"/>
      <c r="AS168" s="31">
        <v>31</v>
      </c>
      <c r="AT168" s="31">
        <v>16</v>
      </c>
      <c r="AU168" s="31">
        <v>60</v>
      </c>
      <c r="AV168" s="31"/>
      <c r="AW168" s="31"/>
      <c r="AX168" s="31"/>
      <c r="AY168" s="31"/>
      <c r="AZ168" s="31"/>
      <c r="BA168" s="31"/>
      <c r="BB168" s="31"/>
      <c r="BC168" s="31"/>
      <c r="BD168" s="31">
        <v>88</v>
      </c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4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</row>
    <row r="169" spans="1:169" x14ac:dyDescent="0.25">
      <c r="A169" s="26" t="str">
        <f t="shared" ref="A169:A174" si="17">CONCATENATE(D169,"_",J169,"_",K169,"_",L169,"_",TEXT(I169,"00"),"_",F169)</f>
        <v>YB_H_1__02_2023</v>
      </c>
      <c r="B169" s="26" t="str">
        <f t="shared" ref="B169:B174" si="18">CONCATENATE(D169,"_",J169,"_",K169,"_",L169,"_",TEXT(I169,"00"))</f>
        <v>YB_H_1__02</v>
      </c>
      <c r="C169" s="6" t="str">
        <f t="shared" ref="C169:C174" si="19">CONCATENATE(D169,,"_",F169)</f>
        <v>YB_2023</v>
      </c>
      <c r="D169" s="27" t="s">
        <v>29</v>
      </c>
      <c r="E169" s="73">
        <v>45111</v>
      </c>
      <c r="F169" s="27">
        <v>2023</v>
      </c>
      <c r="G169" s="27" t="s">
        <v>277</v>
      </c>
      <c r="H169" s="27" t="s">
        <v>277</v>
      </c>
      <c r="I169" s="27">
        <v>2</v>
      </c>
      <c r="J169" s="27" t="s">
        <v>229</v>
      </c>
      <c r="K169" s="27">
        <v>1</v>
      </c>
      <c r="N169" s="27" t="s">
        <v>299</v>
      </c>
      <c r="O169" s="11">
        <f t="shared" si="13"/>
        <v>100.1</v>
      </c>
      <c r="P169" s="29">
        <v>58</v>
      </c>
      <c r="Q169" s="29"/>
      <c r="R169" s="29"/>
      <c r="S169" s="29"/>
      <c r="T169" s="29"/>
      <c r="U169" s="29">
        <v>38</v>
      </c>
      <c r="V169" s="29"/>
      <c r="W169" s="29">
        <v>1</v>
      </c>
      <c r="X169" s="29"/>
      <c r="Y169" s="29"/>
      <c r="Z169" s="29"/>
      <c r="AA169" s="29">
        <v>0.1</v>
      </c>
      <c r="AB169" s="29"/>
      <c r="AC169" s="29">
        <v>3</v>
      </c>
      <c r="AD169" s="29"/>
      <c r="AE169" s="29"/>
      <c r="AF169" s="29"/>
      <c r="AG169" s="29"/>
      <c r="AH169" s="29"/>
      <c r="AI169" s="29"/>
      <c r="AJ169" s="30"/>
      <c r="AK169" s="30"/>
      <c r="AL169" s="30"/>
      <c r="AM169" s="30"/>
      <c r="AN169" s="30"/>
      <c r="AO169" s="30"/>
      <c r="AP169" s="31"/>
      <c r="AQ169" s="31"/>
      <c r="AR169" s="31"/>
      <c r="AS169" s="31">
        <v>1</v>
      </c>
      <c r="AT169" s="31"/>
      <c r="AU169" s="31">
        <v>59</v>
      </c>
      <c r="AV169" s="31"/>
      <c r="AW169" s="31"/>
      <c r="AX169" s="31"/>
      <c r="AY169" s="31"/>
      <c r="AZ169" s="31"/>
      <c r="BA169" s="31"/>
      <c r="BB169" s="31"/>
      <c r="BC169" s="31"/>
      <c r="BD169" s="31"/>
      <c r="CC169" s="33"/>
      <c r="CD169" s="33"/>
      <c r="CE169" s="33"/>
      <c r="CF169" s="33"/>
      <c r="CG169" s="33"/>
      <c r="CH169" s="33"/>
      <c r="CI169" s="33"/>
      <c r="CJ169" s="33"/>
      <c r="CK169" s="33">
        <v>0.1</v>
      </c>
      <c r="CL169" s="33"/>
      <c r="CM169" s="33"/>
      <c r="CN169" s="33"/>
      <c r="CO169" s="33"/>
      <c r="CP169" s="33"/>
      <c r="CQ169" s="33"/>
      <c r="CR169" s="33"/>
      <c r="CS169" s="33"/>
      <c r="CT169" s="34"/>
      <c r="CU169" s="33">
        <v>2</v>
      </c>
      <c r="CV169" s="33"/>
      <c r="CW169" s="33">
        <v>0.1</v>
      </c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</row>
    <row r="170" spans="1:169" x14ac:dyDescent="0.25">
      <c r="A170" s="26" t="str">
        <f t="shared" si="17"/>
        <v>YB_H_1__03_2023</v>
      </c>
      <c r="B170" s="26" t="str">
        <f t="shared" si="18"/>
        <v>YB_H_1__03</v>
      </c>
      <c r="C170" s="6" t="str">
        <f t="shared" si="19"/>
        <v>YB_2023</v>
      </c>
      <c r="D170" s="27" t="s">
        <v>29</v>
      </c>
      <c r="E170" s="73">
        <v>45111</v>
      </c>
      <c r="F170" s="27">
        <v>2023</v>
      </c>
      <c r="G170" s="27" t="s">
        <v>277</v>
      </c>
      <c r="H170" s="27" t="s">
        <v>277</v>
      </c>
      <c r="I170" s="27">
        <v>3</v>
      </c>
      <c r="J170" s="27" t="s">
        <v>229</v>
      </c>
      <c r="K170" s="27">
        <v>1</v>
      </c>
      <c r="N170" s="27" t="s">
        <v>299</v>
      </c>
      <c r="O170" s="11">
        <f t="shared" si="13"/>
        <v>100.19999999999999</v>
      </c>
      <c r="P170" s="29"/>
      <c r="Q170" s="29">
        <v>18</v>
      </c>
      <c r="R170" s="29"/>
      <c r="S170" s="29"/>
      <c r="T170" s="29"/>
      <c r="U170" s="29">
        <v>82</v>
      </c>
      <c r="V170" s="29"/>
      <c r="W170" s="29">
        <v>0.1</v>
      </c>
      <c r="X170" s="29"/>
      <c r="Y170" s="29"/>
      <c r="Z170" s="29"/>
      <c r="AA170" s="29">
        <v>0.1</v>
      </c>
      <c r="AB170" s="29"/>
      <c r="AC170" s="29"/>
      <c r="AD170" s="29"/>
      <c r="AE170" s="29"/>
      <c r="AF170" s="29"/>
      <c r="AG170" s="29"/>
      <c r="AH170" s="29"/>
      <c r="AI170" s="29"/>
      <c r="AJ170" s="30"/>
      <c r="AK170" s="30"/>
      <c r="AL170" s="30"/>
      <c r="AM170" s="30"/>
      <c r="AN170" s="30"/>
      <c r="AO170" s="30"/>
      <c r="AP170" s="31"/>
      <c r="AQ170" s="31"/>
      <c r="AR170" s="31"/>
      <c r="AS170" s="31"/>
      <c r="AT170" s="31"/>
      <c r="AU170" s="31">
        <v>24</v>
      </c>
      <c r="AV170" s="31"/>
      <c r="AW170" s="31"/>
      <c r="AX170" s="31"/>
      <c r="AY170" s="31"/>
      <c r="AZ170" s="31"/>
      <c r="BA170" s="31"/>
      <c r="BB170" s="31"/>
      <c r="BC170" s="31"/>
      <c r="BD170" s="31"/>
      <c r="CC170" s="33"/>
      <c r="CD170" s="33"/>
      <c r="CE170" s="33"/>
      <c r="CF170" s="33"/>
      <c r="CG170" s="33"/>
      <c r="CH170" s="33"/>
      <c r="CI170" s="33"/>
      <c r="CJ170" s="33">
        <v>0.1</v>
      </c>
      <c r="CK170" s="33"/>
      <c r="CL170" s="33"/>
      <c r="CM170" s="33"/>
      <c r="CN170" s="33"/>
      <c r="CO170" s="33"/>
      <c r="CP170" s="33"/>
      <c r="CQ170" s="33"/>
      <c r="CR170" s="33"/>
      <c r="CS170" s="33"/>
      <c r="CT170" s="34"/>
      <c r="CU170" s="33">
        <v>2</v>
      </c>
      <c r="CV170" s="33"/>
      <c r="CW170" s="33">
        <v>1</v>
      </c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EZ170" s="16">
        <v>2</v>
      </c>
    </row>
    <row r="171" spans="1:169" x14ac:dyDescent="0.25">
      <c r="A171" s="26" t="str">
        <f t="shared" si="17"/>
        <v>YB_H_1__05_2023</v>
      </c>
      <c r="B171" s="26" t="str">
        <f t="shared" si="18"/>
        <v>YB_H_1__05</v>
      </c>
      <c r="C171" s="6" t="str">
        <f t="shared" si="19"/>
        <v>YB_2023</v>
      </c>
      <c r="D171" s="27" t="s">
        <v>29</v>
      </c>
      <c r="E171" s="73">
        <v>45111</v>
      </c>
      <c r="F171" s="27">
        <v>2023</v>
      </c>
      <c r="G171" s="27" t="s">
        <v>277</v>
      </c>
      <c r="H171" s="27" t="s">
        <v>277</v>
      </c>
      <c r="I171" s="27">
        <v>5</v>
      </c>
      <c r="J171" s="27" t="s">
        <v>229</v>
      </c>
      <c r="K171" s="27">
        <v>1</v>
      </c>
      <c r="N171" s="27" t="s">
        <v>299</v>
      </c>
      <c r="O171" s="11">
        <f t="shared" si="13"/>
        <v>100</v>
      </c>
      <c r="P171" s="29">
        <v>19</v>
      </c>
      <c r="Q171" s="29">
        <v>50</v>
      </c>
      <c r="R171" s="29">
        <v>23</v>
      </c>
      <c r="S171" s="29"/>
      <c r="T171" s="29"/>
      <c r="U171" s="29">
        <v>6</v>
      </c>
      <c r="V171" s="29"/>
      <c r="W171" s="29"/>
      <c r="X171" s="29"/>
      <c r="Y171" s="29"/>
      <c r="Z171" s="29"/>
      <c r="AA171" s="29"/>
      <c r="AB171" s="29"/>
      <c r="AC171" s="29">
        <v>2</v>
      </c>
      <c r="AD171" s="29"/>
      <c r="AE171" s="29"/>
      <c r="AF171" s="29"/>
      <c r="AG171" s="29"/>
      <c r="AH171" s="29"/>
      <c r="AI171" s="29"/>
      <c r="AJ171" s="30"/>
      <c r="AK171" s="30"/>
      <c r="AL171" s="30"/>
      <c r="AM171" s="30"/>
      <c r="AN171" s="30"/>
      <c r="AO171" s="30"/>
      <c r="AP171" s="31"/>
      <c r="AQ171" s="31"/>
      <c r="AR171" s="31"/>
      <c r="AS171" s="31"/>
      <c r="AT171" s="31"/>
      <c r="AU171" s="31">
        <v>53</v>
      </c>
      <c r="AV171" s="31"/>
      <c r="AW171" s="31"/>
      <c r="AX171" s="31"/>
      <c r="AY171" s="31"/>
      <c r="AZ171" s="31"/>
      <c r="BA171" s="31"/>
      <c r="BB171" s="31"/>
      <c r="BC171" s="31"/>
      <c r="BD171" s="31"/>
      <c r="CC171" s="33"/>
      <c r="CD171" s="33"/>
      <c r="CE171" s="33"/>
      <c r="CF171" s="33"/>
      <c r="CG171" s="33"/>
      <c r="CH171" s="33"/>
      <c r="CI171" s="33"/>
      <c r="CJ171" s="33">
        <v>1</v>
      </c>
      <c r="CK171" s="33"/>
      <c r="CL171" s="33"/>
      <c r="CM171" s="33"/>
      <c r="CN171" s="33"/>
      <c r="CO171" s="33"/>
      <c r="CP171" s="33"/>
      <c r="CQ171" s="33"/>
      <c r="CR171" s="33"/>
      <c r="CS171" s="33"/>
      <c r="CT171" s="34"/>
      <c r="CU171" s="33">
        <v>1</v>
      </c>
      <c r="CV171" s="33"/>
      <c r="CW171" s="33">
        <v>25</v>
      </c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EZ171" s="16">
        <v>1</v>
      </c>
    </row>
    <row r="172" spans="1:169" x14ac:dyDescent="0.25">
      <c r="A172" s="26" t="str">
        <f t="shared" si="17"/>
        <v>YB_H_1__07_2023</v>
      </c>
      <c r="B172" s="26" t="str">
        <f t="shared" si="18"/>
        <v>YB_H_1__07</v>
      </c>
      <c r="C172" s="6" t="str">
        <f t="shared" si="19"/>
        <v>YB_2023</v>
      </c>
      <c r="D172" s="27" t="s">
        <v>29</v>
      </c>
      <c r="E172" s="73">
        <v>45111</v>
      </c>
      <c r="F172" s="27">
        <v>2023</v>
      </c>
      <c r="G172" s="27" t="s">
        <v>277</v>
      </c>
      <c r="H172" s="27" t="s">
        <v>277</v>
      </c>
      <c r="I172" s="27">
        <v>7</v>
      </c>
      <c r="J172" s="27" t="s">
        <v>229</v>
      </c>
      <c r="K172" s="27">
        <v>1</v>
      </c>
      <c r="N172" s="27" t="s">
        <v>299</v>
      </c>
      <c r="O172" s="11">
        <f t="shared" si="13"/>
        <v>100.1</v>
      </c>
      <c r="P172" s="29">
        <v>2</v>
      </c>
      <c r="Q172" s="29">
        <v>53</v>
      </c>
      <c r="R172" s="29">
        <v>4</v>
      </c>
      <c r="S172" s="29"/>
      <c r="T172" s="29"/>
      <c r="U172" s="29">
        <v>23</v>
      </c>
      <c r="V172" s="29"/>
      <c r="W172" s="29"/>
      <c r="X172" s="29"/>
      <c r="Y172" s="29"/>
      <c r="Z172" s="29"/>
      <c r="AA172" s="29"/>
      <c r="AB172" s="29"/>
      <c r="AC172" s="29">
        <v>0.1</v>
      </c>
      <c r="AD172" s="29"/>
      <c r="AE172" s="29"/>
      <c r="AF172" s="29"/>
      <c r="AG172" s="29"/>
      <c r="AH172" s="29">
        <v>18</v>
      </c>
      <c r="AI172" s="29"/>
      <c r="AJ172" s="30"/>
      <c r="AK172" s="30"/>
      <c r="AL172" s="30"/>
      <c r="AM172" s="30"/>
      <c r="AN172" s="30"/>
      <c r="AO172" s="30"/>
      <c r="AP172" s="31"/>
      <c r="AQ172" s="31"/>
      <c r="AR172" s="31"/>
      <c r="AS172" s="31"/>
      <c r="AT172" s="31"/>
      <c r="AU172" s="31">
        <v>71</v>
      </c>
      <c r="AV172" s="31"/>
      <c r="AW172" s="31"/>
      <c r="AX172" s="31"/>
      <c r="AY172" s="31"/>
      <c r="AZ172" s="31"/>
      <c r="BA172" s="31"/>
      <c r="BB172" s="31"/>
      <c r="BC172" s="31"/>
      <c r="BD172" s="31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4"/>
      <c r="CU172" s="33"/>
      <c r="CV172" s="33"/>
      <c r="CW172" s="33">
        <v>21</v>
      </c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</row>
    <row r="173" spans="1:169" x14ac:dyDescent="0.25">
      <c r="A173" s="26" t="str">
        <f t="shared" si="17"/>
        <v>YB_H_1__09_2023</v>
      </c>
      <c r="B173" s="26" t="str">
        <f t="shared" si="18"/>
        <v>YB_H_1__09</v>
      </c>
      <c r="C173" s="6" t="str">
        <f t="shared" si="19"/>
        <v>YB_2023</v>
      </c>
      <c r="D173" s="27" t="s">
        <v>29</v>
      </c>
      <c r="E173" s="73">
        <v>45111</v>
      </c>
      <c r="F173" s="27">
        <v>2023</v>
      </c>
      <c r="G173" s="27" t="s">
        <v>277</v>
      </c>
      <c r="H173" s="27" t="s">
        <v>277</v>
      </c>
      <c r="I173" s="27">
        <v>9</v>
      </c>
      <c r="J173" s="27" t="s">
        <v>229</v>
      </c>
      <c r="K173" s="27">
        <v>1</v>
      </c>
      <c r="N173" s="27" t="s">
        <v>299</v>
      </c>
      <c r="O173" s="11">
        <f t="shared" si="13"/>
        <v>100</v>
      </c>
      <c r="P173" s="29">
        <v>3</v>
      </c>
      <c r="Q173" s="29">
        <v>72</v>
      </c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9">
        <v>5</v>
      </c>
      <c r="AD173" s="29"/>
      <c r="AE173" s="29"/>
      <c r="AF173" s="29"/>
      <c r="AG173" s="29">
        <v>2</v>
      </c>
      <c r="AH173" s="29">
        <v>18</v>
      </c>
      <c r="AI173" s="29"/>
      <c r="AJ173" s="30"/>
      <c r="AK173" s="30"/>
      <c r="AL173" s="30"/>
      <c r="AM173" s="30"/>
      <c r="AN173" s="30"/>
      <c r="AO173" s="30"/>
      <c r="AP173" s="31"/>
      <c r="AQ173" s="31">
        <v>3</v>
      </c>
      <c r="AR173" s="31"/>
      <c r="AS173" s="31"/>
      <c r="AT173" s="31"/>
      <c r="AU173" s="31">
        <v>120</v>
      </c>
      <c r="AV173" s="31"/>
      <c r="AW173" s="31"/>
      <c r="AX173" s="31"/>
      <c r="AY173" s="31"/>
      <c r="AZ173" s="31"/>
      <c r="BA173" s="31"/>
      <c r="BB173" s="31"/>
      <c r="BC173" s="31"/>
      <c r="BD173" s="31"/>
      <c r="CC173" s="33"/>
      <c r="CD173" s="33"/>
      <c r="CE173" s="33">
        <v>3</v>
      </c>
      <c r="CF173" s="33"/>
      <c r="CG173" s="33"/>
      <c r="CH173" s="33"/>
      <c r="CI173" s="33"/>
      <c r="CJ173" s="33"/>
      <c r="CK173" s="33"/>
      <c r="CL173" s="33">
        <v>0.1</v>
      </c>
      <c r="CM173" s="33"/>
      <c r="CN173" s="33"/>
      <c r="CO173" s="33"/>
      <c r="CP173" s="33"/>
      <c r="CQ173" s="33"/>
      <c r="CR173" s="33"/>
      <c r="CS173" s="33"/>
      <c r="CT173" s="34"/>
      <c r="CU173" s="33"/>
      <c r="CV173" s="33"/>
      <c r="CW173" s="33"/>
      <c r="CX173" s="33"/>
      <c r="CY173" s="33"/>
      <c r="CZ173" s="33"/>
      <c r="DA173" s="33"/>
      <c r="DB173" s="33"/>
      <c r="DC173" s="33">
        <v>34</v>
      </c>
      <c r="DD173" s="33"/>
      <c r="DE173" s="33"/>
      <c r="DF173" s="33"/>
      <c r="DG173" s="33"/>
      <c r="DH173" s="33"/>
      <c r="DI173" s="33"/>
      <c r="DJ173" s="33"/>
      <c r="DK173" s="33">
        <v>1</v>
      </c>
      <c r="DL173" s="33"/>
      <c r="DM173" s="33"/>
    </row>
    <row r="174" spans="1:169" x14ac:dyDescent="0.25">
      <c r="A174" s="26" t="str">
        <f t="shared" si="17"/>
        <v>YB_H_1__10_2023</v>
      </c>
      <c r="B174" s="26" t="str">
        <f t="shared" si="18"/>
        <v>YB_H_1__10</v>
      </c>
      <c r="C174" s="6" t="str">
        <f t="shared" si="19"/>
        <v>YB_2023</v>
      </c>
      <c r="D174" s="27" t="s">
        <v>29</v>
      </c>
      <c r="E174" s="73">
        <v>45111</v>
      </c>
      <c r="F174" s="27">
        <v>2023</v>
      </c>
      <c r="G174" s="27" t="s">
        <v>277</v>
      </c>
      <c r="H174" s="27" t="s">
        <v>277</v>
      </c>
      <c r="I174" s="27">
        <v>10</v>
      </c>
      <c r="J174" s="27" t="s">
        <v>229</v>
      </c>
      <c r="K174" s="27">
        <v>1</v>
      </c>
      <c r="N174" s="27" t="s">
        <v>299</v>
      </c>
      <c r="O174" s="11">
        <f t="shared" si="13"/>
        <v>100.1</v>
      </c>
      <c r="P174" s="9">
        <v>59</v>
      </c>
      <c r="Q174" s="9">
        <v>11</v>
      </c>
      <c r="U174" s="9">
        <v>12</v>
      </c>
      <c r="W174" s="9">
        <v>0.1</v>
      </c>
      <c r="AB174" s="9">
        <v>2</v>
      </c>
      <c r="AC174" s="9">
        <v>15</v>
      </c>
      <c r="AH174" s="9">
        <v>1</v>
      </c>
      <c r="AT174" s="12">
        <v>29</v>
      </c>
      <c r="AU174" s="12">
        <v>122</v>
      </c>
      <c r="CC174" s="33"/>
      <c r="CD174" s="33">
        <v>0.1</v>
      </c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4"/>
      <c r="CU174" s="33">
        <v>0.1</v>
      </c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EZ174" s="16">
        <v>0.1</v>
      </c>
    </row>
    <row r="175" spans="1:169" x14ac:dyDescent="0.25">
      <c r="A175" s="26" t="str">
        <f t="shared" ref="A175:A193" si="20">CONCATENATE(D175,"_",J175,"_",K175,"_",L175,"_",TEXT(I175,"00"),"_",F175)</f>
        <v>CB_L_2__07_2023</v>
      </c>
      <c r="B175" s="26" t="str">
        <f t="shared" ref="B175:B193" si="21">CONCATENATE(D175,"_",J175,"_",K175,"_",L175,"_",TEXT(I175,"00"))</f>
        <v>CB_L_2__07</v>
      </c>
      <c r="C175" s="6" t="str">
        <f t="shared" ref="C175:C193" si="22">CONCATENATE(D175,,"_",F175)</f>
        <v>CB_2023</v>
      </c>
      <c r="D175" s="27" t="s">
        <v>300</v>
      </c>
      <c r="E175" s="73">
        <v>45113</v>
      </c>
      <c r="F175" s="27">
        <v>2023</v>
      </c>
      <c r="G175" s="27" t="s">
        <v>301</v>
      </c>
      <c r="H175" s="27" t="s">
        <v>301</v>
      </c>
      <c r="I175" s="27">
        <v>7</v>
      </c>
      <c r="J175" s="27" t="s">
        <v>230</v>
      </c>
      <c r="K175" s="27">
        <v>2</v>
      </c>
      <c r="N175" s="27" t="s">
        <v>299</v>
      </c>
      <c r="O175" s="11">
        <f t="shared" si="13"/>
        <v>100.2</v>
      </c>
      <c r="P175" s="9">
        <v>6</v>
      </c>
      <c r="Q175" s="9">
        <v>5</v>
      </c>
      <c r="U175" s="9">
        <v>0.1</v>
      </c>
      <c r="W175" s="9">
        <v>0.1</v>
      </c>
      <c r="AE175" s="9">
        <v>5</v>
      </c>
      <c r="AF175" s="9">
        <v>2</v>
      </c>
      <c r="AG175" s="9">
        <v>1</v>
      </c>
      <c r="AH175" s="9">
        <v>81</v>
      </c>
      <c r="CC175" s="33"/>
      <c r="CD175" s="33">
        <v>4</v>
      </c>
      <c r="CE175" s="33">
        <v>3</v>
      </c>
      <c r="CF175" s="33">
        <v>30</v>
      </c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4"/>
      <c r="CU175" s="33">
        <v>1</v>
      </c>
      <c r="CV175" s="33">
        <v>2</v>
      </c>
      <c r="CW175" s="33">
        <v>4</v>
      </c>
      <c r="CX175" s="33"/>
      <c r="CY175" s="33"/>
      <c r="CZ175" s="33">
        <v>3</v>
      </c>
      <c r="DA175" s="33">
        <v>14</v>
      </c>
      <c r="DB175" s="33">
        <v>11</v>
      </c>
      <c r="DC175" s="33"/>
      <c r="DD175" s="33"/>
      <c r="DE175" s="33"/>
      <c r="DF175" s="33"/>
      <c r="DG175" s="33"/>
      <c r="DH175" s="33"/>
      <c r="DI175" s="33"/>
      <c r="DJ175" s="33"/>
      <c r="DK175" s="33">
        <v>5</v>
      </c>
      <c r="DL175" s="33"/>
      <c r="DM175" s="33"/>
    </row>
    <row r="176" spans="1:169" x14ac:dyDescent="0.25">
      <c r="A176" s="26" t="str">
        <f t="shared" si="20"/>
        <v>CB_L_2__08_2023</v>
      </c>
      <c r="B176" s="26" t="str">
        <f t="shared" si="21"/>
        <v>CB_L_2__08</v>
      </c>
      <c r="C176" s="6" t="str">
        <f t="shared" si="22"/>
        <v>CB_2023</v>
      </c>
      <c r="D176" s="27" t="s">
        <v>300</v>
      </c>
      <c r="E176" s="73">
        <v>45113</v>
      </c>
      <c r="F176" s="27">
        <v>2023</v>
      </c>
      <c r="G176" s="27" t="s">
        <v>301</v>
      </c>
      <c r="H176" s="27" t="s">
        <v>301</v>
      </c>
      <c r="I176" s="27">
        <v>8</v>
      </c>
      <c r="J176" s="27" t="s">
        <v>230</v>
      </c>
      <c r="K176" s="27">
        <v>2</v>
      </c>
      <c r="N176" s="27" t="s">
        <v>299</v>
      </c>
      <c r="O176" s="11">
        <f t="shared" si="13"/>
        <v>100.1</v>
      </c>
      <c r="P176" s="9">
        <v>41</v>
      </c>
      <c r="Q176" s="9">
        <v>5</v>
      </c>
      <c r="S176" s="9">
        <v>0.1</v>
      </c>
      <c r="W176" s="9">
        <v>23</v>
      </c>
      <c r="AE176" s="9">
        <v>4</v>
      </c>
      <c r="AF176" s="9">
        <v>2</v>
      </c>
      <c r="AG176" s="9">
        <v>3</v>
      </c>
      <c r="AH176" s="9">
        <v>22</v>
      </c>
      <c r="CC176" s="33"/>
      <c r="CD176" s="33"/>
      <c r="CE176" s="33">
        <v>3</v>
      </c>
      <c r="CF176" s="33">
        <v>8</v>
      </c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4"/>
      <c r="CU176" s="33">
        <v>17</v>
      </c>
      <c r="CV176" s="33">
        <v>2</v>
      </c>
      <c r="CW176" s="33">
        <v>5</v>
      </c>
      <c r="CX176" s="33"/>
      <c r="CY176" s="33"/>
      <c r="CZ176" s="33"/>
      <c r="DA176" s="33">
        <v>7</v>
      </c>
      <c r="DB176" s="33">
        <v>2</v>
      </c>
      <c r="DC176" s="33"/>
      <c r="DD176" s="33"/>
      <c r="DE176" s="33"/>
      <c r="DF176" s="33"/>
      <c r="DG176" s="33"/>
      <c r="DH176" s="33"/>
      <c r="DI176" s="33"/>
      <c r="DJ176" s="33"/>
      <c r="DK176" s="33">
        <v>9</v>
      </c>
      <c r="DL176" s="33"/>
      <c r="DM176" s="33"/>
    </row>
    <row r="177" spans="1:174" x14ac:dyDescent="0.25">
      <c r="A177" s="26" t="str">
        <f t="shared" si="20"/>
        <v>CB_L_2__09_2023</v>
      </c>
      <c r="B177" s="26" t="str">
        <f t="shared" si="21"/>
        <v>CB_L_2__09</v>
      </c>
      <c r="C177" s="6" t="str">
        <f t="shared" si="22"/>
        <v>CB_2023</v>
      </c>
      <c r="D177" s="27" t="s">
        <v>300</v>
      </c>
      <c r="E177" s="73">
        <v>45113</v>
      </c>
      <c r="F177" s="27">
        <v>2023</v>
      </c>
      <c r="G177" s="27" t="s">
        <v>301</v>
      </c>
      <c r="H177" s="27" t="s">
        <v>301</v>
      </c>
      <c r="I177" s="27">
        <v>9</v>
      </c>
      <c r="J177" s="27" t="s">
        <v>230</v>
      </c>
      <c r="K177" s="27">
        <v>2</v>
      </c>
      <c r="N177" s="27" t="s">
        <v>299</v>
      </c>
      <c r="O177" s="11">
        <f t="shared" si="13"/>
        <v>100</v>
      </c>
      <c r="P177" s="9">
        <v>51</v>
      </c>
      <c r="R177" s="9">
        <v>4</v>
      </c>
      <c r="S177" s="9">
        <v>2</v>
      </c>
      <c r="U177" s="9">
        <v>2</v>
      </c>
      <c r="W177" s="9">
        <v>19</v>
      </c>
      <c r="AB177" s="9">
        <v>2</v>
      </c>
      <c r="AF177" s="9">
        <v>2</v>
      </c>
      <c r="AG177" s="9">
        <v>1</v>
      </c>
      <c r="AH177" s="9">
        <v>17</v>
      </c>
      <c r="AT177" s="12">
        <v>4</v>
      </c>
      <c r="AV177" s="12">
        <v>1</v>
      </c>
      <c r="AY177" s="12">
        <v>1</v>
      </c>
      <c r="BC177" s="12">
        <v>1</v>
      </c>
      <c r="CE177" s="14">
        <v>5</v>
      </c>
      <c r="CK177" s="14">
        <v>1</v>
      </c>
      <c r="CT177" s="15">
        <v>2</v>
      </c>
      <c r="CU177" s="14">
        <v>4</v>
      </c>
      <c r="CV177" s="14">
        <v>2</v>
      </c>
      <c r="CW177" s="14">
        <v>3</v>
      </c>
      <c r="CZ177" s="14">
        <v>3</v>
      </c>
      <c r="DA177" s="14">
        <v>3</v>
      </c>
      <c r="DB177" s="14">
        <v>13</v>
      </c>
      <c r="DI177" s="14">
        <v>22</v>
      </c>
      <c r="DK177" s="14">
        <v>1</v>
      </c>
    </row>
    <row r="178" spans="1:174" x14ac:dyDescent="0.25">
      <c r="A178" s="26" t="str">
        <f t="shared" si="20"/>
        <v>CB_L_2__10_2023</v>
      </c>
      <c r="B178" s="26" t="str">
        <f t="shared" si="21"/>
        <v>CB_L_2__10</v>
      </c>
      <c r="C178" s="6" t="str">
        <f t="shared" si="22"/>
        <v>CB_2023</v>
      </c>
      <c r="D178" s="27" t="s">
        <v>300</v>
      </c>
      <c r="E178" s="73">
        <v>45113</v>
      </c>
      <c r="F178" s="27">
        <v>2023</v>
      </c>
      <c r="G178" s="27" t="s">
        <v>301</v>
      </c>
      <c r="H178" s="27" t="s">
        <v>301</v>
      </c>
      <c r="I178" s="27">
        <v>10</v>
      </c>
      <c r="J178" s="27" t="s">
        <v>230</v>
      </c>
      <c r="K178" s="27">
        <v>2</v>
      </c>
      <c r="N178" s="27" t="s">
        <v>299</v>
      </c>
      <c r="O178" s="11">
        <f t="shared" si="13"/>
        <v>100</v>
      </c>
      <c r="P178" s="9">
        <v>6</v>
      </c>
      <c r="Q178" s="9">
        <v>12</v>
      </c>
      <c r="R178" s="9">
        <v>11</v>
      </c>
      <c r="W178" s="9">
        <v>1</v>
      </c>
      <c r="AC178" s="9">
        <v>2</v>
      </c>
      <c r="AF178" s="9">
        <v>8</v>
      </c>
      <c r="AG178" s="9">
        <v>1</v>
      </c>
      <c r="AH178" s="9">
        <v>59</v>
      </c>
      <c r="CE178" s="14">
        <v>63</v>
      </c>
      <c r="CU178" s="14">
        <v>4</v>
      </c>
      <c r="CW178" s="14">
        <v>13</v>
      </c>
      <c r="CZ178" s="14">
        <v>12</v>
      </c>
      <c r="DA178" s="14">
        <v>1</v>
      </c>
      <c r="DB178" s="14">
        <v>1</v>
      </c>
      <c r="DK178" s="14">
        <v>2</v>
      </c>
    </row>
    <row r="179" spans="1:174" x14ac:dyDescent="0.25">
      <c r="A179" s="26" t="str">
        <f t="shared" si="20"/>
        <v>CB_M___01_2023</v>
      </c>
      <c r="B179" s="26" t="str">
        <f t="shared" si="21"/>
        <v>CB_M___01</v>
      </c>
      <c r="C179" s="6" t="str">
        <f t="shared" si="22"/>
        <v>CB_2023</v>
      </c>
      <c r="D179" s="27" t="s">
        <v>300</v>
      </c>
      <c r="E179" s="73">
        <v>45113</v>
      </c>
      <c r="F179" s="27">
        <v>2023</v>
      </c>
      <c r="G179" s="27" t="s">
        <v>301</v>
      </c>
      <c r="H179" s="27" t="s">
        <v>301</v>
      </c>
      <c r="I179" s="27">
        <v>1</v>
      </c>
      <c r="J179" s="27" t="s">
        <v>231</v>
      </c>
      <c r="N179" s="27" t="s">
        <v>299</v>
      </c>
      <c r="O179" s="11">
        <f t="shared" si="13"/>
        <v>100</v>
      </c>
      <c r="P179" s="9">
        <v>3</v>
      </c>
      <c r="T179" s="9">
        <v>1</v>
      </c>
      <c r="U179" s="9">
        <v>2</v>
      </c>
      <c r="W179" s="9">
        <v>2</v>
      </c>
      <c r="Z179" s="9">
        <v>21</v>
      </c>
      <c r="AH179" s="9">
        <v>71</v>
      </c>
      <c r="AR179" s="12">
        <v>2</v>
      </c>
      <c r="AS179" s="12">
        <v>8</v>
      </c>
      <c r="AT179" s="12">
        <v>21</v>
      </c>
      <c r="CL179" s="14">
        <v>4</v>
      </c>
      <c r="CR179" s="14">
        <v>18</v>
      </c>
      <c r="CX179" s="14">
        <v>1</v>
      </c>
      <c r="DB179" s="14">
        <v>38</v>
      </c>
    </row>
    <row r="180" spans="1:174" x14ac:dyDescent="0.25">
      <c r="A180" s="26" t="str">
        <f t="shared" si="20"/>
        <v>CB_M___02_2023</v>
      </c>
      <c r="B180" s="26" t="str">
        <f t="shared" si="21"/>
        <v>CB_M___02</v>
      </c>
      <c r="C180" s="6" t="str">
        <f t="shared" si="22"/>
        <v>CB_2023</v>
      </c>
      <c r="D180" s="27" t="s">
        <v>300</v>
      </c>
      <c r="E180" s="73">
        <v>45113</v>
      </c>
      <c r="F180" s="27">
        <v>2023</v>
      </c>
      <c r="G180" s="27" t="s">
        <v>301</v>
      </c>
      <c r="H180" s="27" t="s">
        <v>301</v>
      </c>
      <c r="I180" s="27">
        <v>2</v>
      </c>
      <c r="J180" s="27" t="s">
        <v>231</v>
      </c>
      <c r="N180" s="27" t="s">
        <v>299</v>
      </c>
      <c r="O180" s="11">
        <f t="shared" si="13"/>
        <v>100</v>
      </c>
      <c r="P180" s="9">
        <v>6</v>
      </c>
      <c r="R180" s="9">
        <v>3</v>
      </c>
      <c r="U180" s="9">
        <v>1</v>
      </c>
      <c r="X180" s="9">
        <v>1</v>
      </c>
      <c r="Z180" s="9">
        <v>89</v>
      </c>
      <c r="EZ180" s="16">
        <v>2</v>
      </c>
    </row>
    <row r="181" spans="1:174" x14ac:dyDescent="0.25">
      <c r="A181" s="26" t="str">
        <f t="shared" si="20"/>
        <v>CB_M___03_2023</v>
      </c>
      <c r="B181" s="26" t="str">
        <f t="shared" si="21"/>
        <v>CB_M___03</v>
      </c>
      <c r="C181" s="6" t="str">
        <f t="shared" si="22"/>
        <v>CB_2023</v>
      </c>
      <c r="D181" s="27" t="s">
        <v>300</v>
      </c>
      <c r="E181" s="73">
        <v>45113</v>
      </c>
      <c r="F181" s="27">
        <v>2023</v>
      </c>
      <c r="G181" s="27" t="s">
        <v>301</v>
      </c>
      <c r="H181" s="27" t="s">
        <v>301</v>
      </c>
      <c r="I181" s="27">
        <v>3</v>
      </c>
      <c r="J181" s="27" t="s">
        <v>231</v>
      </c>
      <c r="N181" s="27" t="s">
        <v>299</v>
      </c>
      <c r="O181" s="11">
        <f t="shared" si="13"/>
        <v>100</v>
      </c>
      <c r="Z181" s="9">
        <v>100</v>
      </c>
      <c r="AT181" s="12">
        <v>9</v>
      </c>
    </row>
    <row r="182" spans="1:174" x14ac:dyDescent="0.25">
      <c r="A182" s="26" t="str">
        <f t="shared" si="20"/>
        <v>CB_M___04_2023</v>
      </c>
      <c r="B182" s="26" t="str">
        <f t="shared" si="21"/>
        <v>CB_M___04</v>
      </c>
      <c r="C182" s="6" t="str">
        <f t="shared" si="22"/>
        <v>CB_2023</v>
      </c>
      <c r="D182" s="27" t="s">
        <v>300</v>
      </c>
      <c r="E182" s="73">
        <v>45113</v>
      </c>
      <c r="F182" s="27">
        <v>2023</v>
      </c>
      <c r="G182" s="27" t="s">
        <v>301</v>
      </c>
      <c r="H182" s="27" t="s">
        <v>301</v>
      </c>
      <c r="I182" s="27">
        <v>4</v>
      </c>
      <c r="J182" s="27" t="s">
        <v>231</v>
      </c>
      <c r="N182" s="27" t="s">
        <v>299</v>
      </c>
      <c r="O182" s="11">
        <f t="shared" si="13"/>
        <v>100</v>
      </c>
      <c r="X182" s="9">
        <v>2</v>
      </c>
      <c r="Z182" s="9">
        <v>98</v>
      </c>
      <c r="AS182" s="12">
        <v>1</v>
      </c>
      <c r="AT182" s="12">
        <v>35</v>
      </c>
      <c r="CJ182" s="14">
        <v>5</v>
      </c>
    </row>
    <row r="183" spans="1:174" x14ac:dyDescent="0.25">
      <c r="A183" s="26" t="str">
        <f t="shared" si="20"/>
        <v>CB_H___01_2023</v>
      </c>
      <c r="B183" s="26" t="str">
        <f t="shared" si="21"/>
        <v>CB_H___01</v>
      </c>
      <c r="C183" s="6" t="str">
        <f t="shared" si="22"/>
        <v>CB_2023</v>
      </c>
      <c r="D183" s="27" t="s">
        <v>300</v>
      </c>
      <c r="E183" s="73">
        <v>45113</v>
      </c>
      <c r="F183" s="27">
        <v>2023</v>
      </c>
      <c r="G183" s="27" t="s">
        <v>301</v>
      </c>
      <c r="H183" s="27" t="s">
        <v>301</v>
      </c>
      <c r="I183" s="27">
        <v>1</v>
      </c>
      <c r="J183" s="27" t="s">
        <v>229</v>
      </c>
      <c r="N183" s="27" t="s">
        <v>299</v>
      </c>
      <c r="O183" s="11">
        <f t="shared" si="13"/>
        <v>100</v>
      </c>
      <c r="P183" s="9">
        <v>93</v>
      </c>
      <c r="R183" s="9">
        <v>2</v>
      </c>
      <c r="U183" s="9">
        <v>5</v>
      </c>
      <c r="AT183" s="12">
        <v>8</v>
      </c>
      <c r="AU183" s="12">
        <v>52</v>
      </c>
      <c r="CJ183" s="14">
        <v>2</v>
      </c>
      <c r="CU183" s="14">
        <v>5</v>
      </c>
      <c r="CW183" s="14">
        <v>2</v>
      </c>
      <c r="CY183" s="14">
        <v>7</v>
      </c>
    </row>
    <row r="184" spans="1:174" x14ac:dyDescent="0.25">
      <c r="A184" s="26" t="str">
        <f t="shared" si="20"/>
        <v>CB_H___02_2023</v>
      </c>
      <c r="B184" s="26" t="str">
        <f t="shared" si="21"/>
        <v>CB_H___02</v>
      </c>
      <c r="C184" s="6" t="str">
        <f t="shared" si="22"/>
        <v>CB_2023</v>
      </c>
      <c r="D184" s="27" t="s">
        <v>300</v>
      </c>
      <c r="E184" s="73">
        <v>45113</v>
      </c>
      <c r="F184" s="27">
        <v>2023</v>
      </c>
      <c r="G184" s="27" t="s">
        <v>301</v>
      </c>
      <c r="H184" s="27" t="s">
        <v>301</v>
      </c>
      <c r="I184" s="27">
        <v>2</v>
      </c>
      <c r="J184" s="27" t="s">
        <v>229</v>
      </c>
      <c r="N184" s="27" t="s">
        <v>299</v>
      </c>
      <c r="O184" s="11">
        <f t="shared" si="13"/>
        <v>100.1</v>
      </c>
      <c r="P184" s="9">
        <v>81</v>
      </c>
      <c r="S184" s="9">
        <v>3</v>
      </c>
      <c r="Z184" s="9">
        <v>6</v>
      </c>
      <c r="AC184" s="9">
        <v>7</v>
      </c>
      <c r="AF184" s="9">
        <v>3</v>
      </c>
      <c r="AI184" s="9">
        <v>0.1</v>
      </c>
      <c r="AT184" s="12">
        <v>40</v>
      </c>
      <c r="AU184" s="12">
        <v>21</v>
      </c>
      <c r="CL184" s="14">
        <v>0.1</v>
      </c>
      <c r="CW184" s="14">
        <v>1</v>
      </c>
      <c r="DG184" s="14">
        <v>1</v>
      </c>
    </row>
    <row r="185" spans="1:174" x14ac:dyDescent="0.25">
      <c r="A185" s="26" t="str">
        <f t="shared" si="20"/>
        <v>CB_H___03_2023</v>
      </c>
      <c r="B185" s="26" t="str">
        <f t="shared" si="21"/>
        <v>CB_H___03</v>
      </c>
      <c r="C185" s="6" t="str">
        <f t="shared" si="22"/>
        <v>CB_2023</v>
      </c>
      <c r="D185" s="27" t="s">
        <v>300</v>
      </c>
      <c r="E185" s="73">
        <v>45113</v>
      </c>
      <c r="F185" s="27">
        <v>2023</v>
      </c>
      <c r="G185" s="27" t="s">
        <v>301</v>
      </c>
      <c r="H185" s="27" t="s">
        <v>301</v>
      </c>
      <c r="I185" s="27">
        <v>3</v>
      </c>
      <c r="J185" s="27" t="s">
        <v>229</v>
      </c>
      <c r="N185" s="27" t="s">
        <v>299</v>
      </c>
      <c r="O185" s="11">
        <f t="shared" si="13"/>
        <v>100</v>
      </c>
      <c r="P185" s="9">
        <v>87</v>
      </c>
      <c r="U185" s="9">
        <v>2</v>
      </c>
      <c r="W185" s="9">
        <v>1</v>
      </c>
      <c r="X185" s="9">
        <v>4</v>
      </c>
      <c r="Z185" s="9">
        <v>6</v>
      </c>
      <c r="AS185" s="12">
        <v>2</v>
      </c>
      <c r="AT185" s="12">
        <v>12</v>
      </c>
      <c r="AU185" s="12">
        <v>6</v>
      </c>
      <c r="CO185" s="14">
        <v>1</v>
      </c>
      <c r="CU185" s="14">
        <v>0.1</v>
      </c>
      <c r="CW185" s="14">
        <v>2</v>
      </c>
    </row>
    <row r="186" spans="1:174" x14ac:dyDescent="0.25">
      <c r="A186" s="26" t="str">
        <f t="shared" si="20"/>
        <v>CB_H___04_2023</v>
      </c>
      <c r="B186" s="26" t="str">
        <f t="shared" si="21"/>
        <v>CB_H___04</v>
      </c>
      <c r="C186" s="6" t="str">
        <f t="shared" si="22"/>
        <v>CB_2023</v>
      </c>
      <c r="D186" s="27" t="s">
        <v>300</v>
      </c>
      <c r="E186" s="73">
        <v>45113</v>
      </c>
      <c r="F186" s="27">
        <v>2023</v>
      </c>
      <c r="G186" s="27" t="s">
        <v>301</v>
      </c>
      <c r="H186" s="27" t="s">
        <v>301</v>
      </c>
      <c r="I186" s="27">
        <v>4</v>
      </c>
      <c r="J186" s="27" t="s">
        <v>229</v>
      </c>
      <c r="N186" s="27" t="s">
        <v>299</v>
      </c>
      <c r="O186" s="11">
        <f t="shared" si="13"/>
        <v>100.1</v>
      </c>
      <c r="P186" s="9">
        <v>72</v>
      </c>
      <c r="R186" s="9">
        <v>15</v>
      </c>
      <c r="U186" s="9">
        <v>3</v>
      </c>
      <c r="W186" s="9">
        <v>1</v>
      </c>
      <c r="AF186" s="9">
        <v>9</v>
      </c>
      <c r="AH186" s="9">
        <v>0.1</v>
      </c>
      <c r="AS186" s="12">
        <v>8</v>
      </c>
      <c r="AT186" s="12">
        <v>8</v>
      </c>
      <c r="CU186" s="14">
        <v>0.1</v>
      </c>
      <c r="CW186" s="14">
        <v>1</v>
      </c>
    </row>
    <row r="187" spans="1:174" x14ac:dyDescent="0.25">
      <c r="A187" s="26" t="str">
        <f t="shared" si="20"/>
        <v>CB_H___05_2023</v>
      </c>
      <c r="B187" s="26" t="str">
        <f t="shared" si="21"/>
        <v>CB_H___05</v>
      </c>
      <c r="C187" s="6" t="str">
        <f t="shared" si="22"/>
        <v>CB_2023</v>
      </c>
      <c r="D187" s="27" t="s">
        <v>300</v>
      </c>
      <c r="E187" s="73">
        <v>45113</v>
      </c>
      <c r="F187" s="27">
        <v>2023</v>
      </c>
      <c r="G187" s="27" t="s">
        <v>301</v>
      </c>
      <c r="H187" s="27" t="s">
        <v>301</v>
      </c>
      <c r="I187" s="27">
        <v>5</v>
      </c>
      <c r="J187" s="27" t="s">
        <v>229</v>
      </c>
      <c r="N187" s="27" t="s">
        <v>299</v>
      </c>
      <c r="O187" s="11">
        <f t="shared" si="13"/>
        <v>100</v>
      </c>
      <c r="P187" s="9">
        <v>81</v>
      </c>
      <c r="R187" s="9">
        <v>2</v>
      </c>
      <c r="U187" s="9">
        <v>5</v>
      </c>
      <c r="W187" s="9">
        <v>1</v>
      </c>
      <c r="X187" s="9">
        <v>6</v>
      </c>
      <c r="Z187" s="9">
        <v>5</v>
      </c>
      <c r="AS187" s="12">
        <v>3</v>
      </c>
      <c r="AT187" s="12">
        <v>9</v>
      </c>
      <c r="AU187" s="12">
        <v>47</v>
      </c>
      <c r="BA187" s="12">
        <v>1</v>
      </c>
      <c r="CW187" s="14">
        <v>3</v>
      </c>
    </row>
    <row r="188" spans="1:174" x14ac:dyDescent="0.25">
      <c r="A188" s="26" t="str">
        <f t="shared" si="20"/>
        <v>CB_L_1__02_2023</v>
      </c>
      <c r="B188" s="26" t="str">
        <f t="shared" si="21"/>
        <v>CB_L_1__02</v>
      </c>
      <c r="C188" s="6" t="str">
        <f t="shared" si="22"/>
        <v>CB_2023</v>
      </c>
      <c r="D188" s="27" t="s">
        <v>300</v>
      </c>
      <c r="E188" s="73">
        <v>45113</v>
      </c>
      <c r="F188" s="27">
        <v>2023</v>
      </c>
      <c r="G188" s="27" t="s">
        <v>301</v>
      </c>
      <c r="H188" s="27" t="s">
        <v>301</v>
      </c>
      <c r="I188" s="27">
        <v>2</v>
      </c>
      <c r="J188" s="27" t="s">
        <v>230</v>
      </c>
      <c r="K188" s="27">
        <v>1</v>
      </c>
      <c r="N188" s="27" t="s">
        <v>299</v>
      </c>
      <c r="O188" s="11">
        <f t="shared" si="13"/>
        <v>100</v>
      </c>
      <c r="P188" s="9">
        <v>3</v>
      </c>
      <c r="Q188" s="9">
        <v>8</v>
      </c>
      <c r="R188" s="9">
        <v>1</v>
      </c>
      <c r="S188" s="9">
        <v>2</v>
      </c>
      <c r="AB188" s="9">
        <v>1</v>
      </c>
      <c r="AH188" s="9">
        <v>85</v>
      </c>
      <c r="AY188" s="12">
        <v>1</v>
      </c>
      <c r="CR188" s="14">
        <v>6</v>
      </c>
      <c r="CZ188" s="14">
        <v>63</v>
      </c>
      <c r="DA188" s="14">
        <v>3</v>
      </c>
      <c r="DD188" s="14">
        <v>1</v>
      </c>
      <c r="DH188" s="14">
        <v>1</v>
      </c>
      <c r="DL188" s="14">
        <v>5</v>
      </c>
    </row>
    <row r="189" spans="1:174" x14ac:dyDescent="0.25">
      <c r="A189" s="26" t="str">
        <f t="shared" si="20"/>
        <v>CB_L_1__04_2023</v>
      </c>
      <c r="B189" s="26" t="str">
        <f t="shared" si="21"/>
        <v>CB_L_1__04</v>
      </c>
      <c r="C189" s="6" t="str">
        <f t="shared" si="22"/>
        <v>CB_2023</v>
      </c>
      <c r="D189" s="27" t="s">
        <v>300</v>
      </c>
      <c r="E189" s="73">
        <v>45113</v>
      </c>
      <c r="F189" s="27">
        <v>2023</v>
      </c>
      <c r="G189" s="27" t="s">
        <v>301</v>
      </c>
      <c r="H189" s="27" t="s">
        <v>301</v>
      </c>
      <c r="I189" s="27">
        <v>4</v>
      </c>
      <c r="J189" s="27" t="s">
        <v>230</v>
      </c>
      <c r="K189" s="27">
        <v>1</v>
      </c>
      <c r="N189" s="27" t="s">
        <v>299</v>
      </c>
      <c r="O189" s="11">
        <f t="shared" si="13"/>
        <v>100.2</v>
      </c>
      <c r="P189" s="9">
        <v>4</v>
      </c>
      <c r="Q189" s="9">
        <v>6</v>
      </c>
      <c r="R189" s="9">
        <v>4</v>
      </c>
      <c r="S189" s="9">
        <v>2</v>
      </c>
      <c r="U189" s="9">
        <v>0.1</v>
      </c>
      <c r="V189" s="9">
        <v>0.1</v>
      </c>
      <c r="AB189" s="9">
        <v>2</v>
      </c>
      <c r="AE189" s="9">
        <v>4</v>
      </c>
      <c r="AG189" s="9">
        <v>1</v>
      </c>
      <c r="AH189" s="9">
        <v>74</v>
      </c>
      <c r="AI189" s="9">
        <v>3</v>
      </c>
      <c r="AQ189" s="12">
        <v>1</v>
      </c>
      <c r="AT189" s="12">
        <v>35</v>
      </c>
      <c r="AW189" s="12">
        <v>1</v>
      </c>
      <c r="AZ189" s="12">
        <v>4</v>
      </c>
      <c r="CF189" s="14">
        <v>48</v>
      </c>
      <c r="CL189" s="14">
        <v>1</v>
      </c>
      <c r="CM189" s="14">
        <v>1</v>
      </c>
      <c r="CS189" s="14">
        <v>12</v>
      </c>
      <c r="CV189" s="14">
        <v>0.1</v>
      </c>
      <c r="CZ189" s="14">
        <v>5</v>
      </c>
      <c r="DL189" s="14">
        <v>3</v>
      </c>
    </row>
    <row r="190" spans="1:174" x14ac:dyDescent="0.25">
      <c r="A190" s="26" t="str">
        <f t="shared" si="20"/>
        <v>CB_L_1__06_2023</v>
      </c>
      <c r="B190" s="26" t="str">
        <f t="shared" si="21"/>
        <v>CB_L_1__06</v>
      </c>
      <c r="C190" s="6" t="str">
        <f t="shared" si="22"/>
        <v>CB_2023</v>
      </c>
      <c r="D190" s="27" t="s">
        <v>300</v>
      </c>
      <c r="E190" s="73">
        <v>45113</v>
      </c>
      <c r="F190" s="27">
        <v>2023</v>
      </c>
      <c r="G190" s="27" t="s">
        <v>301</v>
      </c>
      <c r="H190" s="27" t="s">
        <v>301</v>
      </c>
      <c r="I190" s="27">
        <v>6</v>
      </c>
      <c r="J190" s="27" t="s">
        <v>230</v>
      </c>
      <c r="K190" s="27">
        <v>1</v>
      </c>
      <c r="N190" s="27" t="s">
        <v>299</v>
      </c>
      <c r="O190" s="11">
        <f t="shared" si="13"/>
        <v>19.200000000000003</v>
      </c>
      <c r="Q190" s="9">
        <v>5</v>
      </c>
      <c r="R190" s="9">
        <v>4</v>
      </c>
      <c r="V190" s="9">
        <v>0.1</v>
      </c>
      <c r="W190" s="9">
        <v>1</v>
      </c>
      <c r="AB190" s="9">
        <v>5</v>
      </c>
      <c r="AG190" s="9">
        <v>1</v>
      </c>
      <c r="AH190" s="9">
        <v>3</v>
      </c>
      <c r="AI190" s="9">
        <v>0.1</v>
      </c>
      <c r="AQ190" s="12">
        <v>2</v>
      </c>
      <c r="AS190" s="12">
        <v>1</v>
      </c>
      <c r="AT190" s="12">
        <v>25</v>
      </c>
      <c r="AW190" s="12">
        <v>1</v>
      </c>
      <c r="AZ190" s="12">
        <v>3</v>
      </c>
      <c r="BC190" s="12">
        <v>1</v>
      </c>
      <c r="CF190" s="14">
        <v>51</v>
      </c>
      <c r="CL190" s="14">
        <v>0.1</v>
      </c>
      <c r="CR190" s="14">
        <v>1</v>
      </c>
      <c r="CT190" s="15">
        <v>3</v>
      </c>
      <c r="DC190" s="14">
        <v>1</v>
      </c>
      <c r="DL190" s="14">
        <v>1</v>
      </c>
    </row>
    <row r="191" spans="1:174" x14ac:dyDescent="0.25">
      <c r="A191" s="26" t="str">
        <f t="shared" si="20"/>
        <v>CB_L_1__08_2023</v>
      </c>
      <c r="B191" s="26" t="str">
        <f t="shared" si="21"/>
        <v>CB_L_1__08</v>
      </c>
      <c r="C191" s="6" t="str">
        <f t="shared" si="22"/>
        <v>CB_2023</v>
      </c>
      <c r="D191" s="27" t="s">
        <v>300</v>
      </c>
      <c r="E191" s="73">
        <v>45113</v>
      </c>
      <c r="F191" s="27">
        <v>2023</v>
      </c>
      <c r="G191" s="27" t="s">
        <v>301</v>
      </c>
      <c r="H191" s="27" t="s">
        <v>301</v>
      </c>
      <c r="I191" s="27">
        <v>8</v>
      </c>
      <c r="J191" s="27" t="s">
        <v>230</v>
      </c>
      <c r="K191" s="27">
        <v>1</v>
      </c>
      <c r="N191" s="27" t="s">
        <v>299</v>
      </c>
      <c r="O191" s="11">
        <f t="shared" si="13"/>
        <v>100.1</v>
      </c>
      <c r="P191" s="9">
        <v>52</v>
      </c>
      <c r="R191" s="9">
        <v>2</v>
      </c>
      <c r="S191" s="9">
        <v>33</v>
      </c>
      <c r="AB191" s="9">
        <v>2</v>
      </c>
      <c r="AE191" s="9">
        <v>4</v>
      </c>
      <c r="AH191" s="9">
        <v>7</v>
      </c>
      <c r="AI191" s="9">
        <v>0.1</v>
      </c>
      <c r="AP191" s="12">
        <v>3</v>
      </c>
      <c r="AT191" s="12">
        <v>1</v>
      </c>
      <c r="AZ191" s="12">
        <v>43</v>
      </c>
      <c r="CF191" s="14">
        <v>22</v>
      </c>
      <c r="CL191" s="14">
        <v>0.1</v>
      </c>
      <c r="CQ191" s="14">
        <v>0.1</v>
      </c>
      <c r="CR191" s="14">
        <v>6</v>
      </c>
      <c r="CS191" s="14">
        <v>8</v>
      </c>
      <c r="CZ191" s="14">
        <v>2</v>
      </c>
      <c r="DD191" s="14">
        <v>3</v>
      </c>
      <c r="FR191" s="37">
        <v>1</v>
      </c>
    </row>
    <row r="192" spans="1:174" x14ac:dyDescent="0.25">
      <c r="A192" s="26" t="str">
        <f t="shared" si="20"/>
        <v>CB_L_1__10_2023</v>
      </c>
      <c r="B192" s="26" t="str">
        <f t="shared" si="21"/>
        <v>CB_L_1__10</v>
      </c>
      <c r="C192" s="6" t="str">
        <f t="shared" si="22"/>
        <v>CB_2023</v>
      </c>
      <c r="D192" s="27" t="s">
        <v>300</v>
      </c>
      <c r="E192" s="73">
        <v>45113</v>
      </c>
      <c r="F192" s="27">
        <v>2023</v>
      </c>
      <c r="G192" s="27" t="s">
        <v>301</v>
      </c>
      <c r="H192" s="27" t="s">
        <v>301</v>
      </c>
      <c r="I192" s="27">
        <v>10</v>
      </c>
      <c r="J192" s="27" t="s">
        <v>230</v>
      </c>
      <c r="K192" s="27">
        <v>1</v>
      </c>
      <c r="N192" s="27" t="s">
        <v>299</v>
      </c>
      <c r="O192" s="11">
        <f t="shared" si="13"/>
        <v>100</v>
      </c>
      <c r="P192" s="9">
        <v>6</v>
      </c>
      <c r="Q192" s="9">
        <v>4</v>
      </c>
      <c r="R192" s="9">
        <v>5</v>
      </c>
      <c r="S192" s="9">
        <v>13</v>
      </c>
      <c r="AB192" s="9">
        <v>2</v>
      </c>
      <c r="AD192" s="9">
        <v>3</v>
      </c>
      <c r="AH192" s="9">
        <v>66</v>
      </c>
      <c r="AI192" s="9">
        <v>1</v>
      </c>
      <c r="AT192" s="12">
        <v>3</v>
      </c>
      <c r="AZ192" s="12">
        <v>3</v>
      </c>
      <c r="CK192" s="14">
        <v>8</v>
      </c>
      <c r="CL192" s="14">
        <v>1</v>
      </c>
      <c r="CR192" s="14">
        <v>48</v>
      </c>
      <c r="CS192" s="14">
        <v>3</v>
      </c>
      <c r="CV192" s="14">
        <v>0.1</v>
      </c>
      <c r="DD192" s="14">
        <v>12</v>
      </c>
      <c r="DF192" s="14">
        <v>1</v>
      </c>
    </row>
    <row r="193" spans="1:167" x14ac:dyDescent="0.25">
      <c r="A193" s="6" t="str">
        <f t="shared" si="20"/>
        <v>CB_L_2__01_2023</v>
      </c>
      <c r="B193" s="6" t="str">
        <f t="shared" si="21"/>
        <v>CB_L_2__01</v>
      </c>
      <c r="C193" s="6" t="str">
        <f t="shared" si="22"/>
        <v>CB_2023</v>
      </c>
      <c r="D193" s="27" t="s">
        <v>300</v>
      </c>
      <c r="E193" s="73">
        <v>45113</v>
      </c>
      <c r="F193" s="27">
        <v>2023</v>
      </c>
      <c r="G193" s="27" t="s">
        <v>302</v>
      </c>
      <c r="H193" s="27" t="s">
        <v>302</v>
      </c>
      <c r="I193" s="27">
        <v>1</v>
      </c>
      <c r="J193" s="27" t="s">
        <v>230</v>
      </c>
      <c r="K193" s="27">
        <v>2</v>
      </c>
      <c r="N193" s="27" t="s">
        <v>299</v>
      </c>
      <c r="O193" s="11">
        <f t="shared" si="13"/>
        <v>100</v>
      </c>
      <c r="P193" s="9">
        <v>28.5</v>
      </c>
      <c r="U193" s="9">
        <v>18</v>
      </c>
      <c r="W193" s="9">
        <v>36</v>
      </c>
      <c r="AG193" s="9">
        <v>0.5</v>
      </c>
      <c r="AH193" s="9">
        <v>17</v>
      </c>
      <c r="AT193" s="12">
        <v>47</v>
      </c>
      <c r="AU193" s="12">
        <v>5</v>
      </c>
      <c r="BA193" s="12">
        <v>3</v>
      </c>
      <c r="CS193" s="14">
        <v>1</v>
      </c>
      <c r="CT193" s="15">
        <v>0.5</v>
      </c>
      <c r="CU193" s="14">
        <v>0.5</v>
      </c>
      <c r="CV193" s="14">
        <v>1</v>
      </c>
      <c r="CW193" s="14">
        <v>0.1</v>
      </c>
      <c r="DB193" s="14">
        <v>6</v>
      </c>
      <c r="DF193" s="14">
        <v>0.1</v>
      </c>
      <c r="DI193" s="14">
        <v>53</v>
      </c>
      <c r="DK193" s="14">
        <v>1</v>
      </c>
    </row>
    <row r="194" spans="1:167" x14ac:dyDescent="0.25">
      <c r="A194" s="6" t="str">
        <f t="shared" ref="A194:A210" si="23">CONCATENATE(D194,"_",J194,"_",K194,"_",L194,"_",TEXT(I194,"00"),"_",F194)</f>
        <v>CB_L_2__02_2023</v>
      </c>
      <c r="B194" s="6" t="str">
        <f t="shared" ref="B194:B210" si="24">CONCATENATE(D194,"_",J194,"_",K194,"_",L194,"_",TEXT(I194,"00"))</f>
        <v>CB_L_2__02</v>
      </c>
      <c r="C194" s="6" t="str">
        <f t="shared" ref="C194:C210" si="25">CONCATENATE(D194,,"_",F194)</f>
        <v>CB_2023</v>
      </c>
      <c r="D194" s="27" t="s">
        <v>300</v>
      </c>
      <c r="E194" s="73">
        <v>45113</v>
      </c>
      <c r="F194" s="27">
        <v>2023</v>
      </c>
      <c r="G194" s="27" t="s">
        <v>302</v>
      </c>
      <c r="H194" s="27" t="s">
        <v>302</v>
      </c>
      <c r="I194" s="27">
        <v>2</v>
      </c>
      <c r="J194" s="27" t="s">
        <v>230</v>
      </c>
      <c r="K194" s="27">
        <v>2</v>
      </c>
      <c r="N194" s="27" t="s">
        <v>299</v>
      </c>
      <c r="O194" s="11">
        <f t="shared" si="13"/>
        <v>100</v>
      </c>
      <c r="P194" s="9">
        <v>57.5</v>
      </c>
      <c r="W194" s="9">
        <v>6</v>
      </c>
      <c r="AE194" s="9">
        <v>0.5</v>
      </c>
      <c r="AG194" s="9">
        <v>1</v>
      </c>
      <c r="AH194" s="9">
        <v>35</v>
      </c>
      <c r="AT194" s="12">
        <v>37</v>
      </c>
      <c r="AU194" s="12">
        <v>11</v>
      </c>
      <c r="CF194" s="14">
        <v>2</v>
      </c>
      <c r="CS194" s="14">
        <v>4</v>
      </c>
      <c r="CV194" s="14">
        <v>1</v>
      </c>
      <c r="DB194" s="14">
        <v>65</v>
      </c>
      <c r="DI194" s="14">
        <v>9</v>
      </c>
      <c r="DK194" s="14">
        <v>2</v>
      </c>
    </row>
    <row r="195" spans="1:167" x14ac:dyDescent="0.25">
      <c r="A195" s="6" t="str">
        <f t="shared" si="23"/>
        <v>CB_L_2__03_2023</v>
      </c>
      <c r="B195" s="6" t="str">
        <f t="shared" si="24"/>
        <v>CB_L_2__03</v>
      </c>
      <c r="C195" s="6" t="str">
        <f t="shared" si="25"/>
        <v>CB_2023</v>
      </c>
      <c r="D195" s="27" t="s">
        <v>300</v>
      </c>
      <c r="E195" s="73">
        <v>45113</v>
      </c>
      <c r="F195" s="27">
        <v>2023</v>
      </c>
      <c r="G195" s="27" t="s">
        <v>302</v>
      </c>
      <c r="H195" s="27" t="s">
        <v>302</v>
      </c>
      <c r="I195" s="27">
        <v>3</v>
      </c>
      <c r="J195" s="27" t="s">
        <v>230</v>
      </c>
      <c r="K195" s="27">
        <v>2</v>
      </c>
      <c r="N195" s="27" t="s">
        <v>299</v>
      </c>
      <c r="O195" s="11">
        <f t="shared" si="13"/>
        <v>100</v>
      </c>
      <c r="P195" s="9">
        <v>52</v>
      </c>
      <c r="S195" s="9">
        <v>3</v>
      </c>
      <c r="W195" s="9">
        <v>20</v>
      </c>
      <c r="AB195" s="9">
        <v>3</v>
      </c>
      <c r="AC195" s="9">
        <v>3</v>
      </c>
      <c r="AH195" s="9">
        <v>18</v>
      </c>
      <c r="AI195" s="9">
        <v>1</v>
      </c>
      <c r="AQ195" s="12">
        <v>1</v>
      </c>
      <c r="AT195" s="12">
        <v>23</v>
      </c>
      <c r="AU195" s="12">
        <v>4</v>
      </c>
      <c r="BB195" s="12">
        <v>1</v>
      </c>
      <c r="CK195" s="14">
        <v>4</v>
      </c>
      <c r="CM195" s="14">
        <v>3</v>
      </c>
      <c r="CS195" s="14">
        <v>2</v>
      </c>
      <c r="CU195" s="14">
        <v>1</v>
      </c>
      <c r="DB195" s="14">
        <v>27</v>
      </c>
      <c r="DC195" s="14">
        <v>9</v>
      </c>
      <c r="DG195" s="14">
        <v>3</v>
      </c>
      <c r="DI195" s="14">
        <v>25</v>
      </c>
      <c r="DK195" s="14">
        <v>0.1</v>
      </c>
    </row>
    <row r="196" spans="1:167" x14ac:dyDescent="0.25">
      <c r="A196" s="6" t="str">
        <f t="shared" si="23"/>
        <v>CB_M___05_2023</v>
      </c>
      <c r="B196" s="6" t="str">
        <f t="shared" si="24"/>
        <v>CB_M___05</v>
      </c>
      <c r="C196" s="6" t="str">
        <f t="shared" si="25"/>
        <v>CB_2023</v>
      </c>
      <c r="D196" s="27" t="s">
        <v>300</v>
      </c>
      <c r="E196" s="73">
        <v>45113</v>
      </c>
      <c r="F196" s="27">
        <v>2023</v>
      </c>
      <c r="G196" s="27" t="s">
        <v>302</v>
      </c>
      <c r="H196" s="27" t="s">
        <v>302</v>
      </c>
      <c r="I196" s="27">
        <v>5</v>
      </c>
      <c r="J196" s="27" t="s">
        <v>231</v>
      </c>
      <c r="N196" s="27" t="s">
        <v>299</v>
      </c>
      <c r="O196" s="11">
        <f t="shared" si="13"/>
        <v>100</v>
      </c>
      <c r="X196" s="9">
        <v>1</v>
      </c>
      <c r="Z196" s="9">
        <v>99</v>
      </c>
      <c r="AS196" s="12">
        <v>11</v>
      </c>
      <c r="AT196" s="12">
        <v>8</v>
      </c>
      <c r="EX196" s="16">
        <v>29</v>
      </c>
      <c r="EY196" s="16">
        <v>3</v>
      </c>
      <c r="FK196" s="16">
        <v>0.5</v>
      </c>
    </row>
    <row r="197" spans="1:167" x14ac:dyDescent="0.25">
      <c r="A197" s="6" t="str">
        <f t="shared" si="23"/>
        <v>CB_M___06_2023</v>
      </c>
      <c r="B197" s="6" t="str">
        <f t="shared" si="24"/>
        <v>CB_M___06</v>
      </c>
      <c r="C197" s="6" t="str">
        <f t="shared" si="25"/>
        <v>CB_2023</v>
      </c>
      <c r="D197" s="27" t="s">
        <v>300</v>
      </c>
      <c r="E197" s="73">
        <v>45113</v>
      </c>
      <c r="F197" s="27">
        <v>2023</v>
      </c>
      <c r="G197" s="27" t="s">
        <v>302</v>
      </c>
      <c r="H197" s="27" t="s">
        <v>302</v>
      </c>
      <c r="I197" s="27">
        <v>6</v>
      </c>
      <c r="J197" s="27" t="s">
        <v>231</v>
      </c>
      <c r="N197" s="27" t="s">
        <v>299</v>
      </c>
      <c r="O197" s="11">
        <f t="shared" si="13"/>
        <v>100</v>
      </c>
      <c r="P197" s="9">
        <v>62</v>
      </c>
      <c r="U197" s="9">
        <v>7</v>
      </c>
      <c r="Z197" s="9">
        <v>16</v>
      </c>
      <c r="AB197" s="9">
        <v>6</v>
      </c>
      <c r="AC197" s="9">
        <v>0.5</v>
      </c>
      <c r="AE197" s="9">
        <v>0.5</v>
      </c>
      <c r="AG197" s="9">
        <v>1</v>
      </c>
      <c r="AH197" s="9">
        <v>7</v>
      </c>
      <c r="AQ197" s="12">
        <v>6</v>
      </c>
      <c r="AT197" s="12">
        <v>23</v>
      </c>
      <c r="AU197" s="12">
        <v>5</v>
      </c>
      <c r="CF197" s="14">
        <v>3</v>
      </c>
      <c r="CL197" s="14">
        <v>1</v>
      </c>
      <c r="CU197" s="14">
        <v>0.5</v>
      </c>
      <c r="DA197" s="14">
        <v>1</v>
      </c>
      <c r="DC197" s="14">
        <v>3</v>
      </c>
      <c r="DG197" s="14">
        <v>2</v>
      </c>
      <c r="DI197" s="14">
        <v>6</v>
      </c>
      <c r="DK197" s="14">
        <v>2</v>
      </c>
      <c r="EX197" s="16">
        <v>6</v>
      </c>
    </row>
    <row r="198" spans="1:167" x14ac:dyDescent="0.25">
      <c r="A198" s="6" t="str">
        <f t="shared" si="23"/>
        <v>CB_M___07_2023</v>
      </c>
      <c r="B198" s="6" t="str">
        <f t="shared" si="24"/>
        <v>CB_M___07</v>
      </c>
      <c r="C198" s="6" t="str">
        <f t="shared" si="25"/>
        <v>CB_2023</v>
      </c>
      <c r="D198" s="27" t="s">
        <v>300</v>
      </c>
      <c r="E198" s="73">
        <v>45113</v>
      </c>
      <c r="F198" s="27">
        <v>2023</v>
      </c>
      <c r="G198" s="27" t="s">
        <v>302</v>
      </c>
      <c r="H198" s="27" t="s">
        <v>302</v>
      </c>
      <c r="I198" s="27">
        <v>7</v>
      </c>
      <c r="J198" s="27" t="s">
        <v>231</v>
      </c>
      <c r="N198" s="27" t="s">
        <v>299</v>
      </c>
      <c r="O198" s="11">
        <f t="shared" si="13"/>
        <v>100.1</v>
      </c>
      <c r="P198" s="9">
        <v>2</v>
      </c>
      <c r="S198" s="9">
        <v>1</v>
      </c>
      <c r="X198" s="9">
        <v>0.1</v>
      </c>
      <c r="Z198" s="9">
        <v>97</v>
      </c>
      <c r="AS198" s="12">
        <v>1</v>
      </c>
      <c r="AT198" s="12">
        <v>18</v>
      </c>
      <c r="CL198" s="14">
        <v>1</v>
      </c>
      <c r="EX198" s="16">
        <v>3</v>
      </c>
    </row>
    <row r="199" spans="1:167" x14ac:dyDescent="0.25">
      <c r="A199" s="6" t="str">
        <f t="shared" si="23"/>
        <v>CB_M___08_2023</v>
      </c>
      <c r="B199" s="6" t="str">
        <f t="shared" si="24"/>
        <v>CB_M___08</v>
      </c>
      <c r="C199" s="6" t="str">
        <f t="shared" si="25"/>
        <v>CB_2023</v>
      </c>
      <c r="D199" s="27" t="s">
        <v>300</v>
      </c>
      <c r="E199" s="73">
        <v>45113</v>
      </c>
      <c r="F199" s="27">
        <v>2023</v>
      </c>
      <c r="G199" s="27" t="s">
        <v>302</v>
      </c>
      <c r="H199" s="27" t="s">
        <v>302</v>
      </c>
      <c r="I199" s="27">
        <v>8</v>
      </c>
      <c r="J199" s="27" t="s">
        <v>231</v>
      </c>
      <c r="N199" s="27" t="s">
        <v>299</v>
      </c>
      <c r="O199" s="11">
        <f t="shared" si="13"/>
        <v>100</v>
      </c>
      <c r="Z199" s="9">
        <v>100</v>
      </c>
      <c r="AS199" s="12">
        <v>3</v>
      </c>
      <c r="AT199" s="12">
        <v>17</v>
      </c>
      <c r="EX199" s="16">
        <v>10</v>
      </c>
    </row>
    <row r="200" spans="1:167" x14ac:dyDescent="0.25">
      <c r="A200" s="6" t="str">
        <f t="shared" si="23"/>
        <v>CB_H___06_2023</v>
      </c>
      <c r="B200" s="6" t="str">
        <f t="shared" si="24"/>
        <v>CB_H___06</v>
      </c>
      <c r="C200" s="6" t="str">
        <f t="shared" si="25"/>
        <v>CB_2023</v>
      </c>
      <c r="D200" s="27" t="s">
        <v>300</v>
      </c>
      <c r="E200" s="73">
        <v>45113</v>
      </c>
      <c r="F200" s="27">
        <v>2023</v>
      </c>
      <c r="G200" s="27" t="s">
        <v>302</v>
      </c>
      <c r="H200" s="27" t="s">
        <v>302</v>
      </c>
      <c r="I200" s="27">
        <v>6</v>
      </c>
      <c r="J200" s="27" t="s">
        <v>229</v>
      </c>
      <c r="N200" s="27" t="s">
        <v>299</v>
      </c>
      <c r="O200" s="11">
        <f t="shared" si="13"/>
        <v>100</v>
      </c>
      <c r="P200" s="9">
        <v>97.5</v>
      </c>
      <c r="U200" s="9">
        <v>2</v>
      </c>
      <c r="W200" s="9">
        <v>0.5</v>
      </c>
      <c r="AU200" s="12">
        <v>53</v>
      </c>
    </row>
    <row r="201" spans="1:167" x14ac:dyDescent="0.25">
      <c r="A201" s="6" t="str">
        <f t="shared" si="23"/>
        <v>CB_H___07_2023</v>
      </c>
      <c r="B201" s="6" t="str">
        <f t="shared" si="24"/>
        <v>CB_H___07</v>
      </c>
      <c r="C201" s="6" t="str">
        <f t="shared" si="25"/>
        <v>CB_2023</v>
      </c>
      <c r="D201" s="27" t="s">
        <v>300</v>
      </c>
      <c r="E201" s="73">
        <v>45113</v>
      </c>
      <c r="F201" s="27">
        <v>2023</v>
      </c>
      <c r="G201" s="27" t="s">
        <v>302</v>
      </c>
      <c r="H201" s="27" t="s">
        <v>302</v>
      </c>
      <c r="I201" s="27">
        <v>7</v>
      </c>
      <c r="J201" s="27" t="s">
        <v>229</v>
      </c>
      <c r="N201" s="27" t="s">
        <v>299</v>
      </c>
      <c r="O201" s="11">
        <f t="shared" si="13"/>
        <v>100.1</v>
      </c>
      <c r="P201" s="9">
        <v>99</v>
      </c>
      <c r="U201" s="9">
        <v>0.1</v>
      </c>
      <c r="AH201" s="9">
        <v>1</v>
      </c>
      <c r="AT201" s="12">
        <v>7</v>
      </c>
      <c r="AU201" s="12">
        <v>34</v>
      </c>
      <c r="CW201" s="14">
        <v>3</v>
      </c>
    </row>
    <row r="202" spans="1:167" x14ac:dyDescent="0.25">
      <c r="A202" s="6" t="str">
        <f t="shared" si="23"/>
        <v>CB_H___08_2023</v>
      </c>
      <c r="B202" s="6" t="str">
        <f t="shared" si="24"/>
        <v>CB_H___08</v>
      </c>
      <c r="C202" s="6" t="str">
        <f t="shared" si="25"/>
        <v>CB_2023</v>
      </c>
      <c r="D202" s="27" t="s">
        <v>300</v>
      </c>
      <c r="E202" s="73">
        <v>45113</v>
      </c>
      <c r="F202" s="27">
        <v>2023</v>
      </c>
      <c r="G202" s="27" t="s">
        <v>302</v>
      </c>
      <c r="H202" s="27" t="s">
        <v>302</v>
      </c>
      <c r="I202" s="27">
        <v>8</v>
      </c>
      <c r="J202" s="27" t="s">
        <v>229</v>
      </c>
      <c r="N202" s="27" t="s">
        <v>299</v>
      </c>
      <c r="O202" s="11">
        <f>SUM(P202:AO202)</f>
        <v>100</v>
      </c>
      <c r="P202" s="9">
        <v>75.5</v>
      </c>
      <c r="U202" s="9">
        <v>23</v>
      </c>
      <c r="W202" s="9">
        <v>1</v>
      </c>
      <c r="AH202" s="9">
        <v>0.5</v>
      </c>
      <c r="AT202" s="12">
        <v>6</v>
      </c>
      <c r="AU202" s="12">
        <v>26</v>
      </c>
      <c r="CW202" s="14">
        <v>1</v>
      </c>
    </row>
    <row r="203" spans="1:167" x14ac:dyDescent="0.25">
      <c r="A203" s="6" t="str">
        <f t="shared" si="23"/>
        <v>CB_H___09_2023</v>
      </c>
      <c r="B203" s="6" t="str">
        <f t="shared" si="24"/>
        <v>CB_H___09</v>
      </c>
      <c r="C203" s="6" t="str">
        <f t="shared" si="25"/>
        <v>CB_2023</v>
      </c>
      <c r="D203" s="27" t="s">
        <v>300</v>
      </c>
      <c r="E203" s="73">
        <v>45113</v>
      </c>
      <c r="F203" s="27">
        <v>2023</v>
      </c>
      <c r="G203" s="27" t="s">
        <v>302</v>
      </c>
      <c r="H203" s="27" t="s">
        <v>302</v>
      </c>
      <c r="I203" s="27">
        <v>9</v>
      </c>
      <c r="J203" s="27" t="s">
        <v>229</v>
      </c>
      <c r="N203" s="27" t="s">
        <v>299</v>
      </c>
      <c r="O203" s="11">
        <f t="shared" si="13"/>
        <v>100</v>
      </c>
      <c r="P203" s="9">
        <v>100</v>
      </c>
      <c r="AU203" s="12">
        <v>6</v>
      </c>
    </row>
    <row r="204" spans="1:167" x14ac:dyDescent="0.25">
      <c r="A204" s="6" t="str">
        <f t="shared" si="23"/>
        <v>CB_H___10_2023</v>
      </c>
      <c r="B204" s="6" t="str">
        <f t="shared" si="24"/>
        <v>CB_H___10</v>
      </c>
      <c r="C204" s="6" t="str">
        <f t="shared" si="25"/>
        <v>CB_2023</v>
      </c>
      <c r="D204" s="27" t="s">
        <v>300</v>
      </c>
      <c r="E204" s="73">
        <v>45113</v>
      </c>
      <c r="F204" s="27">
        <v>2023</v>
      </c>
      <c r="G204" s="27" t="s">
        <v>302</v>
      </c>
      <c r="H204" s="27" t="s">
        <v>302</v>
      </c>
      <c r="I204" s="27">
        <v>10</v>
      </c>
      <c r="J204" s="27" t="s">
        <v>229</v>
      </c>
      <c r="N204" s="27" t="s">
        <v>299</v>
      </c>
      <c r="O204" s="11">
        <f t="shared" si="13"/>
        <v>100</v>
      </c>
      <c r="P204" s="9">
        <v>100</v>
      </c>
      <c r="AU204" s="12">
        <v>58</v>
      </c>
      <c r="CW204" s="14">
        <v>0.1</v>
      </c>
    </row>
    <row r="205" spans="1:167" x14ac:dyDescent="0.25">
      <c r="A205" s="6" t="str">
        <f t="shared" si="23"/>
        <v>CB_H___11_2023</v>
      </c>
      <c r="B205" s="6" t="str">
        <f t="shared" si="24"/>
        <v>CB_H___11</v>
      </c>
      <c r="C205" s="6" t="str">
        <f t="shared" si="25"/>
        <v>CB_2023</v>
      </c>
      <c r="D205" s="27" t="s">
        <v>300</v>
      </c>
      <c r="E205" s="73">
        <v>45113</v>
      </c>
      <c r="F205" s="27">
        <v>2023</v>
      </c>
      <c r="G205" s="27" t="s">
        <v>302</v>
      </c>
      <c r="H205" s="27" t="s">
        <v>302</v>
      </c>
      <c r="I205" s="27">
        <v>11</v>
      </c>
      <c r="J205" s="27" t="s">
        <v>229</v>
      </c>
      <c r="N205" s="27" t="s">
        <v>299</v>
      </c>
      <c r="O205" s="11">
        <f t="shared" si="13"/>
        <v>100</v>
      </c>
      <c r="P205" s="9">
        <v>79</v>
      </c>
      <c r="R205" s="9">
        <v>7</v>
      </c>
      <c r="U205" s="9">
        <v>4</v>
      </c>
      <c r="Z205" s="9">
        <v>2</v>
      </c>
      <c r="AF205" s="9">
        <v>8</v>
      </c>
      <c r="AS205" s="12">
        <v>4</v>
      </c>
      <c r="AT205" s="12">
        <v>3</v>
      </c>
      <c r="CJ205" s="14">
        <v>30</v>
      </c>
      <c r="CU205" s="14">
        <v>0.5</v>
      </c>
    </row>
    <row r="206" spans="1:167" x14ac:dyDescent="0.25">
      <c r="A206" s="6" t="str">
        <f t="shared" si="23"/>
        <v>CB_L_1__01_2023</v>
      </c>
      <c r="B206" s="6" t="str">
        <f t="shared" si="24"/>
        <v>CB_L_1__01</v>
      </c>
      <c r="C206" s="6" t="str">
        <f t="shared" si="25"/>
        <v>CB_2023</v>
      </c>
      <c r="D206" s="27" t="s">
        <v>300</v>
      </c>
      <c r="E206" s="73">
        <v>45113</v>
      </c>
      <c r="F206" s="27">
        <v>2023</v>
      </c>
      <c r="G206" s="27" t="s">
        <v>302</v>
      </c>
      <c r="H206" s="27" t="s">
        <v>302</v>
      </c>
      <c r="I206" s="27">
        <v>1</v>
      </c>
      <c r="J206" s="27" t="s">
        <v>230</v>
      </c>
      <c r="K206" s="27">
        <v>1</v>
      </c>
      <c r="N206" s="27" t="s">
        <v>299</v>
      </c>
      <c r="O206" s="11">
        <f t="shared" si="13"/>
        <v>100.1</v>
      </c>
      <c r="P206" s="9">
        <v>81</v>
      </c>
      <c r="R206" s="9">
        <v>0.1</v>
      </c>
      <c r="AB206" s="9">
        <v>1</v>
      </c>
      <c r="AF206" s="9">
        <v>3</v>
      </c>
      <c r="AH206" s="9">
        <v>15</v>
      </c>
      <c r="CF206" s="14">
        <v>52</v>
      </c>
      <c r="CQ206" s="14">
        <v>6</v>
      </c>
      <c r="CZ206" s="14">
        <v>58</v>
      </c>
      <c r="DH206" s="14">
        <v>4</v>
      </c>
    </row>
    <row r="207" spans="1:167" x14ac:dyDescent="0.25">
      <c r="A207" s="6" t="str">
        <f t="shared" si="23"/>
        <v>CB_L_1__03_2023</v>
      </c>
      <c r="B207" s="6" t="str">
        <f t="shared" si="24"/>
        <v>CB_L_1__03</v>
      </c>
      <c r="C207" s="6" t="str">
        <f t="shared" si="25"/>
        <v>CB_2023</v>
      </c>
      <c r="D207" s="27" t="s">
        <v>300</v>
      </c>
      <c r="E207" s="73">
        <v>45113</v>
      </c>
      <c r="F207" s="27">
        <v>2023</v>
      </c>
      <c r="G207" s="27" t="s">
        <v>302</v>
      </c>
      <c r="H207" s="27" t="s">
        <v>302</v>
      </c>
      <c r="I207" s="27">
        <v>3</v>
      </c>
      <c r="J207" s="27" t="s">
        <v>230</v>
      </c>
      <c r="K207" s="27">
        <v>1</v>
      </c>
      <c r="N207" s="27" t="s">
        <v>299</v>
      </c>
      <c r="O207" s="11">
        <f t="shared" si="13"/>
        <v>100</v>
      </c>
      <c r="P207" s="9">
        <v>69</v>
      </c>
      <c r="R207" s="9">
        <v>5</v>
      </c>
      <c r="S207" s="9">
        <v>6</v>
      </c>
      <c r="T207" s="9">
        <v>7</v>
      </c>
      <c r="AF207" s="9">
        <v>2</v>
      </c>
      <c r="AH207" s="9">
        <v>11</v>
      </c>
      <c r="AZ207" s="12">
        <v>3</v>
      </c>
      <c r="CR207" s="14">
        <v>11</v>
      </c>
      <c r="CW207" s="14">
        <v>1</v>
      </c>
      <c r="CZ207" s="14">
        <v>41</v>
      </c>
      <c r="DH207" s="14">
        <v>0.1</v>
      </c>
      <c r="DZ207" s="15">
        <v>12</v>
      </c>
    </row>
    <row r="208" spans="1:167" x14ac:dyDescent="0.25">
      <c r="A208" s="6" t="str">
        <f t="shared" si="23"/>
        <v>CB_L_1__05_2023</v>
      </c>
      <c r="B208" s="6" t="str">
        <f t="shared" si="24"/>
        <v>CB_L_1__05</v>
      </c>
      <c r="C208" s="6" t="str">
        <f t="shared" si="25"/>
        <v>CB_2023</v>
      </c>
      <c r="D208" s="27" t="s">
        <v>300</v>
      </c>
      <c r="E208" s="73">
        <v>45113</v>
      </c>
      <c r="F208" s="27">
        <v>2023</v>
      </c>
      <c r="G208" s="27" t="s">
        <v>302</v>
      </c>
      <c r="H208" s="27" t="s">
        <v>302</v>
      </c>
      <c r="I208" s="27">
        <v>5</v>
      </c>
      <c r="J208" s="27" t="s">
        <v>230</v>
      </c>
      <c r="K208" s="27">
        <v>1</v>
      </c>
      <c r="N208" s="27" t="s">
        <v>299</v>
      </c>
      <c r="O208" s="11">
        <f t="shared" si="13"/>
        <v>100.1</v>
      </c>
      <c r="P208" s="9">
        <v>67</v>
      </c>
      <c r="S208" s="9">
        <v>0.1</v>
      </c>
      <c r="W208" s="9">
        <v>1</v>
      </c>
      <c r="AB208" s="9">
        <v>11</v>
      </c>
      <c r="AC208" s="9">
        <v>0.5</v>
      </c>
      <c r="AE208" s="9">
        <v>0.5</v>
      </c>
      <c r="AG208" s="9">
        <v>13</v>
      </c>
      <c r="AH208" s="9">
        <v>7</v>
      </c>
      <c r="AT208" s="12">
        <v>3</v>
      </c>
      <c r="AZ208" s="12">
        <v>5</v>
      </c>
      <c r="CF208" s="14">
        <v>9</v>
      </c>
      <c r="CW208" s="14">
        <v>4</v>
      </c>
      <c r="DA208" s="14">
        <v>7</v>
      </c>
      <c r="DK208" s="14">
        <v>1</v>
      </c>
      <c r="DL208" s="14">
        <v>18</v>
      </c>
    </row>
    <row r="209" spans="1:167" x14ac:dyDescent="0.25">
      <c r="A209" s="6" t="str">
        <f t="shared" si="23"/>
        <v>CB_L_1__07_2023</v>
      </c>
      <c r="B209" s="6" t="str">
        <f t="shared" si="24"/>
        <v>CB_L_1__07</v>
      </c>
      <c r="C209" s="6" t="str">
        <f t="shared" si="25"/>
        <v>CB_2023</v>
      </c>
      <c r="D209" s="27" t="s">
        <v>300</v>
      </c>
      <c r="E209" s="73">
        <v>45113</v>
      </c>
      <c r="F209" s="27">
        <v>2023</v>
      </c>
      <c r="G209" s="27" t="s">
        <v>302</v>
      </c>
      <c r="H209" s="27" t="s">
        <v>302</v>
      </c>
      <c r="I209" s="27">
        <v>7</v>
      </c>
      <c r="J209" s="27" t="s">
        <v>230</v>
      </c>
      <c r="K209" s="27">
        <v>1</v>
      </c>
      <c r="N209" s="27" t="s">
        <v>299</v>
      </c>
      <c r="O209" s="11">
        <f t="shared" si="13"/>
        <v>100</v>
      </c>
      <c r="P209" s="9">
        <v>69</v>
      </c>
      <c r="R209" s="9">
        <v>5</v>
      </c>
      <c r="S209" s="9">
        <v>17</v>
      </c>
      <c r="AE209" s="9">
        <v>1</v>
      </c>
      <c r="AH209" s="9">
        <v>8</v>
      </c>
      <c r="AW209" s="12">
        <v>3</v>
      </c>
      <c r="AZ209" s="12">
        <v>6</v>
      </c>
      <c r="BC209" s="12">
        <v>2</v>
      </c>
      <c r="CF209" s="14">
        <v>29</v>
      </c>
      <c r="CL209" s="14">
        <v>1</v>
      </c>
      <c r="CQ209" s="14">
        <v>1</v>
      </c>
      <c r="CW209" s="14">
        <v>3</v>
      </c>
      <c r="CZ209" s="14">
        <v>17</v>
      </c>
      <c r="DA209" s="14">
        <v>2</v>
      </c>
    </row>
    <row r="210" spans="1:167" x14ac:dyDescent="0.25">
      <c r="A210" s="6" t="str">
        <f t="shared" si="23"/>
        <v>CB_L_1__09_2023</v>
      </c>
      <c r="B210" s="6" t="str">
        <f t="shared" si="24"/>
        <v>CB_L_1__09</v>
      </c>
      <c r="C210" s="6" t="str">
        <f t="shared" si="25"/>
        <v>CB_2023</v>
      </c>
      <c r="D210" s="27" t="s">
        <v>300</v>
      </c>
      <c r="E210" s="73">
        <v>45113</v>
      </c>
      <c r="F210" s="27">
        <v>2023</v>
      </c>
      <c r="G210" s="27" t="s">
        <v>302</v>
      </c>
      <c r="H210" s="27" t="s">
        <v>302</v>
      </c>
      <c r="I210" s="27">
        <v>9</v>
      </c>
      <c r="J210" s="27" t="s">
        <v>230</v>
      </c>
      <c r="K210" s="27">
        <v>1</v>
      </c>
      <c r="N210" s="27" t="s">
        <v>299</v>
      </c>
      <c r="O210" s="11">
        <f t="shared" si="13"/>
        <v>100</v>
      </c>
      <c r="P210" s="9">
        <v>8</v>
      </c>
      <c r="S210" s="9">
        <v>67</v>
      </c>
      <c r="AE210" s="9">
        <v>5</v>
      </c>
      <c r="AH210" s="9">
        <v>20</v>
      </c>
      <c r="AT210" s="12">
        <v>2</v>
      </c>
      <c r="AV210" s="12">
        <v>2</v>
      </c>
      <c r="AZ210" s="12">
        <v>4</v>
      </c>
      <c r="BA210" s="12">
        <v>1</v>
      </c>
      <c r="CB210" s="13">
        <v>1</v>
      </c>
      <c r="CF210" s="14">
        <v>58</v>
      </c>
      <c r="CL210" s="14">
        <v>2</v>
      </c>
      <c r="CR210" s="14">
        <v>3</v>
      </c>
      <c r="CZ210" s="14">
        <v>20</v>
      </c>
    </row>
    <row r="211" spans="1:167" x14ac:dyDescent="0.25">
      <c r="A211" s="6" t="str">
        <f t="shared" ref="A211:A224" si="26">CONCATENATE(D211,"_",J211,"_",K211,"_",L211,"_",TEXT(I211,"00"),"_",F211)</f>
        <v>CB_L_2__04_2023</v>
      </c>
      <c r="B211" s="6" t="str">
        <f t="shared" ref="B211:B224" si="27">CONCATENATE(D211,"_",J211,"_",K211,"_",L211,"_",TEXT(I211,"00"))</f>
        <v>CB_L_2__04</v>
      </c>
      <c r="C211" s="6" t="str">
        <f t="shared" ref="C211:C224" si="28">CONCATENATE(D211,,"_",F211)</f>
        <v>CB_2023</v>
      </c>
      <c r="D211" s="27" t="s">
        <v>300</v>
      </c>
      <c r="E211" s="73">
        <v>45114</v>
      </c>
      <c r="F211" s="27">
        <v>2023</v>
      </c>
      <c r="G211" s="27" t="s">
        <v>291</v>
      </c>
      <c r="H211" s="27" t="s">
        <v>297</v>
      </c>
      <c r="I211" s="27">
        <v>4</v>
      </c>
      <c r="J211" s="27" t="s">
        <v>230</v>
      </c>
      <c r="K211" s="27">
        <v>2</v>
      </c>
      <c r="N211" s="27" t="s">
        <v>299</v>
      </c>
      <c r="O211" s="11">
        <f t="shared" si="13"/>
        <v>100.1</v>
      </c>
      <c r="P211" s="9">
        <v>48</v>
      </c>
      <c r="Q211" s="9">
        <v>8</v>
      </c>
      <c r="R211" s="9">
        <v>1</v>
      </c>
      <c r="U211" s="9">
        <v>5</v>
      </c>
      <c r="W211" s="9">
        <v>5</v>
      </c>
      <c r="AC211" s="9">
        <v>3</v>
      </c>
      <c r="AG211" s="9">
        <v>7</v>
      </c>
      <c r="AH211" s="9">
        <v>23</v>
      </c>
      <c r="AI211" s="9">
        <v>0.1</v>
      </c>
      <c r="AT211" s="12">
        <v>24</v>
      </c>
      <c r="AU211" s="12">
        <v>27</v>
      </c>
      <c r="BC211" s="12">
        <v>1</v>
      </c>
      <c r="CE211" s="14">
        <v>2</v>
      </c>
      <c r="CL211" s="14">
        <v>0.1</v>
      </c>
      <c r="CU211" s="14">
        <v>7</v>
      </c>
      <c r="CV211" s="14">
        <v>2</v>
      </c>
      <c r="CW211" s="14">
        <v>2</v>
      </c>
      <c r="CZ211" s="14">
        <v>1</v>
      </c>
      <c r="DA211" s="14">
        <v>18</v>
      </c>
      <c r="DB211" s="14">
        <v>12</v>
      </c>
      <c r="DI211" s="14">
        <v>19</v>
      </c>
      <c r="DK211" s="14">
        <v>5</v>
      </c>
    </row>
    <row r="212" spans="1:167" x14ac:dyDescent="0.25">
      <c r="A212" s="6" t="str">
        <f t="shared" si="26"/>
        <v>CB_L_2__05_2023</v>
      </c>
      <c r="B212" s="6" t="str">
        <f t="shared" si="27"/>
        <v>CB_L_2__05</v>
      </c>
      <c r="C212" s="6" t="str">
        <f t="shared" si="28"/>
        <v>CB_2023</v>
      </c>
      <c r="D212" s="27" t="s">
        <v>300</v>
      </c>
      <c r="E212" s="73">
        <v>45114</v>
      </c>
      <c r="F212" s="27">
        <v>2023</v>
      </c>
      <c r="G212" s="27" t="s">
        <v>291</v>
      </c>
      <c r="H212" s="27" t="s">
        <v>297</v>
      </c>
      <c r="I212" s="27">
        <v>5</v>
      </c>
      <c r="J212" s="27" t="s">
        <v>230</v>
      </c>
      <c r="K212" s="27">
        <v>2</v>
      </c>
      <c r="N212" s="27" t="s">
        <v>299</v>
      </c>
      <c r="O212" s="11">
        <f t="shared" si="13"/>
        <v>100.1</v>
      </c>
      <c r="P212" s="9">
        <v>36</v>
      </c>
      <c r="U212" s="9">
        <v>12</v>
      </c>
      <c r="W212" s="9">
        <v>38</v>
      </c>
      <c r="AE212" s="9">
        <v>1</v>
      </c>
      <c r="AF212" s="9">
        <v>0.1</v>
      </c>
      <c r="AG212" s="9">
        <v>1</v>
      </c>
      <c r="AH212" s="9">
        <v>12</v>
      </c>
      <c r="AQ212" s="12">
        <v>2</v>
      </c>
      <c r="AT212" s="12">
        <v>17</v>
      </c>
      <c r="BA212" s="12">
        <v>1</v>
      </c>
      <c r="BG212" s="13">
        <v>2</v>
      </c>
      <c r="CE212" s="14">
        <v>1</v>
      </c>
      <c r="CF212" s="14">
        <v>13</v>
      </c>
      <c r="CU212" s="14">
        <v>4</v>
      </c>
      <c r="CV212" s="14">
        <v>1</v>
      </c>
      <c r="CW212" s="14">
        <v>3</v>
      </c>
      <c r="CZ212" s="14">
        <v>2</v>
      </c>
      <c r="DI212" s="14">
        <v>34</v>
      </c>
      <c r="DK212" s="14">
        <v>3</v>
      </c>
    </row>
    <row r="213" spans="1:167" x14ac:dyDescent="0.25">
      <c r="A213" s="6" t="str">
        <f t="shared" si="26"/>
        <v>CB_L_2__06_2023</v>
      </c>
      <c r="B213" s="6" t="str">
        <f t="shared" si="27"/>
        <v>CB_L_2__06</v>
      </c>
      <c r="C213" s="6" t="str">
        <f t="shared" si="28"/>
        <v>CB_2023</v>
      </c>
      <c r="D213" s="27" t="s">
        <v>300</v>
      </c>
      <c r="E213" s="73">
        <v>45114</v>
      </c>
      <c r="F213" s="27">
        <v>2023</v>
      </c>
      <c r="G213" s="27" t="s">
        <v>291</v>
      </c>
      <c r="H213" s="27" t="s">
        <v>297</v>
      </c>
      <c r="I213" s="27">
        <v>6</v>
      </c>
      <c r="J213" s="27" t="s">
        <v>230</v>
      </c>
      <c r="K213" s="27">
        <v>2</v>
      </c>
      <c r="N213" s="27" t="s">
        <v>299</v>
      </c>
      <c r="O213" s="11">
        <f t="shared" si="13"/>
        <v>100.1</v>
      </c>
      <c r="P213" s="9">
        <v>2</v>
      </c>
      <c r="Q213" s="9">
        <v>5</v>
      </c>
      <c r="R213" s="9">
        <v>2</v>
      </c>
      <c r="U213" s="9">
        <v>0.1</v>
      </c>
      <c r="W213" s="9">
        <v>1</v>
      </c>
      <c r="AE213" s="9">
        <v>1</v>
      </c>
      <c r="AG213" s="9">
        <v>2</v>
      </c>
      <c r="AH213" s="9">
        <v>87</v>
      </c>
      <c r="CF213" s="14">
        <v>33</v>
      </c>
      <c r="CR213" s="14">
        <v>2</v>
      </c>
      <c r="CW213" s="14">
        <v>2</v>
      </c>
      <c r="DA213" s="14">
        <v>8</v>
      </c>
      <c r="DB213" s="14">
        <v>28</v>
      </c>
      <c r="DC213" s="14">
        <v>16</v>
      </c>
      <c r="DI213" s="14">
        <v>34</v>
      </c>
      <c r="DK213" s="14">
        <v>5</v>
      </c>
    </row>
    <row r="214" spans="1:167" x14ac:dyDescent="0.25">
      <c r="A214" s="6" t="str">
        <f t="shared" si="26"/>
        <v>CB_M___09_2023</v>
      </c>
      <c r="B214" s="6" t="str">
        <f t="shared" si="27"/>
        <v>CB_M___09</v>
      </c>
      <c r="C214" s="6" t="str">
        <f t="shared" si="28"/>
        <v>CB_2023</v>
      </c>
      <c r="D214" s="27" t="s">
        <v>300</v>
      </c>
      <c r="E214" s="73">
        <v>45114</v>
      </c>
      <c r="F214" s="27">
        <v>2023</v>
      </c>
      <c r="G214" s="27" t="s">
        <v>291</v>
      </c>
      <c r="H214" s="27" t="s">
        <v>297</v>
      </c>
      <c r="I214" s="27">
        <v>9</v>
      </c>
      <c r="J214" s="27" t="s">
        <v>231</v>
      </c>
      <c r="N214" s="27" t="s">
        <v>299</v>
      </c>
      <c r="O214" s="11">
        <f t="shared" si="13"/>
        <v>100</v>
      </c>
      <c r="X214" s="9">
        <v>1</v>
      </c>
      <c r="Y214" s="9">
        <v>1</v>
      </c>
      <c r="Z214" s="9">
        <v>97</v>
      </c>
      <c r="AB214" s="9">
        <v>1</v>
      </c>
      <c r="AR214" s="12">
        <v>2</v>
      </c>
      <c r="AS214" s="12">
        <v>11</v>
      </c>
      <c r="AT214" s="12">
        <v>11</v>
      </c>
      <c r="EX214" s="16">
        <v>1</v>
      </c>
      <c r="EY214" s="16">
        <v>0.1</v>
      </c>
      <c r="FK214" s="16">
        <v>0.1</v>
      </c>
    </row>
    <row r="215" spans="1:167" x14ac:dyDescent="0.25">
      <c r="A215" s="6" t="str">
        <f t="shared" si="26"/>
        <v>CB_M___10_2023</v>
      </c>
      <c r="B215" s="6" t="str">
        <f t="shared" si="27"/>
        <v>CB_M___10</v>
      </c>
      <c r="C215" s="6" t="str">
        <f t="shared" si="28"/>
        <v>CB_2023</v>
      </c>
      <c r="D215" s="27" t="s">
        <v>300</v>
      </c>
      <c r="E215" s="73">
        <v>45114</v>
      </c>
      <c r="F215" s="27">
        <v>2023</v>
      </c>
      <c r="G215" s="27" t="s">
        <v>291</v>
      </c>
      <c r="H215" s="27" t="s">
        <v>297</v>
      </c>
      <c r="I215" s="27">
        <v>10</v>
      </c>
      <c r="J215" s="27" t="s">
        <v>231</v>
      </c>
      <c r="N215" s="27" t="s">
        <v>299</v>
      </c>
      <c r="O215" s="11">
        <f t="shared" si="13"/>
        <v>100</v>
      </c>
      <c r="Z215" s="9">
        <v>100</v>
      </c>
      <c r="AR215" s="12">
        <v>5</v>
      </c>
      <c r="AS215" s="12">
        <v>2</v>
      </c>
      <c r="AT215" s="12">
        <v>21</v>
      </c>
      <c r="EX215" s="16">
        <v>6</v>
      </c>
      <c r="EY215" s="16">
        <v>3</v>
      </c>
      <c r="EZ215" s="16">
        <v>0.1</v>
      </c>
    </row>
    <row r="216" spans="1:167" x14ac:dyDescent="0.25">
      <c r="A216" s="6" t="str">
        <f t="shared" si="26"/>
        <v>CB_L_3__01_2023</v>
      </c>
      <c r="B216" s="6" t="str">
        <f t="shared" si="27"/>
        <v>CB_L_3__01</v>
      </c>
      <c r="C216" s="6" t="str">
        <f t="shared" si="28"/>
        <v>CB_2023</v>
      </c>
      <c r="D216" s="27" t="s">
        <v>300</v>
      </c>
      <c r="E216" s="73">
        <v>45114</v>
      </c>
      <c r="F216" s="27">
        <v>2023</v>
      </c>
      <c r="G216" s="27" t="s">
        <v>291</v>
      </c>
      <c r="H216" s="27" t="s">
        <v>297</v>
      </c>
      <c r="I216" s="27">
        <v>1</v>
      </c>
      <c r="J216" s="27" t="s">
        <v>230</v>
      </c>
      <c r="K216" s="27">
        <v>3</v>
      </c>
      <c r="N216" s="27" t="s">
        <v>299</v>
      </c>
      <c r="O216" s="11">
        <f t="shared" si="13"/>
        <v>100</v>
      </c>
      <c r="P216" s="9">
        <v>11</v>
      </c>
      <c r="R216" s="9">
        <v>1</v>
      </c>
      <c r="S216" s="9">
        <v>1</v>
      </c>
      <c r="AE216" s="9">
        <v>1</v>
      </c>
      <c r="AH216" s="9">
        <v>86</v>
      </c>
      <c r="CD216" s="14">
        <v>16</v>
      </c>
      <c r="CF216" s="14">
        <v>61</v>
      </c>
      <c r="CR216" s="14">
        <v>0.1</v>
      </c>
      <c r="CZ216" s="14">
        <v>36</v>
      </c>
      <c r="DC216" s="14">
        <v>9</v>
      </c>
      <c r="DH216" s="14">
        <v>2</v>
      </c>
      <c r="DJ216" s="14">
        <v>18</v>
      </c>
    </row>
    <row r="217" spans="1:167" x14ac:dyDescent="0.25">
      <c r="A217" s="6" t="str">
        <f t="shared" si="26"/>
        <v>CB_L_3__02_2023</v>
      </c>
      <c r="B217" s="6" t="str">
        <f t="shared" si="27"/>
        <v>CB_L_3__02</v>
      </c>
      <c r="C217" s="6" t="str">
        <f t="shared" si="28"/>
        <v>CB_2023</v>
      </c>
      <c r="D217" s="27" t="s">
        <v>300</v>
      </c>
      <c r="E217" s="73">
        <v>45114</v>
      </c>
      <c r="F217" s="27">
        <v>2023</v>
      </c>
      <c r="G217" s="27" t="s">
        <v>291</v>
      </c>
      <c r="H217" s="27" t="s">
        <v>297</v>
      </c>
      <c r="I217" s="27">
        <v>2</v>
      </c>
      <c r="J217" s="27" t="s">
        <v>230</v>
      </c>
      <c r="K217" s="27">
        <v>3</v>
      </c>
      <c r="N217" s="27" t="s">
        <v>299</v>
      </c>
      <c r="O217" s="11">
        <f t="shared" si="13"/>
        <v>100.2</v>
      </c>
      <c r="Q217" s="9">
        <v>14</v>
      </c>
      <c r="S217" s="9">
        <v>1</v>
      </c>
      <c r="U217" s="9">
        <v>0.1</v>
      </c>
      <c r="W217" s="9">
        <v>0.1</v>
      </c>
      <c r="AH217" s="9">
        <v>85</v>
      </c>
      <c r="CR217" s="14">
        <v>1</v>
      </c>
      <c r="CZ217" s="14">
        <v>58</v>
      </c>
      <c r="DB217" s="14">
        <v>5</v>
      </c>
      <c r="DC217" s="14">
        <v>18</v>
      </c>
      <c r="DH217" s="14">
        <v>1</v>
      </c>
      <c r="DJ217" s="14">
        <v>1</v>
      </c>
    </row>
    <row r="218" spans="1:167" x14ac:dyDescent="0.25">
      <c r="A218" s="6" t="str">
        <f t="shared" si="26"/>
        <v>CB_L_3__03_2023</v>
      </c>
      <c r="B218" s="6" t="str">
        <f t="shared" si="27"/>
        <v>CB_L_3__03</v>
      </c>
      <c r="C218" s="6" t="str">
        <f t="shared" si="28"/>
        <v>CB_2023</v>
      </c>
      <c r="D218" s="27" t="s">
        <v>300</v>
      </c>
      <c r="E218" s="73">
        <v>45114</v>
      </c>
      <c r="F218" s="27">
        <v>2023</v>
      </c>
      <c r="G218" s="27" t="s">
        <v>291</v>
      </c>
      <c r="H218" s="27" t="s">
        <v>297</v>
      </c>
      <c r="I218" s="27">
        <v>3</v>
      </c>
      <c r="J218" s="27" t="s">
        <v>230</v>
      </c>
      <c r="K218" s="27">
        <v>3</v>
      </c>
      <c r="N218" s="27" t="s">
        <v>299</v>
      </c>
      <c r="O218" s="11">
        <f t="shared" ref="O218:O281" si="29">SUM(P218:AO218)</f>
        <v>100.1</v>
      </c>
      <c r="P218" s="9">
        <v>3</v>
      </c>
      <c r="Q218" s="9">
        <v>3</v>
      </c>
      <c r="R218" s="9">
        <v>16</v>
      </c>
      <c r="S218" s="9">
        <v>2</v>
      </c>
      <c r="T218" s="9">
        <v>6</v>
      </c>
      <c r="U218" s="9">
        <v>0.1</v>
      </c>
      <c r="AF218" s="9">
        <v>1</v>
      </c>
      <c r="AH218" s="9">
        <v>69</v>
      </c>
      <c r="CZ218" s="14">
        <v>48</v>
      </c>
      <c r="DD218" s="14">
        <v>2</v>
      </c>
      <c r="DZ218" s="15">
        <v>37</v>
      </c>
      <c r="EB218" s="15">
        <v>19</v>
      </c>
    </row>
    <row r="219" spans="1:167" x14ac:dyDescent="0.25">
      <c r="A219" s="6" t="str">
        <f t="shared" si="26"/>
        <v>CB_L_3__04_2023</v>
      </c>
      <c r="B219" s="6" t="str">
        <f t="shared" si="27"/>
        <v>CB_L_3__04</v>
      </c>
      <c r="C219" s="6" t="str">
        <f t="shared" si="28"/>
        <v>CB_2023</v>
      </c>
      <c r="D219" s="27" t="s">
        <v>300</v>
      </c>
      <c r="E219" s="73">
        <v>45114</v>
      </c>
      <c r="F219" s="27">
        <v>2023</v>
      </c>
      <c r="G219" s="27" t="s">
        <v>291</v>
      </c>
      <c r="H219" s="27" t="s">
        <v>297</v>
      </c>
      <c r="I219" s="27">
        <v>4</v>
      </c>
      <c r="J219" s="27" t="s">
        <v>230</v>
      </c>
      <c r="K219" s="27">
        <v>3</v>
      </c>
      <c r="N219" s="27" t="s">
        <v>299</v>
      </c>
      <c r="O219" s="11">
        <f t="shared" si="29"/>
        <v>100</v>
      </c>
      <c r="P219" s="9">
        <v>11</v>
      </c>
      <c r="Q219" s="9">
        <v>16</v>
      </c>
      <c r="AH219" s="9">
        <v>73</v>
      </c>
      <c r="BG219" s="13">
        <v>1</v>
      </c>
      <c r="CZ219" s="14">
        <v>98</v>
      </c>
      <c r="DA219" s="14">
        <v>1</v>
      </c>
      <c r="DC219" s="14">
        <v>5</v>
      </c>
      <c r="DH219" s="14">
        <v>5</v>
      </c>
      <c r="DJ219" s="14">
        <v>1</v>
      </c>
    </row>
    <row r="220" spans="1:167" x14ac:dyDescent="0.25">
      <c r="A220" s="6" t="str">
        <f t="shared" si="26"/>
        <v>CB_L_3__05_2023</v>
      </c>
      <c r="B220" s="6" t="str">
        <f t="shared" si="27"/>
        <v>CB_L_3__05</v>
      </c>
      <c r="C220" s="6" t="str">
        <f t="shared" si="28"/>
        <v>CB_2023</v>
      </c>
      <c r="D220" s="27" t="s">
        <v>300</v>
      </c>
      <c r="E220" s="73">
        <v>45114</v>
      </c>
      <c r="F220" s="27">
        <v>2023</v>
      </c>
      <c r="G220" s="27" t="s">
        <v>291</v>
      </c>
      <c r="H220" s="27" t="s">
        <v>297</v>
      </c>
      <c r="I220" s="27">
        <v>5</v>
      </c>
      <c r="J220" s="27" t="s">
        <v>230</v>
      </c>
      <c r="K220" s="27">
        <v>3</v>
      </c>
      <c r="N220" s="27" t="s">
        <v>299</v>
      </c>
      <c r="O220" s="11">
        <f t="shared" si="29"/>
        <v>100</v>
      </c>
      <c r="Q220" s="9">
        <v>5</v>
      </c>
      <c r="AH220" s="9">
        <v>95</v>
      </c>
      <c r="CW220" s="14">
        <v>4</v>
      </c>
      <c r="CZ220" s="14">
        <v>54</v>
      </c>
      <c r="DD220" s="14">
        <v>28</v>
      </c>
      <c r="DH220" s="14">
        <v>30</v>
      </c>
    </row>
    <row r="221" spans="1:167" x14ac:dyDescent="0.25">
      <c r="A221" s="6" t="str">
        <f t="shared" si="26"/>
        <v>CB_L_3__06_2023</v>
      </c>
      <c r="B221" s="6" t="str">
        <f t="shared" si="27"/>
        <v>CB_L_3__06</v>
      </c>
      <c r="C221" s="6" t="str">
        <f t="shared" si="28"/>
        <v>CB_2023</v>
      </c>
      <c r="D221" s="27" t="s">
        <v>300</v>
      </c>
      <c r="E221" s="73">
        <v>45114</v>
      </c>
      <c r="F221" s="27">
        <v>2023</v>
      </c>
      <c r="G221" s="27" t="s">
        <v>291</v>
      </c>
      <c r="H221" s="27" t="s">
        <v>297</v>
      </c>
      <c r="I221" s="27">
        <v>6</v>
      </c>
      <c r="J221" s="27" t="s">
        <v>230</v>
      </c>
      <c r="K221" s="27">
        <v>3</v>
      </c>
      <c r="N221" s="27" t="s">
        <v>299</v>
      </c>
      <c r="O221" s="11">
        <f t="shared" si="29"/>
        <v>100.1</v>
      </c>
      <c r="P221" s="9">
        <v>3</v>
      </c>
      <c r="Q221" s="9">
        <v>27</v>
      </c>
      <c r="S221" s="9">
        <v>1</v>
      </c>
      <c r="T221" s="9">
        <v>1</v>
      </c>
      <c r="AF221" s="9">
        <v>0.1</v>
      </c>
      <c r="AH221" s="9">
        <v>68</v>
      </c>
      <c r="CF221" s="14">
        <v>6</v>
      </c>
      <c r="CM221" s="14">
        <v>0.1</v>
      </c>
      <c r="CQ221" s="14">
        <v>12</v>
      </c>
      <c r="CR221" s="14">
        <v>40</v>
      </c>
      <c r="CU221" s="14">
        <v>6</v>
      </c>
      <c r="CZ221" s="14">
        <v>38</v>
      </c>
      <c r="DA221" s="14">
        <v>1</v>
      </c>
      <c r="DB221" s="14">
        <v>21</v>
      </c>
      <c r="DD221" s="14">
        <v>3</v>
      </c>
      <c r="DZ221" s="15">
        <v>5</v>
      </c>
      <c r="EB221" s="15">
        <v>4</v>
      </c>
    </row>
    <row r="222" spans="1:167" x14ac:dyDescent="0.25">
      <c r="A222" s="6" t="str">
        <f t="shared" si="26"/>
        <v>CB_L_3__07_2023</v>
      </c>
      <c r="B222" s="6" t="str">
        <f t="shared" si="27"/>
        <v>CB_L_3__07</v>
      </c>
      <c r="C222" s="6" t="str">
        <f t="shared" si="28"/>
        <v>CB_2023</v>
      </c>
      <c r="D222" s="27" t="s">
        <v>300</v>
      </c>
      <c r="E222" s="73">
        <v>45114</v>
      </c>
      <c r="F222" s="27">
        <v>2023</v>
      </c>
      <c r="G222" s="27" t="s">
        <v>291</v>
      </c>
      <c r="H222" s="27" t="s">
        <v>297</v>
      </c>
      <c r="I222" s="27">
        <v>7</v>
      </c>
      <c r="J222" s="27" t="s">
        <v>230</v>
      </c>
      <c r="K222" s="27">
        <v>3</v>
      </c>
      <c r="N222" s="27" t="s">
        <v>299</v>
      </c>
      <c r="O222" s="11">
        <f t="shared" si="29"/>
        <v>100.2</v>
      </c>
      <c r="P222" s="9">
        <v>2</v>
      </c>
      <c r="S222" s="9">
        <v>9</v>
      </c>
      <c r="U222" s="9">
        <v>1</v>
      </c>
      <c r="W222" s="9">
        <v>0.1</v>
      </c>
      <c r="AE222" s="9">
        <v>0.1</v>
      </c>
      <c r="AF222" s="9">
        <v>1</v>
      </c>
      <c r="AG222" s="9">
        <v>1</v>
      </c>
      <c r="AH222" s="9">
        <v>86</v>
      </c>
      <c r="AT222" s="12">
        <v>4</v>
      </c>
      <c r="AW222" s="12">
        <v>2</v>
      </c>
      <c r="BG222" s="13">
        <v>1</v>
      </c>
      <c r="CD222" s="14">
        <v>2</v>
      </c>
      <c r="CF222" s="14">
        <v>12</v>
      </c>
      <c r="CW222" s="14">
        <v>9</v>
      </c>
      <c r="CZ222" s="14">
        <v>27</v>
      </c>
      <c r="DB222" s="14">
        <v>3</v>
      </c>
      <c r="DC222" s="14">
        <v>5</v>
      </c>
      <c r="DH222" s="14">
        <v>2</v>
      </c>
      <c r="DJ222" s="14">
        <v>1</v>
      </c>
      <c r="DK222" s="14">
        <v>5</v>
      </c>
    </row>
    <row r="223" spans="1:167" x14ac:dyDescent="0.25">
      <c r="A223" s="6" t="str">
        <f t="shared" si="26"/>
        <v>CB_L_3__08_2023</v>
      </c>
      <c r="B223" s="6" t="str">
        <f t="shared" si="27"/>
        <v>CB_L_3__08</v>
      </c>
      <c r="C223" s="6" t="str">
        <f t="shared" si="28"/>
        <v>CB_2023</v>
      </c>
      <c r="D223" s="27" t="s">
        <v>300</v>
      </c>
      <c r="E223" s="73">
        <v>45114</v>
      </c>
      <c r="F223" s="27">
        <v>2023</v>
      </c>
      <c r="G223" s="27" t="s">
        <v>291</v>
      </c>
      <c r="H223" s="27" t="s">
        <v>297</v>
      </c>
      <c r="I223" s="27">
        <v>8</v>
      </c>
      <c r="J223" s="27" t="s">
        <v>230</v>
      </c>
      <c r="K223" s="27">
        <v>3</v>
      </c>
      <c r="N223" s="27" t="s">
        <v>299</v>
      </c>
      <c r="O223" s="11">
        <f t="shared" si="29"/>
        <v>100.2</v>
      </c>
      <c r="P223" s="9">
        <v>1</v>
      </c>
      <c r="Q223" s="9">
        <v>17</v>
      </c>
      <c r="R223" s="9">
        <v>7</v>
      </c>
      <c r="U223" s="9">
        <v>0.1</v>
      </c>
      <c r="W223" s="9">
        <v>0.1</v>
      </c>
      <c r="AE223" s="9">
        <v>1</v>
      </c>
      <c r="AH223" s="9">
        <v>74</v>
      </c>
      <c r="CF223" s="14">
        <v>52</v>
      </c>
      <c r="CU223" s="14">
        <v>1</v>
      </c>
      <c r="CW223" s="14">
        <v>18</v>
      </c>
      <c r="CZ223" s="14">
        <v>42</v>
      </c>
      <c r="DA223" s="14">
        <v>3</v>
      </c>
      <c r="DB223" s="14">
        <v>7</v>
      </c>
      <c r="DC223" s="14">
        <v>10</v>
      </c>
    </row>
    <row r="224" spans="1:167" x14ac:dyDescent="0.25">
      <c r="A224" s="6" t="str">
        <f t="shared" si="26"/>
        <v>CB_L_3__09_2023</v>
      </c>
      <c r="B224" s="6" t="str">
        <f t="shared" si="27"/>
        <v>CB_L_3__09</v>
      </c>
      <c r="C224" s="6" t="str">
        <f t="shared" si="28"/>
        <v>CB_2023</v>
      </c>
      <c r="D224" s="27" t="s">
        <v>300</v>
      </c>
      <c r="E224" s="73">
        <v>45114</v>
      </c>
      <c r="F224" s="27">
        <v>2023</v>
      </c>
      <c r="G224" s="27" t="s">
        <v>291</v>
      </c>
      <c r="H224" s="27" t="s">
        <v>297</v>
      </c>
      <c r="I224" s="27">
        <v>9</v>
      </c>
      <c r="J224" s="27" t="s">
        <v>230</v>
      </c>
      <c r="K224" s="27">
        <v>3</v>
      </c>
      <c r="N224" s="27" t="s">
        <v>299</v>
      </c>
      <c r="O224" s="11">
        <f t="shared" si="29"/>
        <v>100.2</v>
      </c>
      <c r="P224" s="9">
        <v>1</v>
      </c>
      <c r="Q224" s="9">
        <v>4</v>
      </c>
      <c r="R224" s="9">
        <v>5</v>
      </c>
      <c r="S224" s="9">
        <v>1</v>
      </c>
      <c r="U224" s="9">
        <v>0.1</v>
      </c>
      <c r="W224" s="9">
        <v>1</v>
      </c>
      <c r="AE224" s="9">
        <v>5</v>
      </c>
      <c r="AG224" s="9">
        <v>0.1</v>
      </c>
      <c r="AH224" s="9">
        <v>83</v>
      </c>
      <c r="AQ224" s="12">
        <v>1</v>
      </c>
      <c r="BC224" s="12">
        <v>1</v>
      </c>
      <c r="CD224" s="14">
        <v>7</v>
      </c>
      <c r="CF224" s="14">
        <v>51</v>
      </c>
      <c r="CL224" s="14">
        <v>2</v>
      </c>
      <c r="CW224" s="14">
        <v>2</v>
      </c>
      <c r="DA224" s="14">
        <v>2</v>
      </c>
      <c r="DB224" s="14">
        <v>20</v>
      </c>
      <c r="DC224" s="14">
        <v>6</v>
      </c>
      <c r="DG224" s="14">
        <v>1</v>
      </c>
      <c r="DI224" s="14">
        <v>10</v>
      </c>
      <c r="DK224" s="14">
        <v>2</v>
      </c>
    </row>
    <row r="225" spans="1:173" x14ac:dyDescent="0.25">
      <c r="A225" s="6" t="str">
        <f t="shared" ref="A225" si="30">CONCATENATE(D225,"_",J225,"_",K225,"_",L225,"_",TEXT(I225,"00"),"_",F225)</f>
        <v>CB_L_3__10_2023</v>
      </c>
      <c r="B225" s="6" t="str">
        <f t="shared" ref="B225" si="31">CONCATENATE(D225,"_",J225,"_",K225,"_",L225,"_",TEXT(I225,"00"))</f>
        <v>CB_L_3__10</v>
      </c>
      <c r="C225" s="6" t="str">
        <f t="shared" ref="C225:C226" si="32">CONCATENATE(D225,,"_",F225)</f>
        <v>CB_2023</v>
      </c>
      <c r="D225" s="27" t="s">
        <v>300</v>
      </c>
      <c r="E225" s="73">
        <v>45114</v>
      </c>
      <c r="F225" s="27">
        <v>2023</v>
      </c>
      <c r="G225" s="27" t="s">
        <v>291</v>
      </c>
      <c r="H225" s="27" t="s">
        <v>297</v>
      </c>
      <c r="I225" s="27">
        <v>10</v>
      </c>
      <c r="J225" s="27" t="s">
        <v>230</v>
      </c>
      <c r="K225" s="27">
        <v>3</v>
      </c>
      <c r="N225" s="27" t="s">
        <v>299</v>
      </c>
      <c r="O225" s="11">
        <f t="shared" si="29"/>
        <v>100.1</v>
      </c>
      <c r="Q225" s="9">
        <v>13</v>
      </c>
      <c r="R225" s="9">
        <v>9</v>
      </c>
      <c r="S225" s="9">
        <v>1</v>
      </c>
      <c r="AE225" s="9">
        <v>8</v>
      </c>
      <c r="AG225" s="9">
        <v>0.1</v>
      </c>
      <c r="AH225" s="9">
        <v>69</v>
      </c>
      <c r="CD225" s="14">
        <v>50</v>
      </c>
      <c r="CF225" s="14">
        <v>58</v>
      </c>
      <c r="CW225" s="14">
        <v>2</v>
      </c>
      <c r="CZ225" s="14">
        <v>12</v>
      </c>
      <c r="DB225" s="14">
        <v>16</v>
      </c>
      <c r="DC225" s="14">
        <v>39</v>
      </c>
      <c r="DH225" s="14">
        <v>2</v>
      </c>
      <c r="DK225" s="14">
        <v>0.1</v>
      </c>
    </row>
    <row r="226" spans="1:173" x14ac:dyDescent="0.25">
      <c r="A226" s="6" t="str">
        <f t="shared" ref="A226" si="33">CONCATENATE(D226,"_",J226,"_",K226,"_",L226,"_",TEXT(I226,"00"),"_",F226)</f>
        <v>BB_H_1__09_2023</v>
      </c>
      <c r="B226" s="6" t="str">
        <f t="shared" ref="B226" si="34">CONCATENATE(D226,"_",J226,"_",K226,"_",L226,"_",TEXT(I226,"00"))</f>
        <v>BB_H_1__09</v>
      </c>
      <c r="C226" s="6" t="str">
        <f t="shared" si="32"/>
        <v>BB_2023</v>
      </c>
      <c r="D226" s="7" t="s">
        <v>18</v>
      </c>
      <c r="E226" s="18">
        <v>45110</v>
      </c>
      <c r="F226" s="7">
        <v>2023</v>
      </c>
      <c r="G226" s="7" t="s">
        <v>303</v>
      </c>
      <c r="H226" s="7" t="s">
        <v>291</v>
      </c>
      <c r="I226" s="7">
        <v>9</v>
      </c>
      <c r="J226" s="7" t="s">
        <v>229</v>
      </c>
      <c r="K226" s="7">
        <v>1</v>
      </c>
      <c r="L226" s="7"/>
      <c r="M226" s="7"/>
      <c r="N226" s="7" t="s">
        <v>299</v>
      </c>
      <c r="O226" s="11">
        <f t="shared" si="29"/>
        <v>100</v>
      </c>
      <c r="P226" s="9">
        <v>93</v>
      </c>
      <c r="U226" s="9">
        <v>4</v>
      </c>
      <c r="W226" s="9">
        <v>1</v>
      </c>
      <c r="AG226" s="9">
        <v>1</v>
      </c>
      <c r="AH226" s="9">
        <v>1</v>
      </c>
      <c r="AU226" s="12">
        <v>48</v>
      </c>
      <c r="CJ226" s="14">
        <v>1</v>
      </c>
      <c r="CW226" s="14">
        <v>1</v>
      </c>
    </row>
    <row r="227" spans="1:173" x14ac:dyDescent="0.25">
      <c r="A227" s="6" t="str">
        <f t="shared" ref="A227:A229" si="35">CONCATENATE(D227,"_",J227,"_",K227,"_",L227,"_",TEXT(I227,"00"),"_",F227)</f>
        <v>BB_H_1__06_2023</v>
      </c>
      <c r="B227" s="6" t="str">
        <f t="shared" ref="B227:B229" si="36">CONCATENATE(D227,"_",J227,"_",K227,"_",L227,"_",TEXT(I227,"00"))</f>
        <v>BB_H_1__06</v>
      </c>
      <c r="C227" s="6" t="str">
        <f t="shared" ref="C227:C229" si="37">CONCATENATE(D227,,"_",F227)</f>
        <v>BB_2023</v>
      </c>
      <c r="D227" s="7" t="s">
        <v>18</v>
      </c>
      <c r="E227" s="18">
        <v>45110</v>
      </c>
      <c r="F227" s="7">
        <v>2023</v>
      </c>
      <c r="G227" s="7" t="s">
        <v>303</v>
      </c>
      <c r="H227" s="7" t="s">
        <v>291</v>
      </c>
      <c r="I227" s="7">
        <v>6</v>
      </c>
      <c r="J227" s="7" t="s">
        <v>229</v>
      </c>
      <c r="K227" s="7">
        <v>1</v>
      </c>
      <c r="L227" s="7"/>
      <c r="M227" s="7"/>
      <c r="N227" s="7" t="s">
        <v>299</v>
      </c>
      <c r="O227" s="11">
        <f t="shared" si="29"/>
        <v>100</v>
      </c>
      <c r="P227" s="9">
        <v>78</v>
      </c>
      <c r="W227" s="9">
        <v>2</v>
      </c>
      <c r="Z227" s="9">
        <v>6</v>
      </c>
      <c r="AC227" s="9">
        <v>7</v>
      </c>
      <c r="AF227" s="9">
        <v>1</v>
      </c>
      <c r="AG227" s="9">
        <v>2</v>
      </c>
      <c r="AH227" s="9">
        <v>4</v>
      </c>
      <c r="AU227" s="12">
        <v>24</v>
      </c>
      <c r="CJ227" s="14">
        <v>3</v>
      </c>
      <c r="CP227" s="14">
        <v>4</v>
      </c>
      <c r="CS227" s="14">
        <v>22</v>
      </c>
      <c r="CY227" s="14">
        <v>0.1</v>
      </c>
    </row>
    <row r="228" spans="1:173" x14ac:dyDescent="0.25">
      <c r="A228" s="6" t="str">
        <f t="shared" si="35"/>
        <v>BB_H_1__07_2023</v>
      </c>
      <c r="B228" s="6" t="str">
        <f t="shared" si="36"/>
        <v>BB_H_1__07</v>
      </c>
      <c r="C228" s="6" t="str">
        <f t="shared" si="37"/>
        <v>BB_2023</v>
      </c>
      <c r="D228" s="7" t="s">
        <v>18</v>
      </c>
      <c r="E228" s="18">
        <v>45110</v>
      </c>
      <c r="F228" s="7">
        <v>2023</v>
      </c>
      <c r="G228" s="7" t="s">
        <v>303</v>
      </c>
      <c r="H228" s="7" t="s">
        <v>291</v>
      </c>
      <c r="I228" s="7">
        <v>7</v>
      </c>
      <c r="J228" s="7" t="s">
        <v>229</v>
      </c>
      <c r="K228" s="7">
        <v>1</v>
      </c>
      <c r="L228" s="7"/>
      <c r="M228" s="7"/>
      <c r="N228" s="7" t="s">
        <v>299</v>
      </c>
      <c r="O228" s="11">
        <f t="shared" si="29"/>
        <v>100</v>
      </c>
      <c r="P228" s="9">
        <v>79</v>
      </c>
      <c r="U228" s="9">
        <v>18</v>
      </c>
      <c r="W228" s="9">
        <v>3</v>
      </c>
      <c r="AU228" s="12">
        <v>16</v>
      </c>
      <c r="CJ228" s="14">
        <v>0.1</v>
      </c>
    </row>
    <row r="229" spans="1:173" x14ac:dyDescent="0.25">
      <c r="A229" s="6" t="str">
        <f t="shared" si="35"/>
        <v>BB_H_1__08_2023</v>
      </c>
      <c r="B229" s="6" t="str">
        <f t="shared" si="36"/>
        <v>BB_H_1__08</v>
      </c>
      <c r="C229" s="6" t="str">
        <f t="shared" si="37"/>
        <v>BB_2023</v>
      </c>
      <c r="D229" s="7" t="s">
        <v>18</v>
      </c>
      <c r="E229" s="18">
        <v>45110</v>
      </c>
      <c r="F229" s="7">
        <v>2023</v>
      </c>
      <c r="G229" s="7" t="s">
        <v>303</v>
      </c>
      <c r="H229" s="7" t="s">
        <v>291</v>
      </c>
      <c r="I229" s="7">
        <v>8</v>
      </c>
      <c r="J229" s="7" t="s">
        <v>229</v>
      </c>
      <c r="K229" s="7">
        <v>1</v>
      </c>
      <c r="L229" s="7"/>
      <c r="M229" s="7"/>
      <c r="N229" s="7" t="s">
        <v>299</v>
      </c>
      <c r="O229" s="11">
        <f t="shared" si="29"/>
        <v>100.1</v>
      </c>
      <c r="P229" s="9">
        <v>14</v>
      </c>
      <c r="U229" s="9">
        <v>1</v>
      </c>
      <c r="W229" s="9">
        <v>2</v>
      </c>
      <c r="Z229" s="9">
        <v>1</v>
      </c>
      <c r="AF229" s="9">
        <v>0.1</v>
      </c>
      <c r="AG229" s="9">
        <v>81</v>
      </c>
      <c r="AH229" s="9">
        <v>1</v>
      </c>
      <c r="AU229" s="12">
        <v>6</v>
      </c>
      <c r="CJ229" s="14">
        <v>0.1</v>
      </c>
      <c r="CP229" s="14">
        <v>82</v>
      </c>
      <c r="CW229" s="14">
        <v>3</v>
      </c>
      <c r="CY229" s="14">
        <v>0.1</v>
      </c>
    </row>
    <row r="230" spans="1:173" x14ac:dyDescent="0.25">
      <c r="A230" s="6" t="str">
        <f t="shared" ref="A230:A251" si="38">CONCATENATE(D230,"_",J230,"_",K230,"_",L230,"_",TEXT(I230,"00"),"_",F230)</f>
        <v>BB_L_2__01_2023</v>
      </c>
      <c r="B230" s="6" t="str">
        <f t="shared" ref="B230:B251" si="39">CONCATENATE(D230,"_",J230,"_",K230,"_",L230,"_",TEXT(I230,"00"))</f>
        <v>BB_L_2__01</v>
      </c>
      <c r="C230" s="6" t="str">
        <f t="shared" ref="C230:C251" si="40">CONCATENATE(D230,,"_",F230)</f>
        <v>BB_2023</v>
      </c>
      <c r="D230" s="7" t="s">
        <v>18</v>
      </c>
      <c r="E230" s="18">
        <v>45110</v>
      </c>
      <c r="F230" s="7">
        <v>2023</v>
      </c>
      <c r="G230" s="7" t="s">
        <v>301</v>
      </c>
      <c r="H230" s="7" t="s">
        <v>301</v>
      </c>
      <c r="I230" s="7">
        <v>1</v>
      </c>
      <c r="J230" s="7" t="s">
        <v>230</v>
      </c>
      <c r="K230" s="7">
        <v>2</v>
      </c>
      <c r="L230" s="7"/>
      <c r="M230" s="7"/>
      <c r="N230" s="7" t="s">
        <v>299</v>
      </c>
      <c r="O230" s="11">
        <f t="shared" si="29"/>
        <v>100</v>
      </c>
      <c r="P230" s="9">
        <v>15</v>
      </c>
      <c r="Q230" s="9">
        <v>2</v>
      </c>
      <c r="R230" s="9">
        <v>5</v>
      </c>
      <c r="S230" s="9">
        <v>6</v>
      </c>
      <c r="AC230" s="9">
        <v>1</v>
      </c>
      <c r="AD230" s="9">
        <v>12</v>
      </c>
      <c r="AE230" s="9">
        <v>3</v>
      </c>
      <c r="AH230" s="9">
        <v>55</v>
      </c>
      <c r="AI230" s="9">
        <v>1</v>
      </c>
      <c r="AP230" s="12">
        <v>2</v>
      </c>
      <c r="AW230" s="12">
        <v>2</v>
      </c>
      <c r="AY230" s="12">
        <v>1</v>
      </c>
      <c r="BA230" s="12">
        <v>2</v>
      </c>
      <c r="CF230" s="14">
        <v>16</v>
      </c>
      <c r="CK230" s="14">
        <v>35</v>
      </c>
      <c r="CL230" s="14">
        <v>4</v>
      </c>
      <c r="CM230" s="14">
        <v>1</v>
      </c>
      <c r="CQ230" s="14">
        <v>4</v>
      </c>
      <c r="CR230" s="14">
        <v>6</v>
      </c>
      <c r="CS230" s="14">
        <v>3</v>
      </c>
      <c r="CT230" s="15">
        <v>5</v>
      </c>
      <c r="CZ230" s="14">
        <v>2</v>
      </c>
      <c r="DD230" s="14">
        <v>7</v>
      </c>
      <c r="DE230" s="14">
        <v>2</v>
      </c>
      <c r="FN230" s="37">
        <v>2</v>
      </c>
    </row>
    <row r="231" spans="1:173" x14ac:dyDescent="0.25">
      <c r="A231" s="6" t="str">
        <f t="shared" si="38"/>
        <v>BB_L_2__02_2023</v>
      </c>
      <c r="B231" s="6" t="str">
        <f t="shared" si="39"/>
        <v>BB_L_2__02</v>
      </c>
      <c r="C231" s="6" t="str">
        <f t="shared" si="40"/>
        <v>BB_2023</v>
      </c>
      <c r="D231" s="7" t="s">
        <v>18</v>
      </c>
      <c r="E231" s="18">
        <v>45110</v>
      </c>
      <c r="F231" s="7">
        <v>2023</v>
      </c>
      <c r="G231" s="7" t="s">
        <v>301</v>
      </c>
      <c r="H231" s="7" t="s">
        <v>301</v>
      </c>
      <c r="I231" s="7">
        <v>2</v>
      </c>
      <c r="J231" s="7" t="s">
        <v>230</v>
      </c>
      <c r="K231" s="7">
        <v>2</v>
      </c>
      <c r="L231" s="7"/>
      <c r="M231" s="7"/>
      <c r="N231" s="7" t="s">
        <v>299</v>
      </c>
      <c r="O231" s="11">
        <f t="shared" si="29"/>
        <v>100</v>
      </c>
      <c r="P231" s="9">
        <v>2</v>
      </c>
      <c r="S231" s="9">
        <v>2</v>
      </c>
      <c r="AB231" s="9">
        <v>4</v>
      </c>
      <c r="AD231" s="9">
        <v>3</v>
      </c>
      <c r="AF231" s="9">
        <v>11</v>
      </c>
      <c r="AH231" s="9">
        <v>75</v>
      </c>
      <c r="AI231" s="9">
        <v>3</v>
      </c>
      <c r="AQ231" s="12">
        <v>1</v>
      </c>
      <c r="AW231" s="12">
        <v>2</v>
      </c>
      <c r="AZ231" s="12">
        <v>4</v>
      </c>
      <c r="BA231" s="12">
        <v>1</v>
      </c>
      <c r="CI231" s="14">
        <v>52</v>
      </c>
      <c r="CK231" s="14">
        <v>7</v>
      </c>
      <c r="CM231" s="14">
        <v>5</v>
      </c>
      <c r="CQ231" s="14">
        <v>14</v>
      </c>
      <c r="CR231" s="14">
        <v>7</v>
      </c>
      <c r="CZ231" s="14">
        <v>8</v>
      </c>
      <c r="DE231" s="14">
        <v>5</v>
      </c>
      <c r="DJ231" s="14">
        <v>3</v>
      </c>
      <c r="EB231" s="15">
        <v>5</v>
      </c>
      <c r="FQ231" s="37">
        <v>4</v>
      </c>
    </row>
    <row r="232" spans="1:173" x14ac:dyDescent="0.25">
      <c r="A232" s="6" t="str">
        <f t="shared" si="38"/>
        <v>BB_L_2__03_2023</v>
      </c>
      <c r="B232" s="6" t="str">
        <f t="shared" si="39"/>
        <v>BB_L_2__03</v>
      </c>
      <c r="C232" s="6" t="str">
        <f t="shared" si="40"/>
        <v>BB_2023</v>
      </c>
      <c r="D232" s="7" t="s">
        <v>18</v>
      </c>
      <c r="E232" s="18">
        <v>45110</v>
      </c>
      <c r="F232" s="7">
        <v>2023</v>
      </c>
      <c r="G232" s="7" t="s">
        <v>301</v>
      </c>
      <c r="H232" s="7" t="s">
        <v>301</v>
      </c>
      <c r="I232" s="7">
        <v>3</v>
      </c>
      <c r="J232" s="7" t="s">
        <v>230</v>
      </c>
      <c r="K232" s="7">
        <v>2</v>
      </c>
      <c r="L232" s="7"/>
      <c r="M232" s="7"/>
      <c r="N232" s="7" t="s">
        <v>299</v>
      </c>
      <c r="O232" s="11">
        <f t="shared" si="29"/>
        <v>100</v>
      </c>
      <c r="P232" s="9">
        <v>53</v>
      </c>
      <c r="R232" s="9">
        <v>3</v>
      </c>
      <c r="S232" s="9">
        <v>15</v>
      </c>
      <c r="AB232" s="9">
        <v>3</v>
      </c>
      <c r="AC232" s="9">
        <v>1</v>
      </c>
      <c r="AD232" s="9">
        <v>16</v>
      </c>
      <c r="AF232" s="9">
        <v>1</v>
      </c>
      <c r="AH232" s="9">
        <v>8</v>
      </c>
      <c r="AP232" s="12">
        <v>2</v>
      </c>
      <c r="AW232" s="12">
        <v>4</v>
      </c>
      <c r="AY232" s="12">
        <v>1</v>
      </c>
      <c r="AZ232" s="12">
        <v>6</v>
      </c>
      <c r="CI232" s="14">
        <v>58</v>
      </c>
      <c r="CK232" s="14">
        <v>65</v>
      </c>
      <c r="CQ232" s="14">
        <v>3</v>
      </c>
      <c r="CR232" s="14">
        <v>1</v>
      </c>
      <c r="CZ232" s="14">
        <v>2</v>
      </c>
      <c r="DE232" s="14">
        <v>14</v>
      </c>
    </row>
    <row r="233" spans="1:173" x14ac:dyDescent="0.25">
      <c r="A233" s="6" t="str">
        <f t="shared" si="38"/>
        <v>BB_L_2__04_2023</v>
      </c>
      <c r="B233" s="6" t="str">
        <f t="shared" si="39"/>
        <v>BB_L_2__04</v>
      </c>
      <c r="C233" s="6" t="str">
        <f t="shared" si="40"/>
        <v>BB_2023</v>
      </c>
      <c r="D233" s="7" t="s">
        <v>18</v>
      </c>
      <c r="E233" s="18">
        <v>45110</v>
      </c>
      <c r="F233" s="7">
        <v>2023</v>
      </c>
      <c r="G233" s="7" t="s">
        <v>301</v>
      </c>
      <c r="H233" s="7" t="s">
        <v>301</v>
      </c>
      <c r="I233" s="7">
        <v>4</v>
      </c>
      <c r="J233" s="7" t="s">
        <v>230</v>
      </c>
      <c r="K233" s="7">
        <v>2</v>
      </c>
      <c r="L233" s="7"/>
      <c r="M233" s="7"/>
      <c r="N233" s="7" t="s">
        <v>299</v>
      </c>
      <c r="O233" s="11">
        <f t="shared" si="29"/>
        <v>100</v>
      </c>
      <c r="P233" s="9">
        <v>7</v>
      </c>
      <c r="R233" s="9">
        <v>2</v>
      </c>
      <c r="S233" s="9">
        <v>64</v>
      </c>
      <c r="AC233" s="9">
        <v>1</v>
      </c>
      <c r="AD233" s="9">
        <v>6</v>
      </c>
      <c r="AF233" s="9">
        <v>10</v>
      </c>
      <c r="AH233" s="9">
        <v>10</v>
      </c>
      <c r="AQ233" s="12">
        <v>1</v>
      </c>
      <c r="AW233" s="12">
        <v>2</v>
      </c>
      <c r="CI233" s="14">
        <v>89</v>
      </c>
      <c r="CK233" s="14">
        <v>17</v>
      </c>
      <c r="CQ233" s="14">
        <v>14</v>
      </c>
      <c r="CR233" s="14">
        <v>11</v>
      </c>
      <c r="CZ233" s="14">
        <v>3</v>
      </c>
      <c r="DD233" s="14">
        <v>3</v>
      </c>
      <c r="DE233" s="14">
        <v>2</v>
      </c>
      <c r="FM233" s="16">
        <v>6</v>
      </c>
    </row>
    <row r="234" spans="1:173" x14ac:dyDescent="0.25">
      <c r="A234" s="6" t="str">
        <f t="shared" si="38"/>
        <v>BB_L_2__05_2023</v>
      </c>
      <c r="B234" s="6" t="str">
        <f t="shared" si="39"/>
        <v>BB_L_2__05</v>
      </c>
      <c r="C234" s="6" t="str">
        <f t="shared" si="40"/>
        <v>BB_2023</v>
      </c>
      <c r="D234" s="7" t="s">
        <v>18</v>
      </c>
      <c r="E234" s="18">
        <v>45110</v>
      </c>
      <c r="F234" s="7">
        <v>2023</v>
      </c>
      <c r="G234" s="7" t="s">
        <v>301</v>
      </c>
      <c r="H234" s="7" t="s">
        <v>301</v>
      </c>
      <c r="I234" s="7">
        <v>5</v>
      </c>
      <c r="J234" s="7" t="s">
        <v>230</v>
      </c>
      <c r="K234" s="7">
        <v>2</v>
      </c>
      <c r="L234" s="7"/>
      <c r="M234" s="7"/>
      <c r="N234" s="7" t="s">
        <v>299</v>
      </c>
      <c r="O234" s="11">
        <f t="shared" si="29"/>
        <v>100</v>
      </c>
      <c r="P234" s="9">
        <v>2</v>
      </c>
      <c r="Q234" s="9">
        <v>1</v>
      </c>
      <c r="S234" s="9">
        <v>16</v>
      </c>
      <c r="U234" s="9">
        <v>1</v>
      </c>
      <c r="AC234" s="9">
        <v>1</v>
      </c>
      <c r="AD234" s="9">
        <v>70</v>
      </c>
      <c r="AF234" s="9">
        <v>6</v>
      </c>
      <c r="AH234" s="9">
        <v>3</v>
      </c>
      <c r="AV234" s="12">
        <v>1</v>
      </c>
      <c r="AW234" s="12">
        <v>4</v>
      </c>
      <c r="AZ234" s="12">
        <v>2</v>
      </c>
      <c r="CF234" s="14">
        <v>24</v>
      </c>
      <c r="CK234" s="14">
        <v>54</v>
      </c>
      <c r="CQ234" s="14">
        <v>7</v>
      </c>
      <c r="CZ234" s="14">
        <v>0.1</v>
      </c>
      <c r="DE234" s="14">
        <v>5</v>
      </c>
    </row>
    <row r="235" spans="1:173" x14ac:dyDescent="0.25">
      <c r="A235" s="6" t="str">
        <f t="shared" si="38"/>
        <v>BB_L_2__06_2023</v>
      </c>
      <c r="B235" s="6" t="str">
        <f t="shared" si="39"/>
        <v>BB_L_2__06</v>
      </c>
      <c r="C235" s="6" t="str">
        <f t="shared" si="40"/>
        <v>BB_2023</v>
      </c>
      <c r="D235" s="7" t="s">
        <v>18</v>
      </c>
      <c r="E235" s="18">
        <v>45110</v>
      </c>
      <c r="F235" s="7">
        <v>2023</v>
      </c>
      <c r="G235" s="7" t="s">
        <v>301</v>
      </c>
      <c r="H235" s="7" t="s">
        <v>301</v>
      </c>
      <c r="I235" s="7">
        <v>6</v>
      </c>
      <c r="J235" s="7" t="s">
        <v>230</v>
      </c>
      <c r="K235" s="7">
        <v>2</v>
      </c>
      <c r="L235" s="7"/>
      <c r="M235" s="7"/>
      <c r="N235" s="7" t="s">
        <v>299</v>
      </c>
      <c r="O235" s="11">
        <f t="shared" si="29"/>
        <v>100.1</v>
      </c>
      <c r="P235" s="9">
        <v>15</v>
      </c>
      <c r="R235" s="9">
        <v>6</v>
      </c>
      <c r="S235" s="9">
        <v>65</v>
      </c>
      <c r="T235" s="9">
        <v>0.1</v>
      </c>
      <c r="AF235" s="9">
        <v>7</v>
      </c>
      <c r="AH235" s="9">
        <v>7</v>
      </c>
      <c r="AP235" s="12">
        <v>1</v>
      </c>
      <c r="AW235" s="12">
        <v>3</v>
      </c>
      <c r="AZ235" s="12">
        <v>39</v>
      </c>
      <c r="CI235" s="14">
        <v>98</v>
      </c>
      <c r="CQ235" s="14">
        <v>12</v>
      </c>
      <c r="CR235" s="14">
        <v>6</v>
      </c>
      <c r="CT235" s="15">
        <v>7</v>
      </c>
      <c r="CZ235" s="14">
        <v>1</v>
      </c>
      <c r="DD235" s="14">
        <v>1</v>
      </c>
      <c r="DE235" s="14">
        <v>8</v>
      </c>
    </row>
    <row r="236" spans="1:173" x14ac:dyDescent="0.25">
      <c r="A236" s="6" t="str">
        <f t="shared" si="38"/>
        <v>BB_L_2__07_2023</v>
      </c>
      <c r="B236" s="6" t="str">
        <f t="shared" si="39"/>
        <v>BB_L_2__07</v>
      </c>
      <c r="C236" s="6" t="str">
        <f t="shared" si="40"/>
        <v>BB_2023</v>
      </c>
      <c r="D236" s="7" t="s">
        <v>18</v>
      </c>
      <c r="E236" s="18">
        <v>45110</v>
      </c>
      <c r="F236" s="7">
        <v>2023</v>
      </c>
      <c r="G236" s="7" t="s">
        <v>301</v>
      </c>
      <c r="H236" s="7" t="s">
        <v>301</v>
      </c>
      <c r="I236" s="7">
        <v>7</v>
      </c>
      <c r="J236" s="7" t="s">
        <v>230</v>
      </c>
      <c r="K236" s="7">
        <v>2</v>
      </c>
      <c r="L236" s="7"/>
      <c r="M236" s="7"/>
      <c r="N236" s="7" t="s">
        <v>299</v>
      </c>
      <c r="O236" s="11">
        <f t="shared" si="29"/>
        <v>100</v>
      </c>
      <c r="P236" s="9">
        <v>11</v>
      </c>
      <c r="S236" s="9">
        <v>69</v>
      </c>
      <c r="AD236" s="9">
        <v>3</v>
      </c>
      <c r="AE236" s="9">
        <v>10</v>
      </c>
      <c r="AH236" s="9">
        <v>7</v>
      </c>
      <c r="AQ236" s="12">
        <v>2</v>
      </c>
      <c r="AT236" s="12">
        <v>1</v>
      </c>
      <c r="AV236" s="12">
        <v>4</v>
      </c>
      <c r="AW236" s="12">
        <v>3</v>
      </c>
      <c r="AX236" s="12">
        <v>1</v>
      </c>
      <c r="BA236" s="12">
        <v>5</v>
      </c>
      <c r="BB236" s="12">
        <v>1</v>
      </c>
      <c r="CF236" s="14">
        <v>63</v>
      </c>
      <c r="CL236" s="14">
        <v>9</v>
      </c>
      <c r="CM236" s="14">
        <v>1</v>
      </c>
      <c r="CR236" s="14">
        <v>4</v>
      </c>
      <c r="DA236" s="14">
        <v>1</v>
      </c>
      <c r="DD236" s="14">
        <v>4</v>
      </c>
      <c r="FN236" s="37">
        <v>2</v>
      </c>
    </row>
    <row r="237" spans="1:173" x14ac:dyDescent="0.25">
      <c r="A237" s="6" t="str">
        <f t="shared" si="38"/>
        <v>BB_L_2__08_2023</v>
      </c>
      <c r="B237" s="6" t="str">
        <f t="shared" si="39"/>
        <v>BB_L_2__08</v>
      </c>
      <c r="C237" s="6" t="str">
        <f t="shared" si="40"/>
        <v>BB_2023</v>
      </c>
      <c r="D237" s="7" t="s">
        <v>18</v>
      </c>
      <c r="E237" s="18">
        <v>45110</v>
      </c>
      <c r="F237" s="7">
        <v>2023</v>
      </c>
      <c r="G237" s="7" t="s">
        <v>301</v>
      </c>
      <c r="H237" s="7" t="s">
        <v>301</v>
      </c>
      <c r="I237" s="7">
        <v>8</v>
      </c>
      <c r="J237" s="7" t="s">
        <v>230</v>
      </c>
      <c r="K237" s="7">
        <v>2</v>
      </c>
      <c r="L237" s="7"/>
      <c r="M237" s="7"/>
      <c r="N237" s="7" t="s">
        <v>299</v>
      </c>
      <c r="O237" s="11">
        <f t="shared" si="29"/>
        <v>100</v>
      </c>
      <c r="S237" s="9">
        <v>56</v>
      </c>
      <c r="AD237" s="9">
        <v>18</v>
      </c>
      <c r="AE237" s="9">
        <v>14</v>
      </c>
      <c r="AH237" s="9">
        <v>7</v>
      </c>
      <c r="AI237" s="9">
        <v>5</v>
      </c>
      <c r="AQ237" s="12">
        <v>1</v>
      </c>
      <c r="AV237" s="12">
        <v>1</v>
      </c>
      <c r="AW237" s="12">
        <v>2</v>
      </c>
      <c r="BA237" s="12">
        <v>1</v>
      </c>
      <c r="CD237" s="14">
        <v>16</v>
      </c>
      <c r="CF237" s="14">
        <v>69</v>
      </c>
      <c r="CI237" s="14">
        <v>11</v>
      </c>
      <c r="CK237" s="14">
        <v>22</v>
      </c>
      <c r="CL237" s="14">
        <v>1</v>
      </c>
      <c r="CM237" s="14">
        <v>3</v>
      </c>
      <c r="CR237" s="14">
        <v>9</v>
      </c>
      <c r="CS237" s="14">
        <v>2</v>
      </c>
      <c r="CT237" s="15">
        <v>4</v>
      </c>
      <c r="DG237" s="14">
        <v>1</v>
      </c>
      <c r="DJ237" s="14">
        <v>0.1</v>
      </c>
    </row>
    <row r="238" spans="1:173" x14ac:dyDescent="0.25">
      <c r="A238" s="6" t="str">
        <f t="shared" si="38"/>
        <v>BB_L_2__09_2023</v>
      </c>
      <c r="B238" s="6" t="str">
        <f t="shared" si="39"/>
        <v>BB_L_2__09</v>
      </c>
      <c r="C238" s="6" t="str">
        <f t="shared" si="40"/>
        <v>BB_2023</v>
      </c>
      <c r="D238" s="7" t="s">
        <v>18</v>
      </c>
      <c r="E238" s="18">
        <v>45110</v>
      </c>
      <c r="F238" s="7">
        <v>2023</v>
      </c>
      <c r="G238" s="7" t="s">
        <v>301</v>
      </c>
      <c r="H238" s="7" t="s">
        <v>301</v>
      </c>
      <c r="I238" s="7">
        <v>9</v>
      </c>
      <c r="J238" s="7" t="s">
        <v>230</v>
      </c>
      <c r="K238" s="7">
        <v>2</v>
      </c>
      <c r="L238" s="7"/>
      <c r="M238" s="7"/>
      <c r="N238" s="7" t="s">
        <v>299</v>
      </c>
      <c r="O238" s="11">
        <f t="shared" si="29"/>
        <v>100.19999999999999</v>
      </c>
      <c r="P238" s="9">
        <v>3</v>
      </c>
      <c r="R238" s="9">
        <v>77</v>
      </c>
      <c r="S238" s="9">
        <v>15</v>
      </c>
      <c r="AB238" s="9">
        <v>2</v>
      </c>
      <c r="AF238" s="9">
        <v>0.1</v>
      </c>
      <c r="AG238" s="9">
        <v>0.1</v>
      </c>
      <c r="AH238" s="9">
        <v>3</v>
      </c>
      <c r="AZ238" s="12">
        <v>51</v>
      </c>
      <c r="CQ238" s="14">
        <v>5</v>
      </c>
      <c r="CR238" s="14">
        <v>2</v>
      </c>
      <c r="DA238" s="14">
        <v>12</v>
      </c>
      <c r="FQ238" s="37">
        <v>2</v>
      </c>
    </row>
    <row r="239" spans="1:173" x14ac:dyDescent="0.25">
      <c r="A239" s="6" t="str">
        <f t="shared" si="38"/>
        <v>BB_L_2__10_2023</v>
      </c>
      <c r="B239" s="6" t="str">
        <f t="shared" si="39"/>
        <v>BB_L_2__10</v>
      </c>
      <c r="C239" s="6" t="str">
        <f t="shared" si="40"/>
        <v>BB_2023</v>
      </c>
      <c r="D239" s="7" t="s">
        <v>18</v>
      </c>
      <c r="E239" s="18">
        <v>45110</v>
      </c>
      <c r="F239" s="7">
        <v>2023</v>
      </c>
      <c r="G239" s="7" t="s">
        <v>301</v>
      </c>
      <c r="H239" s="7" t="s">
        <v>301</v>
      </c>
      <c r="I239" s="7">
        <v>10</v>
      </c>
      <c r="J239" s="7" t="s">
        <v>230</v>
      </c>
      <c r="K239" s="7">
        <v>2</v>
      </c>
      <c r="L239" s="7"/>
      <c r="M239" s="7"/>
      <c r="N239" s="7" t="s">
        <v>299</v>
      </c>
      <c r="O239" s="11">
        <f t="shared" si="29"/>
        <v>100</v>
      </c>
      <c r="P239" s="9">
        <v>6</v>
      </c>
      <c r="R239" s="9">
        <v>8</v>
      </c>
      <c r="S239" s="9">
        <v>58</v>
      </c>
      <c r="AB239" s="9">
        <v>3</v>
      </c>
      <c r="AD239" s="9">
        <v>6</v>
      </c>
      <c r="AF239" s="9">
        <v>11</v>
      </c>
      <c r="AH239" s="9">
        <v>8</v>
      </c>
      <c r="AZ239" s="12">
        <v>11</v>
      </c>
      <c r="CI239" s="14">
        <v>26</v>
      </c>
      <c r="CK239" s="14">
        <v>15</v>
      </c>
      <c r="CQ239" s="14">
        <v>9</v>
      </c>
      <c r="CR239" s="14">
        <v>10</v>
      </c>
      <c r="CZ239" s="14">
        <v>1</v>
      </c>
      <c r="DA239" s="14">
        <v>3</v>
      </c>
      <c r="DD239" s="14">
        <v>2</v>
      </c>
      <c r="DE239" s="14">
        <v>4</v>
      </c>
      <c r="DG239" s="14">
        <v>2</v>
      </c>
    </row>
    <row r="240" spans="1:173" x14ac:dyDescent="0.25">
      <c r="A240" s="6" t="str">
        <f t="shared" si="38"/>
        <v>BB_M_1__01_2023</v>
      </c>
      <c r="B240" s="6" t="str">
        <f t="shared" si="39"/>
        <v>BB_M_1__01</v>
      </c>
      <c r="C240" s="6" t="str">
        <f t="shared" si="40"/>
        <v>BB_2023</v>
      </c>
      <c r="D240" s="7" t="s">
        <v>18</v>
      </c>
      <c r="E240" s="18">
        <v>45110</v>
      </c>
      <c r="F240" s="7">
        <v>2023</v>
      </c>
      <c r="G240" s="7" t="s">
        <v>301</v>
      </c>
      <c r="H240" s="7" t="s">
        <v>301</v>
      </c>
      <c r="I240" s="7">
        <v>1</v>
      </c>
      <c r="J240" s="7" t="s">
        <v>231</v>
      </c>
      <c r="K240" s="7">
        <v>1</v>
      </c>
      <c r="L240" s="7"/>
      <c r="M240" s="7"/>
      <c r="N240" s="7" t="s">
        <v>299</v>
      </c>
      <c r="O240" s="11">
        <f t="shared" si="29"/>
        <v>100</v>
      </c>
      <c r="P240" s="9">
        <v>10</v>
      </c>
      <c r="U240" s="9">
        <v>74</v>
      </c>
      <c r="Z240" s="9">
        <v>15</v>
      </c>
      <c r="AC240" s="9">
        <v>1</v>
      </c>
      <c r="AP240" s="12">
        <v>5</v>
      </c>
      <c r="AQ240" s="12">
        <v>2</v>
      </c>
      <c r="AR240" s="12">
        <v>1</v>
      </c>
      <c r="AS240" s="12">
        <v>3</v>
      </c>
      <c r="AT240" s="12">
        <v>5</v>
      </c>
      <c r="BC240" s="12">
        <v>1</v>
      </c>
      <c r="DI240" s="14">
        <v>12</v>
      </c>
      <c r="EX240" s="16">
        <v>16</v>
      </c>
      <c r="FJ240" s="16">
        <v>59</v>
      </c>
    </row>
    <row r="241" spans="1:171" x14ac:dyDescent="0.25">
      <c r="A241" s="6" t="str">
        <f t="shared" si="38"/>
        <v>BB_M_1__02_2023</v>
      </c>
      <c r="B241" s="6" t="str">
        <f t="shared" si="39"/>
        <v>BB_M_1__02</v>
      </c>
      <c r="C241" s="6" t="str">
        <f t="shared" si="40"/>
        <v>BB_2023</v>
      </c>
      <c r="D241" s="7" t="s">
        <v>18</v>
      </c>
      <c r="E241" s="18">
        <v>45110</v>
      </c>
      <c r="F241" s="7">
        <v>2023</v>
      </c>
      <c r="G241" s="7" t="s">
        <v>301</v>
      </c>
      <c r="H241" s="7" t="s">
        <v>301</v>
      </c>
      <c r="I241" s="7">
        <v>2</v>
      </c>
      <c r="J241" s="7" t="s">
        <v>231</v>
      </c>
      <c r="K241" s="7">
        <v>1</v>
      </c>
      <c r="L241" s="7"/>
      <c r="M241" s="7"/>
      <c r="N241" s="7" t="s">
        <v>299</v>
      </c>
      <c r="O241" s="11">
        <f t="shared" si="29"/>
        <v>100</v>
      </c>
      <c r="X241" s="9">
        <v>9</v>
      </c>
      <c r="Z241" s="9">
        <v>91</v>
      </c>
      <c r="AT241" s="12">
        <v>11</v>
      </c>
      <c r="EX241" s="16">
        <v>3</v>
      </c>
      <c r="EY241" s="16">
        <v>1</v>
      </c>
      <c r="FH241" s="16">
        <v>6</v>
      </c>
      <c r="FK241" s="16">
        <v>12</v>
      </c>
    </row>
    <row r="242" spans="1:171" x14ac:dyDescent="0.25">
      <c r="A242" s="6" t="str">
        <f t="shared" si="38"/>
        <v>BB_M_1__03_2023</v>
      </c>
      <c r="B242" s="6" t="str">
        <f t="shared" si="39"/>
        <v>BB_M_1__03</v>
      </c>
      <c r="C242" s="6" t="str">
        <f t="shared" si="40"/>
        <v>BB_2023</v>
      </c>
      <c r="D242" s="7" t="s">
        <v>18</v>
      </c>
      <c r="E242" s="18">
        <v>45110</v>
      </c>
      <c r="F242" s="7">
        <v>2023</v>
      </c>
      <c r="G242" s="7" t="s">
        <v>301</v>
      </c>
      <c r="H242" s="7" t="s">
        <v>301</v>
      </c>
      <c r="I242" s="7">
        <v>3</v>
      </c>
      <c r="J242" s="7" t="s">
        <v>231</v>
      </c>
      <c r="K242" s="7">
        <v>1</v>
      </c>
      <c r="L242" s="7"/>
      <c r="M242" s="7"/>
      <c r="N242" s="7" t="s">
        <v>299</v>
      </c>
      <c r="O242" s="11">
        <f t="shared" si="29"/>
        <v>100</v>
      </c>
      <c r="Z242" s="9">
        <v>100</v>
      </c>
      <c r="AR242" s="12">
        <v>1</v>
      </c>
      <c r="AS242" s="12">
        <v>3</v>
      </c>
      <c r="AT242" s="12">
        <v>33</v>
      </c>
      <c r="AZ242" s="12">
        <v>2</v>
      </c>
      <c r="BG242" s="13">
        <v>1</v>
      </c>
      <c r="CL242" s="14">
        <v>6</v>
      </c>
      <c r="EX242" s="16">
        <v>3</v>
      </c>
      <c r="EY242" s="16">
        <v>2</v>
      </c>
      <c r="FH242" s="16">
        <v>4</v>
      </c>
      <c r="FK242" s="16">
        <v>5</v>
      </c>
      <c r="FM242" s="16">
        <v>6</v>
      </c>
    </row>
    <row r="243" spans="1:171" x14ac:dyDescent="0.25">
      <c r="A243" s="6" t="str">
        <f t="shared" si="38"/>
        <v>BB_M_1__04_2023</v>
      </c>
      <c r="B243" s="6" t="str">
        <f t="shared" si="39"/>
        <v>BB_M_1__04</v>
      </c>
      <c r="C243" s="6" t="str">
        <f t="shared" si="40"/>
        <v>BB_2023</v>
      </c>
      <c r="D243" s="7" t="s">
        <v>18</v>
      </c>
      <c r="E243" s="18">
        <v>45110</v>
      </c>
      <c r="F243" s="7">
        <v>2023</v>
      </c>
      <c r="G243" s="7" t="s">
        <v>301</v>
      </c>
      <c r="H243" s="7" t="s">
        <v>301</v>
      </c>
      <c r="I243" s="7">
        <v>4</v>
      </c>
      <c r="J243" s="7" t="s">
        <v>231</v>
      </c>
      <c r="K243" s="7">
        <v>1</v>
      </c>
      <c r="L243" s="7"/>
      <c r="M243" s="7"/>
      <c r="N243" s="7" t="s">
        <v>299</v>
      </c>
      <c r="O243" s="11">
        <f t="shared" si="29"/>
        <v>100</v>
      </c>
      <c r="Z243" s="9">
        <v>100</v>
      </c>
      <c r="AQ243" s="12">
        <v>3</v>
      </c>
      <c r="AT243" s="12">
        <v>18</v>
      </c>
      <c r="EX243" s="16">
        <v>2</v>
      </c>
      <c r="EY243" s="16">
        <v>1</v>
      </c>
      <c r="FH243" s="16">
        <v>4</v>
      </c>
      <c r="FK243" s="16">
        <v>5</v>
      </c>
    </row>
    <row r="244" spans="1:171" x14ac:dyDescent="0.25">
      <c r="A244" s="6" t="str">
        <f t="shared" si="38"/>
        <v>BB_M_1__05_2023</v>
      </c>
      <c r="B244" s="6" t="str">
        <f t="shared" si="39"/>
        <v>BB_M_1__05</v>
      </c>
      <c r="C244" s="6" t="str">
        <f t="shared" si="40"/>
        <v>BB_2023</v>
      </c>
      <c r="D244" s="7" t="s">
        <v>18</v>
      </c>
      <c r="E244" s="18">
        <v>45110</v>
      </c>
      <c r="F244" s="7">
        <v>2023</v>
      </c>
      <c r="G244" s="7" t="s">
        <v>301</v>
      </c>
      <c r="H244" s="7" t="s">
        <v>301</v>
      </c>
      <c r="I244" s="7">
        <v>5</v>
      </c>
      <c r="J244" s="7" t="s">
        <v>231</v>
      </c>
      <c r="K244" s="7">
        <v>1</v>
      </c>
      <c r="L244" s="7"/>
      <c r="M244" s="7"/>
      <c r="N244" s="7" t="s">
        <v>299</v>
      </c>
      <c r="O244" s="11">
        <f t="shared" si="29"/>
        <v>100</v>
      </c>
      <c r="P244" s="9">
        <v>2</v>
      </c>
      <c r="Y244" s="9">
        <v>19</v>
      </c>
      <c r="Z244" s="9">
        <v>79</v>
      </c>
      <c r="FK244" s="16">
        <v>3</v>
      </c>
    </row>
    <row r="245" spans="1:171" x14ac:dyDescent="0.25">
      <c r="A245" s="6" t="str">
        <f t="shared" si="38"/>
        <v>BB_M_1__06_2023</v>
      </c>
      <c r="B245" s="6" t="str">
        <f t="shared" si="39"/>
        <v>BB_M_1__06</v>
      </c>
      <c r="C245" s="6" t="str">
        <f t="shared" si="40"/>
        <v>BB_2023</v>
      </c>
      <c r="D245" s="7" t="s">
        <v>18</v>
      </c>
      <c r="E245" s="18">
        <v>45110</v>
      </c>
      <c r="F245" s="7">
        <v>2023</v>
      </c>
      <c r="G245" s="7" t="s">
        <v>301</v>
      </c>
      <c r="H245" s="7" t="s">
        <v>301</v>
      </c>
      <c r="I245" s="7">
        <v>6</v>
      </c>
      <c r="J245" s="7" t="s">
        <v>231</v>
      </c>
      <c r="K245" s="7">
        <v>1</v>
      </c>
      <c r="L245" s="7"/>
      <c r="M245" s="7"/>
      <c r="N245" s="7" t="s">
        <v>299</v>
      </c>
      <c r="O245" s="11">
        <f t="shared" si="29"/>
        <v>100</v>
      </c>
      <c r="Y245" s="9">
        <v>4</v>
      </c>
      <c r="Z245" s="9">
        <v>96</v>
      </c>
      <c r="AP245" s="12">
        <v>3</v>
      </c>
      <c r="AQ245" s="12">
        <v>2</v>
      </c>
      <c r="AT245" s="12">
        <v>34</v>
      </c>
      <c r="CL245" s="14">
        <v>0.1</v>
      </c>
      <c r="EX245" s="16">
        <v>1</v>
      </c>
      <c r="EY245" s="16">
        <v>1</v>
      </c>
      <c r="FH245" s="16">
        <v>6</v>
      </c>
      <c r="FK245" s="16">
        <v>9</v>
      </c>
    </row>
    <row r="246" spans="1:171" x14ac:dyDescent="0.25">
      <c r="A246" s="6" t="str">
        <f t="shared" si="38"/>
        <v>BB_M_1__07_2023</v>
      </c>
      <c r="B246" s="6" t="str">
        <f t="shared" si="39"/>
        <v>BB_M_1__07</v>
      </c>
      <c r="C246" s="6" t="str">
        <f t="shared" si="40"/>
        <v>BB_2023</v>
      </c>
      <c r="D246" s="7" t="s">
        <v>18</v>
      </c>
      <c r="E246" s="18">
        <v>45110</v>
      </c>
      <c r="F246" s="7">
        <v>2023</v>
      </c>
      <c r="G246" s="7" t="s">
        <v>301</v>
      </c>
      <c r="H246" s="7" t="s">
        <v>301</v>
      </c>
      <c r="I246" s="7">
        <v>7</v>
      </c>
      <c r="J246" s="7" t="s">
        <v>231</v>
      </c>
      <c r="K246" s="7">
        <v>1</v>
      </c>
      <c r="L246" s="7"/>
      <c r="M246" s="7"/>
      <c r="N246" s="7" t="s">
        <v>299</v>
      </c>
      <c r="O246" s="11">
        <f t="shared" si="29"/>
        <v>100</v>
      </c>
      <c r="Z246" s="9">
        <v>99</v>
      </c>
      <c r="AB246" s="9">
        <v>1</v>
      </c>
      <c r="AP246" s="12">
        <v>2</v>
      </c>
      <c r="AT246" s="12">
        <v>23</v>
      </c>
      <c r="EX246" s="16">
        <v>1</v>
      </c>
      <c r="EY246" s="16">
        <v>1</v>
      </c>
      <c r="FH246" s="16">
        <v>3</v>
      </c>
      <c r="FK246" s="16">
        <v>5</v>
      </c>
    </row>
    <row r="247" spans="1:171" x14ac:dyDescent="0.25">
      <c r="A247" s="6" t="str">
        <f t="shared" si="38"/>
        <v>BB_M_1__08_2023</v>
      </c>
      <c r="B247" s="6" t="str">
        <f t="shared" si="39"/>
        <v>BB_M_1__08</v>
      </c>
      <c r="C247" s="6" t="str">
        <f t="shared" si="40"/>
        <v>BB_2023</v>
      </c>
      <c r="D247" s="7" t="s">
        <v>18</v>
      </c>
      <c r="E247" s="18">
        <v>45110</v>
      </c>
      <c r="F247" s="7">
        <v>2023</v>
      </c>
      <c r="G247" s="7" t="s">
        <v>301</v>
      </c>
      <c r="H247" s="7" t="s">
        <v>301</v>
      </c>
      <c r="I247" s="7">
        <v>8</v>
      </c>
      <c r="J247" s="7" t="s">
        <v>231</v>
      </c>
      <c r="K247" s="7">
        <v>1</v>
      </c>
      <c r="L247" s="7"/>
      <c r="M247" s="7"/>
      <c r="N247" s="7" t="s">
        <v>299</v>
      </c>
      <c r="O247" s="11">
        <f t="shared" si="29"/>
        <v>100</v>
      </c>
      <c r="P247" s="9">
        <v>6</v>
      </c>
      <c r="Z247" s="9">
        <v>92</v>
      </c>
      <c r="AB247" s="9">
        <v>2</v>
      </c>
      <c r="AP247" s="12">
        <v>1</v>
      </c>
      <c r="CL247" s="14">
        <v>8</v>
      </c>
      <c r="FH247" s="16">
        <v>4</v>
      </c>
      <c r="FK247" s="16">
        <v>8</v>
      </c>
    </row>
    <row r="248" spans="1:171" x14ac:dyDescent="0.25">
      <c r="A248" s="6" t="str">
        <f t="shared" si="38"/>
        <v>BB_M_1__09_2023</v>
      </c>
      <c r="B248" s="6" t="str">
        <f t="shared" si="39"/>
        <v>BB_M_1__09</v>
      </c>
      <c r="C248" s="6" t="str">
        <f t="shared" si="40"/>
        <v>BB_2023</v>
      </c>
      <c r="D248" s="7" t="s">
        <v>18</v>
      </c>
      <c r="E248" s="18">
        <v>45110</v>
      </c>
      <c r="F248" s="7">
        <v>2023</v>
      </c>
      <c r="G248" s="7" t="s">
        <v>301</v>
      </c>
      <c r="H248" s="7" t="s">
        <v>301</v>
      </c>
      <c r="I248" s="7">
        <v>9</v>
      </c>
      <c r="J248" s="7" t="s">
        <v>231</v>
      </c>
      <c r="K248" s="7">
        <v>1</v>
      </c>
      <c r="L248" s="7"/>
      <c r="M248" s="7"/>
      <c r="N248" s="7" t="s">
        <v>299</v>
      </c>
      <c r="O248" s="11">
        <f t="shared" si="29"/>
        <v>100</v>
      </c>
      <c r="X248" s="9">
        <v>3</v>
      </c>
      <c r="Z248" s="9">
        <v>97</v>
      </c>
      <c r="AP248" s="12">
        <v>1</v>
      </c>
      <c r="AQ248" s="12">
        <v>1</v>
      </c>
      <c r="AT248" s="12">
        <v>13</v>
      </c>
      <c r="EX248" s="16">
        <v>1</v>
      </c>
      <c r="EY248" s="16">
        <v>0.1</v>
      </c>
      <c r="FH248" s="16">
        <v>5</v>
      </c>
      <c r="FK248" s="16">
        <v>7</v>
      </c>
    </row>
    <row r="249" spans="1:171" x14ac:dyDescent="0.25">
      <c r="A249" s="6" t="str">
        <f t="shared" si="38"/>
        <v>BB_M_1__10_2023</v>
      </c>
      <c r="B249" s="6" t="str">
        <f t="shared" si="39"/>
        <v>BB_M_1__10</v>
      </c>
      <c r="C249" s="6" t="str">
        <f t="shared" si="40"/>
        <v>BB_2023</v>
      </c>
      <c r="D249" s="7" t="s">
        <v>18</v>
      </c>
      <c r="E249" s="18">
        <v>45110</v>
      </c>
      <c r="F249" s="7">
        <v>2023</v>
      </c>
      <c r="G249" s="7" t="s">
        <v>301</v>
      </c>
      <c r="H249" s="7" t="s">
        <v>301</v>
      </c>
      <c r="I249" s="7">
        <v>10</v>
      </c>
      <c r="J249" s="7" t="s">
        <v>231</v>
      </c>
      <c r="K249" s="7">
        <v>1</v>
      </c>
      <c r="L249" s="7"/>
      <c r="M249" s="7"/>
      <c r="N249" s="7" t="s">
        <v>299</v>
      </c>
      <c r="O249" s="11">
        <f t="shared" si="29"/>
        <v>100</v>
      </c>
      <c r="Z249" s="9">
        <v>100</v>
      </c>
      <c r="AS249" s="12">
        <v>2</v>
      </c>
      <c r="AT249" s="12">
        <v>18</v>
      </c>
      <c r="FH249" s="16">
        <v>4</v>
      </c>
      <c r="FK249" s="16">
        <v>8</v>
      </c>
    </row>
    <row r="250" spans="1:171" x14ac:dyDescent="0.25">
      <c r="A250" s="6" t="str">
        <f t="shared" si="38"/>
        <v>BB_M_1__11_2023</v>
      </c>
      <c r="B250" s="6" t="str">
        <f t="shared" si="39"/>
        <v>BB_M_1__11</v>
      </c>
      <c r="C250" s="6" t="str">
        <f t="shared" si="40"/>
        <v>BB_2023</v>
      </c>
      <c r="D250" s="7" t="s">
        <v>18</v>
      </c>
      <c r="E250" s="18">
        <v>45110</v>
      </c>
      <c r="F250" s="7">
        <v>2023</v>
      </c>
      <c r="G250" s="7" t="s">
        <v>301</v>
      </c>
      <c r="H250" s="7" t="s">
        <v>301</v>
      </c>
      <c r="I250" s="7">
        <v>11</v>
      </c>
      <c r="J250" s="7" t="s">
        <v>231</v>
      </c>
      <c r="K250" s="7">
        <v>1</v>
      </c>
      <c r="L250" s="7"/>
      <c r="M250" s="7"/>
      <c r="N250" s="7" t="s">
        <v>299</v>
      </c>
      <c r="O250" s="11">
        <f t="shared" si="29"/>
        <v>100.1</v>
      </c>
      <c r="P250" s="9">
        <v>6</v>
      </c>
      <c r="S250" s="9">
        <v>0.1</v>
      </c>
      <c r="Z250" s="9">
        <v>92</v>
      </c>
      <c r="AB250" s="9">
        <v>2</v>
      </c>
      <c r="AP250" s="12">
        <v>2</v>
      </c>
      <c r="AS250" s="12">
        <v>5</v>
      </c>
      <c r="AT250" s="12">
        <v>1</v>
      </c>
      <c r="EX250" s="16">
        <v>1</v>
      </c>
      <c r="EY250" s="16">
        <v>1</v>
      </c>
      <c r="FH250" s="16">
        <v>0.1</v>
      </c>
      <c r="FK250" s="16">
        <v>2</v>
      </c>
    </row>
    <row r="251" spans="1:171" x14ac:dyDescent="0.25">
      <c r="A251" s="6" t="str">
        <f t="shared" si="38"/>
        <v>BB_H_1__01_2023</v>
      </c>
      <c r="B251" s="6" t="str">
        <f t="shared" si="39"/>
        <v>BB_H_1__01</v>
      </c>
      <c r="C251" s="6" t="str">
        <f t="shared" si="40"/>
        <v>BB_2023</v>
      </c>
      <c r="D251" s="7" t="s">
        <v>18</v>
      </c>
      <c r="E251" s="18">
        <v>45110</v>
      </c>
      <c r="F251" s="7">
        <v>2023</v>
      </c>
      <c r="G251" s="7" t="s">
        <v>301</v>
      </c>
      <c r="H251" s="7" t="s">
        <v>301</v>
      </c>
      <c r="I251" s="7">
        <v>1</v>
      </c>
      <c r="J251" s="7" t="s">
        <v>229</v>
      </c>
      <c r="K251" s="7">
        <v>1</v>
      </c>
      <c r="L251" s="7"/>
      <c r="M251" s="7"/>
      <c r="N251" s="7" t="s">
        <v>299</v>
      </c>
      <c r="O251" s="11">
        <f t="shared" si="29"/>
        <v>100</v>
      </c>
      <c r="P251" s="9">
        <v>96</v>
      </c>
      <c r="W251" s="9">
        <v>4</v>
      </c>
      <c r="AT251" s="12">
        <v>3</v>
      </c>
      <c r="CW251" s="14">
        <v>1</v>
      </c>
      <c r="EX251" s="16">
        <v>0.1</v>
      </c>
      <c r="EY251" s="16">
        <v>2</v>
      </c>
    </row>
    <row r="252" spans="1:171" x14ac:dyDescent="0.25">
      <c r="A252" s="6" t="str">
        <f t="shared" ref="A252:A256" si="41">CONCATENATE(D252,"_",J252,"_",K252,"_",L252,"_",TEXT(I252,"00"),"_",F252)</f>
        <v>BB_H_1__02_2023</v>
      </c>
      <c r="B252" s="6" t="str">
        <f t="shared" ref="B252:B256" si="42">CONCATENATE(D252,"_",J252,"_",K252,"_",L252,"_",TEXT(I252,"00"))</f>
        <v>BB_H_1__02</v>
      </c>
      <c r="C252" s="6" t="str">
        <f t="shared" ref="C252:C256" si="43">CONCATENATE(D252,,"_",F252)</f>
        <v>BB_2023</v>
      </c>
      <c r="D252" s="7" t="s">
        <v>18</v>
      </c>
      <c r="E252" s="18">
        <v>45110</v>
      </c>
      <c r="F252" s="7">
        <v>2023</v>
      </c>
      <c r="G252" s="7" t="s">
        <v>301</v>
      </c>
      <c r="H252" s="7" t="s">
        <v>301</v>
      </c>
      <c r="I252" s="7">
        <v>2</v>
      </c>
      <c r="J252" s="7" t="s">
        <v>229</v>
      </c>
      <c r="K252" s="7">
        <v>1</v>
      </c>
      <c r="L252" s="7"/>
      <c r="M252" s="7"/>
      <c r="N252" s="7" t="s">
        <v>299</v>
      </c>
      <c r="O252" s="11">
        <f t="shared" si="29"/>
        <v>100</v>
      </c>
      <c r="P252" s="9">
        <v>81</v>
      </c>
      <c r="U252" s="9">
        <v>1</v>
      </c>
      <c r="V252" s="9">
        <v>1</v>
      </c>
      <c r="Z252" s="9">
        <v>14</v>
      </c>
      <c r="AF252" s="9">
        <v>3</v>
      </c>
      <c r="AS252" s="12">
        <v>4</v>
      </c>
      <c r="AT252" s="12">
        <v>4</v>
      </c>
      <c r="BX252" s="13">
        <v>2</v>
      </c>
      <c r="CE252" s="14">
        <v>2</v>
      </c>
      <c r="CU252" s="14">
        <v>0.1</v>
      </c>
      <c r="CW252" s="14">
        <v>1</v>
      </c>
      <c r="CY252" s="14">
        <v>1</v>
      </c>
      <c r="EX252" s="16">
        <v>1</v>
      </c>
    </row>
    <row r="253" spans="1:171" x14ac:dyDescent="0.25">
      <c r="A253" s="6" t="str">
        <f t="shared" si="41"/>
        <v>BB_H_1__03_2023</v>
      </c>
      <c r="B253" s="6" t="str">
        <f t="shared" si="42"/>
        <v>BB_H_1__03</v>
      </c>
      <c r="C253" s="6" t="str">
        <f t="shared" si="43"/>
        <v>BB_2023</v>
      </c>
      <c r="D253" s="7" t="s">
        <v>18</v>
      </c>
      <c r="E253" s="18">
        <v>45110</v>
      </c>
      <c r="F253" s="7">
        <v>2023</v>
      </c>
      <c r="G253" s="7" t="s">
        <v>301</v>
      </c>
      <c r="H253" s="7" t="s">
        <v>301</v>
      </c>
      <c r="I253" s="7">
        <v>3</v>
      </c>
      <c r="J253" s="7" t="s">
        <v>229</v>
      </c>
      <c r="K253" s="7">
        <v>1</v>
      </c>
      <c r="L253" s="7"/>
      <c r="M253" s="7"/>
      <c r="N253" s="7" t="s">
        <v>299</v>
      </c>
      <c r="O253" s="11">
        <f t="shared" si="29"/>
        <v>100.1</v>
      </c>
      <c r="P253" s="9">
        <v>69</v>
      </c>
      <c r="W253" s="9">
        <v>2</v>
      </c>
      <c r="Y253" s="9">
        <v>0.1</v>
      </c>
      <c r="Z253" s="9">
        <v>26</v>
      </c>
      <c r="AF253" s="9">
        <v>2</v>
      </c>
      <c r="AH253" s="9">
        <v>1</v>
      </c>
      <c r="AS253" s="12">
        <v>1</v>
      </c>
      <c r="AU253" s="12">
        <v>20</v>
      </c>
      <c r="CJ253" s="14">
        <v>2</v>
      </c>
      <c r="CP253" s="14">
        <v>0.1</v>
      </c>
      <c r="CW253" s="14">
        <v>3</v>
      </c>
      <c r="CY253" s="14">
        <v>2</v>
      </c>
    </row>
    <row r="254" spans="1:171" x14ac:dyDescent="0.25">
      <c r="A254" s="6" t="str">
        <f t="shared" si="41"/>
        <v>BB_H_1__04_2023</v>
      </c>
      <c r="B254" s="6" t="str">
        <f t="shared" si="42"/>
        <v>BB_H_1__04</v>
      </c>
      <c r="C254" s="6" t="str">
        <f t="shared" si="43"/>
        <v>BB_2023</v>
      </c>
      <c r="D254" s="7" t="s">
        <v>18</v>
      </c>
      <c r="E254" s="18">
        <v>45110</v>
      </c>
      <c r="F254" s="7">
        <v>2023</v>
      </c>
      <c r="G254" s="7" t="s">
        <v>301</v>
      </c>
      <c r="H254" s="7" t="s">
        <v>301</v>
      </c>
      <c r="I254" s="7">
        <v>4</v>
      </c>
      <c r="J254" s="7" t="s">
        <v>229</v>
      </c>
      <c r="K254" s="7">
        <v>1</v>
      </c>
      <c r="L254" s="7"/>
      <c r="M254" s="7"/>
      <c r="N254" s="7" t="s">
        <v>299</v>
      </c>
      <c r="O254" s="11">
        <f t="shared" si="29"/>
        <v>100</v>
      </c>
      <c r="P254" s="9">
        <v>2</v>
      </c>
      <c r="Z254" s="9">
        <v>89</v>
      </c>
      <c r="AH254" s="9">
        <v>9</v>
      </c>
      <c r="AT254" s="12">
        <v>15</v>
      </c>
      <c r="CP254" s="14">
        <v>6</v>
      </c>
      <c r="CS254" s="14">
        <v>36</v>
      </c>
      <c r="CY254" s="14">
        <v>0.1</v>
      </c>
      <c r="EX254" s="16">
        <v>0.1</v>
      </c>
    </row>
    <row r="255" spans="1:171" x14ac:dyDescent="0.25">
      <c r="A255" s="6" t="str">
        <f t="shared" si="41"/>
        <v>BB_H_1__05_2023</v>
      </c>
      <c r="B255" s="6" t="str">
        <f t="shared" si="42"/>
        <v>BB_H_1__05</v>
      </c>
      <c r="C255" s="6" t="str">
        <f t="shared" si="43"/>
        <v>BB_2023</v>
      </c>
      <c r="D255" s="7" t="s">
        <v>18</v>
      </c>
      <c r="E255" s="18">
        <v>45110</v>
      </c>
      <c r="F255" s="7">
        <v>2023</v>
      </c>
      <c r="G255" s="7" t="s">
        <v>301</v>
      </c>
      <c r="H255" s="7" t="s">
        <v>301</v>
      </c>
      <c r="I255" s="7">
        <v>5</v>
      </c>
      <c r="J255" s="7" t="s">
        <v>229</v>
      </c>
      <c r="K255" s="7">
        <v>1</v>
      </c>
      <c r="L255" s="7"/>
      <c r="M255" s="7"/>
      <c r="N255" s="7" t="s">
        <v>299</v>
      </c>
      <c r="O255" s="11">
        <f t="shared" si="29"/>
        <v>100</v>
      </c>
      <c r="P255" s="9">
        <v>4</v>
      </c>
      <c r="Z255" s="9">
        <v>2</v>
      </c>
      <c r="AC255" s="9">
        <v>4</v>
      </c>
      <c r="AG255" s="9">
        <v>80</v>
      </c>
      <c r="AH255" s="9">
        <v>10</v>
      </c>
      <c r="AS255" s="12">
        <v>1</v>
      </c>
      <c r="AT255" s="12">
        <v>6</v>
      </c>
      <c r="AU255" s="12">
        <v>45</v>
      </c>
      <c r="BX255" s="13">
        <v>4</v>
      </c>
      <c r="CE255" s="14">
        <v>18</v>
      </c>
      <c r="CJ255" s="14">
        <v>1</v>
      </c>
      <c r="CP255" s="14">
        <v>80</v>
      </c>
      <c r="CW255" s="14">
        <v>1</v>
      </c>
      <c r="CY255" s="14">
        <v>20</v>
      </c>
      <c r="DB255" s="14">
        <v>5</v>
      </c>
    </row>
    <row r="256" spans="1:171" x14ac:dyDescent="0.25">
      <c r="A256" s="6" t="str">
        <f t="shared" si="41"/>
        <v>BB_L_1__01_2023</v>
      </c>
      <c r="B256" s="6" t="str">
        <f t="shared" si="42"/>
        <v>BB_L_1__01</v>
      </c>
      <c r="C256" s="6" t="str">
        <f t="shared" si="43"/>
        <v>BB_2023</v>
      </c>
      <c r="D256" s="7" t="s">
        <v>18</v>
      </c>
      <c r="E256" s="18">
        <v>45110</v>
      </c>
      <c r="F256" s="7">
        <v>2023</v>
      </c>
      <c r="G256" s="7" t="s">
        <v>303</v>
      </c>
      <c r="H256" s="7" t="s">
        <v>297</v>
      </c>
      <c r="I256" s="7">
        <v>1</v>
      </c>
      <c r="J256" s="7" t="s">
        <v>230</v>
      </c>
      <c r="K256" s="7">
        <v>1</v>
      </c>
      <c r="L256" s="7"/>
      <c r="M256" s="7"/>
      <c r="N256" s="7" t="s">
        <v>299</v>
      </c>
      <c r="O256" s="11">
        <f t="shared" si="29"/>
        <v>100</v>
      </c>
      <c r="P256" s="9">
        <v>3</v>
      </c>
      <c r="S256" s="9">
        <v>30</v>
      </c>
      <c r="AD256" s="9">
        <v>40</v>
      </c>
      <c r="AE256" s="9">
        <v>3</v>
      </c>
      <c r="AG256" s="9">
        <v>10</v>
      </c>
      <c r="AH256" s="9">
        <v>4</v>
      </c>
      <c r="AI256" s="9">
        <v>10</v>
      </c>
      <c r="AP256" s="12">
        <v>1</v>
      </c>
      <c r="AV256" s="12">
        <v>2</v>
      </c>
      <c r="AW256" s="12">
        <v>2</v>
      </c>
      <c r="CF256" s="14">
        <v>24</v>
      </c>
      <c r="CK256" s="14">
        <v>51</v>
      </c>
      <c r="CL256" s="14">
        <v>25</v>
      </c>
      <c r="FN256" s="37">
        <v>1</v>
      </c>
      <c r="FO256" s="37">
        <v>1</v>
      </c>
    </row>
    <row r="257" spans="1:171" x14ac:dyDescent="0.25">
      <c r="A257" s="6" t="str">
        <f t="shared" ref="A257:A266" si="44">CONCATENATE(D257,"_",J257,"_",K257,"_",L257,"_",TEXT(I257,"00"),"_",F257)</f>
        <v>BB_L_1__02_2023</v>
      </c>
      <c r="B257" s="6" t="str">
        <f t="shared" ref="B257:B266" si="45">CONCATENATE(D257,"_",J257,"_",K257,"_",L257,"_",TEXT(I257,"00"))</f>
        <v>BB_L_1__02</v>
      </c>
      <c r="C257" s="6" t="str">
        <f t="shared" ref="C257:C266" si="46">CONCATENATE(D257,,"_",F257)</f>
        <v>BB_2023</v>
      </c>
      <c r="D257" s="7" t="s">
        <v>18</v>
      </c>
      <c r="E257" s="18">
        <v>45110</v>
      </c>
      <c r="F257" s="7">
        <v>2023</v>
      </c>
      <c r="G257" s="7" t="s">
        <v>303</v>
      </c>
      <c r="H257" s="7" t="s">
        <v>297</v>
      </c>
      <c r="I257" s="7">
        <v>2</v>
      </c>
      <c r="J257" s="7" t="s">
        <v>230</v>
      </c>
      <c r="K257" s="7">
        <v>1</v>
      </c>
      <c r="L257" s="7"/>
      <c r="M257" s="7"/>
      <c r="N257" s="7" t="s">
        <v>299</v>
      </c>
      <c r="O257" s="11">
        <f t="shared" si="29"/>
        <v>100</v>
      </c>
      <c r="P257" s="9">
        <v>16</v>
      </c>
      <c r="AD257" s="9">
        <v>80</v>
      </c>
      <c r="AE257" s="9">
        <v>1</v>
      </c>
      <c r="AH257" s="9">
        <v>1</v>
      </c>
      <c r="AI257" s="9">
        <v>2</v>
      </c>
      <c r="AP257" s="12">
        <v>1</v>
      </c>
      <c r="CF257" s="14">
        <v>9</v>
      </c>
      <c r="CK257" s="14">
        <v>82</v>
      </c>
      <c r="CL257" s="14">
        <v>9</v>
      </c>
      <c r="FO257" s="37">
        <v>2</v>
      </c>
    </row>
    <row r="258" spans="1:171" x14ac:dyDescent="0.25">
      <c r="A258" s="6" t="str">
        <f t="shared" si="44"/>
        <v>BB_L_1__03_2023</v>
      </c>
      <c r="B258" s="6" t="str">
        <f t="shared" si="45"/>
        <v>BB_L_1__03</v>
      </c>
      <c r="C258" s="6" t="str">
        <f t="shared" si="46"/>
        <v>BB_2023</v>
      </c>
      <c r="D258" s="7" t="s">
        <v>18</v>
      </c>
      <c r="E258" s="18">
        <v>45110</v>
      </c>
      <c r="F258" s="7">
        <v>2023</v>
      </c>
      <c r="G258" s="7" t="s">
        <v>303</v>
      </c>
      <c r="H258" s="7" t="s">
        <v>297</v>
      </c>
      <c r="I258" s="7">
        <v>3</v>
      </c>
      <c r="J258" s="7" t="s">
        <v>230</v>
      </c>
      <c r="K258" s="7">
        <v>1</v>
      </c>
      <c r="L258" s="7"/>
      <c r="M258" s="7"/>
      <c r="N258" s="7" t="s">
        <v>299</v>
      </c>
      <c r="O258" s="11">
        <f t="shared" si="29"/>
        <v>100</v>
      </c>
      <c r="P258" s="9">
        <v>7</v>
      </c>
      <c r="AD258" s="9">
        <v>56</v>
      </c>
      <c r="AE258" s="9">
        <v>20</v>
      </c>
      <c r="AH258" s="9">
        <v>16</v>
      </c>
      <c r="AI258" s="9">
        <v>1</v>
      </c>
      <c r="AP258" s="12">
        <v>1</v>
      </c>
      <c r="BA258" s="12">
        <v>2</v>
      </c>
      <c r="CF258" s="14">
        <v>45</v>
      </c>
      <c r="CK258" s="14">
        <v>41</v>
      </c>
      <c r="CL258" s="14">
        <v>1</v>
      </c>
      <c r="CT258" s="15">
        <v>13</v>
      </c>
    </row>
    <row r="259" spans="1:171" x14ac:dyDescent="0.25">
      <c r="A259" s="6" t="str">
        <f t="shared" si="44"/>
        <v>BB_L_1__04_2023</v>
      </c>
      <c r="B259" s="6" t="str">
        <f t="shared" si="45"/>
        <v>BB_L_1__04</v>
      </c>
      <c r="C259" s="6" t="str">
        <f t="shared" si="46"/>
        <v>BB_2023</v>
      </c>
      <c r="D259" s="7" t="s">
        <v>18</v>
      </c>
      <c r="E259" s="18">
        <v>45110</v>
      </c>
      <c r="F259" s="7">
        <v>2023</v>
      </c>
      <c r="G259" s="7" t="s">
        <v>303</v>
      </c>
      <c r="H259" s="7" t="s">
        <v>297</v>
      </c>
      <c r="I259" s="7">
        <v>4</v>
      </c>
      <c r="J259" s="7" t="s">
        <v>230</v>
      </c>
      <c r="K259" s="7">
        <v>1</v>
      </c>
      <c r="L259" s="7"/>
      <c r="M259" s="7"/>
      <c r="N259" s="7" t="s">
        <v>299</v>
      </c>
      <c r="O259" s="11">
        <f t="shared" si="29"/>
        <v>102</v>
      </c>
      <c r="S259" s="9">
        <v>58</v>
      </c>
      <c r="AD259" s="9">
        <v>24</v>
      </c>
      <c r="AH259" s="9">
        <v>7</v>
      </c>
      <c r="AI259" s="9">
        <v>13</v>
      </c>
      <c r="AQ259" s="12">
        <v>2</v>
      </c>
      <c r="AV259" s="12">
        <v>2</v>
      </c>
      <c r="BD259" s="12">
        <v>2</v>
      </c>
      <c r="CG259" s="14">
        <v>64</v>
      </c>
      <c r="CK259" s="14">
        <v>32</v>
      </c>
      <c r="CL259" s="14">
        <v>3</v>
      </c>
      <c r="CT259" s="15">
        <v>1</v>
      </c>
      <c r="FM259" s="16">
        <v>4</v>
      </c>
    </row>
    <row r="260" spans="1:171" x14ac:dyDescent="0.25">
      <c r="A260" s="6" t="str">
        <f t="shared" si="44"/>
        <v>BB_L_1__05_2023</v>
      </c>
      <c r="B260" s="6" t="str">
        <f t="shared" si="45"/>
        <v>BB_L_1__05</v>
      </c>
      <c r="C260" s="6" t="str">
        <f t="shared" si="46"/>
        <v>BB_2023</v>
      </c>
      <c r="D260" s="7" t="s">
        <v>18</v>
      </c>
      <c r="E260" s="18">
        <v>45110</v>
      </c>
      <c r="F260" s="7">
        <v>2023</v>
      </c>
      <c r="G260" s="7" t="s">
        <v>303</v>
      </c>
      <c r="H260" s="7" t="s">
        <v>297</v>
      </c>
      <c r="I260" s="7">
        <v>5</v>
      </c>
      <c r="J260" s="7" t="s">
        <v>230</v>
      </c>
      <c r="K260" s="7">
        <v>1</v>
      </c>
      <c r="L260" s="7"/>
      <c r="M260" s="7"/>
      <c r="N260" s="7" t="s">
        <v>299</v>
      </c>
      <c r="O260" s="11">
        <f t="shared" si="29"/>
        <v>100</v>
      </c>
      <c r="S260" s="9">
        <v>20</v>
      </c>
      <c r="AD260" s="9">
        <v>43</v>
      </c>
      <c r="AH260" s="9">
        <v>24</v>
      </c>
      <c r="AI260" s="9">
        <v>13</v>
      </c>
      <c r="AP260" s="12">
        <v>1</v>
      </c>
      <c r="AQ260" s="12">
        <v>2</v>
      </c>
      <c r="AS260" s="12">
        <v>1</v>
      </c>
      <c r="AW260" s="12">
        <v>1</v>
      </c>
      <c r="AZ260" s="12">
        <v>5</v>
      </c>
      <c r="CK260" s="14">
        <v>96</v>
      </c>
      <c r="CT260" s="15">
        <v>2</v>
      </c>
      <c r="DD260" s="14">
        <v>2</v>
      </c>
    </row>
    <row r="261" spans="1:171" x14ac:dyDescent="0.25">
      <c r="A261" s="6" t="str">
        <f t="shared" si="44"/>
        <v>BB_L_1__06_2023</v>
      </c>
      <c r="B261" s="6" t="str">
        <f t="shared" si="45"/>
        <v>BB_L_1__06</v>
      </c>
      <c r="C261" s="6" t="str">
        <f t="shared" si="46"/>
        <v>BB_2023</v>
      </c>
      <c r="D261" s="7" t="s">
        <v>18</v>
      </c>
      <c r="E261" s="18">
        <v>45110</v>
      </c>
      <c r="F261" s="7">
        <v>2023</v>
      </c>
      <c r="G261" s="7" t="s">
        <v>303</v>
      </c>
      <c r="H261" s="7" t="s">
        <v>297</v>
      </c>
      <c r="I261" s="7">
        <v>6</v>
      </c>
      <c r="J261" s="7" t="s">
        <v>230</v>
      </c>
      <c r="K261" s="7">
        <v>1</v>
      </c>
      <c r="L261" s="7"/>
      <c r="M261" s="7"/>
      <c r="N261" s="7" t="s">
        <v>299</v>
      </c>
      <c r="O261" s="11">
        <f t="shared" si="29"/>
        <v>100</v>
      </c>
      <c r="P261" s="9">
        <v>4</v>
      </c>
      <c r="S261" s="9">
        <v>48</v>
      </c>
      <c r="AD261" s="9">
        <v>17</v>
      </c>
      <c r="AE261" s="9">
        <v>2</v>
      </c>
      <c r="AH261" s="9">
        <v>17</v>
      </c>
      <c r="AI261" s="9">
        <v>12</v>
      </c>
      <c r="AQ261" s="12">
        <v>2</v>
      </c>
      <c r="AV261" s="12">
        <v>1</v>
      </c>
      <c r="AW261" s="12">
        <v>5</v>
      </c>
      <c r="AZ261" s="12">
        <v>7</v>
      </c>
      <c r="CF261" s="14">
        <v>13</v>
      </c>
      <c r="CK261" s="14">
        <v>31</v>
      </c>
      <c r="CL261" s="14">
        <v>12</v>
      </c>
      <c r="CR261" s="14">
        <v>1</v>
      </c>
      <c r="CT261" s="15">
        <v>16</v>
      </c>
    </row>
    <row r="262" spans="1:171" x14ac:dyDescent="0.25">
      <c r="A262" s="6" t="str">
        <f t="shared" si="44"/>
        <v>BB_L_1__07_2023</v>
      </c>
      <c r="B262" s="6" t="str">
        <f t="shared" si="45"/>
        <v>BB_L_1__07</v>
      </c>
      <c r="C262" s="6" t="str">
        <f t="shared" si="46"/>
        <v>BB_2023</v>
      </c>
      <c r="D262" s="7" t="s">
        <v>18</v>
      </c>
      <c r="E262" s="18">
        <v>45110</v>
      </c>
      <c r="F262" s="7">
        <v>2023</v>
      </c>
      <c r="G262" s="7" t="s">
        <v>303</v>
      </c>
      <c r="H262" s="7" t="s">
        <v>297</v>
      </c>
      <c r="I262" s="7">
        <v>7</v>
      </c>
      <c r="J262" s="7" t="s">
        <v>230</v>
      </c>
      <c r="K262" s="7">
        <v>1</v>
      </c>
      <c r="L262" s="7"/>
      <c r="M262" s="7"/>
      <c r="N262" s="7" t="s">
        <v>299</v>
      </c>
      <c r="O262" s="11">
        <f t="shared" si="29"/>
        <v>100</v>
      </c>
      <c r="S262" s="9">
        <v>17</v>
      </c>
      <c r="AD262" s="9">
        <v>29</v>
      </c>
      <c r="AE262" s="9">
        <v>13</v>
      </c>
      <c r="AF262" s="9">
        <v>21</v>
      </c>
      <c r="AH262" s="9">
        <v>18</v>
      </c>
      <c r="AI262" s="9">
        <v>2</v>
      </c>
      <c r="AP262" s="12">
        <v>1</v>
      </c>
      <c r="AV262" s="12">
        <v>1</v>
      </c>
      <c r="AW262" s="12">
        <v>1</v>
      </c>
      <c r="AZ262" s="12">
        <v>1</v>
      </c>
      <c r="CF262" s="14">
        <v>10</v>
      </c>
      <c r="CG262" s="14">
        <v>84</v>
      </c>
      <c r="CK262" s="14">
        <v>6</v>
      </c>
    </row>
    <row r="263" spans="1:171" x14ac:dyDescent="0.25">
      <c r="A263" s="6" t="str">
        <f t="shared" si="44"/>
        <v>BB_L_1__08_2023</v>
      </c>
      <c r="B263" s="6" t="str">
        <f t="shared" si="45"/>
        <v>BB_L_1__08</v>
      </c>
      <c r="C263" s="6" t="str">
        <f t="shared" si="46"/>
        <v>BB_2023</v>
      </c>
      <c r="D263" s="7" t="s">
        <v>18</v>
      </c>
      <c r="E263" s="18">
        <v>45110</v>
      </c>
      <c r="F263" s="7">
        <v>2023</v>
      </c>
      <c r="G263" s="7" t="s">
        <v>303</v>
      </c>
      <c r="H263" s="7" t="s">
        <v>297</v>
      </c>
      <c r="I263" s="7">
        <v>8</v>
      </c>
      <c r="J263" s="7" t="s">
        <v>230</v>
      </c>
      <c r="K263" s="7">
        <v>1</v>
      </c>
      <c r="L263" s="7"/>
      <c r="M263" s="7"/>
      <c r="N263" s="7" t="s">
        <v>299</v>
      </c>
      <c r="O263" s="11">
        <f t="shared" si="29"/>
        <v>100</v>
      </c>
      <c r="AE263" s="9">
        <v>11</v>
      </c>
      <c r="AF263" s="9">
        <v>36</v>
      </c>
      <c r="AH263" s="9">
        <v>23</v>
      </c>
      <c r="AI263" s="9">
        <v>30</v>
      </c>
      <c r="AP263" s="12">
        <v>1</v>
      </c>
      <c r="AV263" s="12">
        <v>2</v>
      </c>
      <c r="CG263" s="14">
        <v>93</v>
      </c>
      <c r="CL263" s="14">
        <v>3</v>
      </c>
      <c r="CR263" s="14">
        <v>4</v>
      </c>
      <c r="FO263" s="37">
        <v>1</v>
      </c>
    </row>
    <row r="264" spans="1:171" x14ac:dyDescent="0.25">
      <c r="A264" s="6" t="str">
        <f t="shared" si="44"/>
        <v>BB_L_1__09_2023</v>
      </c>
      <c r="B264" s="6" t="str">
        <f t="shared" si="45"/>
        <v>BB_L_1__09</v>
      </c>
      <c r="C264" s="6" t="str">
        <f t="shared" si="46"/>
        <v>BB_2023</v>
      </c>
      <c r="D264" s="7" t="s">
        <v>18</v>
      </c>
      <c r="E264" s="18">
        <v>45110</v>
      </c>
      <c r="F264" s="7">
        <v>2023</v>
      </c>
      <c r="G264" s="7" t="s">
        <v>303</v>
      </c>
      <c r="H264" s="7" t="s">
        <v>297</v>
      </c>
      <c r="I264" s="7">
        <v>9</v>
      </c>
      <c r="J264" s="7" t="s">
        <v>230</v>
      </c>
      <c r="K264" s="7">
        <v>1</v>
      </c>
      <c r="L264" s="7"/>
      <c r="M264" s="7"/>
      <c r="N264" s="7" t="s">
        <v>299</v>
      </c>
      <c r="O264" s="11">
        <f t="shared" si="29"/>
        <v>100</v>
      </c>
      <c r="P264" s="9">
        <v>30</v>
      </c>
      <c r="AD264" s="9">
        <v>24</v>
      </c>
      <c r="AF264" s="9">
        <v>4</v>
      </c>
      <c r="AH264" s="9">
        <v>22</v>
      </c>
      <c r="AI264" s="9">
        <v>20</v>
      </c>
      <c r="CK264" s="14">
        <v>29</v>
      </c>
      <c r="CL264" s="14">
        <v>20</v>
      </c>
      <c r="CS264" s="14">
        <v>1</v>
      </c>
      <c r="CT264" s="15">
        <v>10</v>
      </c>
      <c r="CX264" s="14">
        <v>11</v>
      </c>
    </row>
    <row r="265" spans="1:171" x14ac:dyDescent="0.25">
      <c r="A265" s="6" t="str">
        <f t="shared" si="44"/>
        <v>BB_L_1__10_2023</v>
      </c>
      <c r="B265" s="6" t="str">
        <f t="shared" si="45"/>
        <v>BB_L_1__10</v>
      </c>
      <c r="C265" s="6" t="str">
        <f t="shared" si="46"/>
        <v>BB_2023</v>
      </c>
      <c r="D265" s="7" t="s">
        <v>18</v>
      </c>
      <c r="E265" s="18">
        <v>45110</v>
      </c>
      <c r="F265" s="7">
        <v>2023</v>
      </c>
      <c r="G265" s="7" t="s">
        <v>303</v>
      </c>
      <c r="H265" s="7" t="s">
        <v>297</v>
      </c>
      <c r="I265" s="7">
        <v>10</v>
      </c>
      <c r="J265" s="7" t="s">
        <v>230</v>
      </c>
      <c r="K265" s="7">
        <v>1</v>
      </c>
      <c r="L265" s="7"/>
      <c r="M265" s="7"/>
      <c r="N265" s="7" t="s">
        <v>299</v>
      </c>
      <c r="O265" s="11">
        <f t="shared" si="29"/>
        <v>100</v>
      </c>
      <c r="S265" s="9">
        <v>25</v>
      </c>
      <c r="Z265" s="9">
        <v>2</v>
      </c>
      <c r="AF265" s="9">
        <v>35</v>
      </c>
      <c r="AH265" s="9">
        <v>38</v>
      </c>
      <c r="AV265" s="12">
        <v>8</v>
      </c>
      <c r="BA265" s="12">
        <v>2</v>
      </c>
      <c r="CG265" s="14">
        <v>70</v>
      </c>
      <c r="DC265" s="14">
        <v>1</v>
      </c>
      <c r="DD265" s="14">
        <v>20</v>
      </c>
    </row>
    <row r="266" spans="1:171" x14ac:dyDescent="0.25">
      <c r="A266" s="6" t="str">
        <f t="shared" si="44"/>
        <v>BB_L_3__01_2023</v>
      </c>
      <c r="B266" s="6" t="str">
        <f t="shared" si="45"/>
        <v>BB_L_3__01</v>
      </c>
      <c r="C266" s="6" t="str">
        <f t="shared" si="46"/>
        <v>BB_2023</v>
      </c>
      <c r="D266" s="7" t="s">
        <v>18</v>
      </c>
      <c r="E266" s="18">
        <v>45110</v>
      </c>
      <c r="F266" s="7">
        <v>2023</v>
      </c>
      <c r="G266" s="7" t="s">
        <v>277</v>
      </c>
      <c r="H266" s="7" t="s">
        <v>304</v>
      </c>
      <c r="I266" s="7">
        <v>1</v>
      </c>
      <c r="J266" s="7" t="s">
        <v>230</v>
      </c>
      <c r="K266" s="7">
        <v>3</v>
      </c>
      <c r="L266" s="7"/>
      <c r="M266" s="7"/>
      <c r="N266" s="7" t="s">
        <v>299</v>
      </c>
      <c r="O266" s="11">
        <f>SUM(P266:AO266)</f>
        <v>100</v>
      </c>
      <c r="P266" s="9">
        <v>14</v>
      </c>
      <c r="S266" s="9">
        <v>48</v>
      </c>
      <c r="AB266" s="9">
        <v>4</v>
      </c>
      <c r="AE266" s="9">
        <v>10</v>
      </c>
      <c r="AH266" s="9">
        <v>24</v>
      </c>
      <c r="AQ266" s="12">
        <v>1</v>
      </c>
      <c r="AW266" s="12">
        <v>5</v>
      </c>
      <c r="AZ266" s="12">
        <v>3</v>
      </c>
      <c r="BA266" s="12">
        <v>1</v>
      </c>
      <c r="CF266" s="14">
        <v>86</v>
      </c>
      <c r="CK266" s="14">
        <v>7</v>
      </c>
      <c r="CM266" s="14">
        <v>2</v>
      </c>
      <c r="CZ266" s="14">
        <v>0.1</v>
      </c>
      <c r="DA266" s="14">
        <v>10</v>
      </c>
    </row>
    <row r="267" spans="1:171" x14ac:dyDescent="0.25">
      <c r="A267" s="6" t="str">
        <f t="shared" ref="A267:A275" si="47">CONCATENATE(D267,"_",J267,"_",K267,"_",L267,"_",TEXT(I267,"00"),"_",F267)</f>
        <v>BB_L_3__02_2023</v>
      </c>
      <c r="B267" s="6" t="str">
        <f t="shared" ref="B267:B275" si="48">CONCATENATE(D267,"_",J267,"_",K267,"_",L267,"_",TEXT(I267,"00"))</f>
        <v>BB_L_3__02</v>
      </c>
      <c r="C267" s="6" t="str">
        <f t="shared" ref="C267:C275" si="49">CONCATENATE(D267,,"_",F267)</f>
        <v>BB_2023</v>
      </c>
      <c r="D267" s="7" t="s">
        <v>18</v>
      </c>
      <c r="E267" s="18">
        <v>45110</v>
      </c>
      <c r="F267" s="7">
        <v>2023</v>
      </c>
      <c r="G267" s="7" t="s">
        <v>277</v>
      </c>
      <c r="H267" s="7" t="s">
        <v>304</v>
      </c>
      <c r="I267" s="7">
        <v>2</v>
      </c>
      <c r="J267" s="7" t="s">
        <v>230</v>
      </c>
      <c r="K267" s="7">
        <v>3</v>
      </c>
      <c r="L267" s="7"/>
      <c r="M267" s="7"/>
      <c r="N267" s="7" t="s">
        <v>299</v>
      </c>
      <c r="O267" s="11">
        <f t="shared" si="29"/>
        <v>100.19999999999999</v>
      </c>
      <c r="P267" s="9">
        <v>13</v>
      </c>
      <c r="R267" s="9">
        <v>6</v>
      </c>
      <c r="S267" s="9">
        <v>64</v>
      </c>
      <c r="AB267" s="9">
        <v>1</v>
      </c>
      <c r="AE267" s="9">
        <v>11</v>
      </c>
      <c r="AF267" s="9">
        <v>2</v>
      </c>
      <c r="AG267" s="9">
        <v>0.1</v>
      </c>
      <c r="AH267" s="9">
        <v>3</v>
      </c>
      <c r="AI267" s="9">
        <v>0.1</v>
      </c>
      <c r="AP267" s="12">
        <v>2</v>
      </c>
      <c r="AW267" s="12">
        <v>10</v>
      </c>
      <c r="BJ267" s="13">
        <v>1</v>
      </c>
      <c r="BN267" s="13">
        <v>2</v>
      </c>
      <c r="CC267" s="14">
        <v>7</v>
      </c>
      <c r="CD267" s="14">
        <v>1</v>
      </c>
      <c r="CF267" s="14">
        <v>100</v>
      </c>
      <c r="CM267" s="14">
        <v>0.1</v>
      </c>
      <c r="CZ267" s="14">
        <v>5</v>
      </c>
      <c r="DH267" s="14">
        <v>6</v>
      </c>
    </row>
    <row r="268" spans="1:171" x14ac:dyDescent="0.25">
      <c r="A268" s="6" t="str">
        <f t="shared" si="47"/>
        <v>BB_L_3__03_2023</v>
      </c>
      <c r="B268" s="6" t="str">
        <f t="shared" si="48"/>
        <v>BB_L_3__03</v>
      </c>
      <c r="C268" s="6" t="str">
        <f t="shared" si="49"/>
        <v>BB_2023</v>
      </c>
      <c r="D268" s="7" t="s">
        <v>18</v>
      </c>
      <c r="E268" s="18">
        <v>45110</v>
      </c>
      <c r="F268" s="7">
        <v>2023</v>
      </c>
      <c r="G268" s="7" t="s">
        <v>277</v>
      </c>
      <c r="H268" s="7" t="s">
        <v>304</v>
      </c>
      <c r="I268" s="7">
        <v>3</v>
      </c>
      <c r="J268" s="7" t="s">
        <v>230</v>
      </c>
      <c r="K268" s="7">
        <v>3</v>
      </c>
      <c r="L268" s="7"/>
      <c r="M268" s="7"/>
      <c r="N268" s="7" t="s">
        <v>299</v>
      </c>
      <c r="O268" s="11">
        <f t="shared" si="29"/>
        <v>100</v>
      </c>
      <c r="P268" s="9">
        <v>16</v>
      </c>
      <c r="R268" s="9">
        <v>2</v>
      </c>
      <c r="S268" s="9">
        <v>50</v>
      </c>
      <c r="AB268" s="9">
        <v>1</v>
      </c>
      <c r="AE268" s="9">
        <v>8</v>
      </c>
      <c r="AH268" s="9">
        <v>8</v>
      </c>
      <c r="AI268" s="9">
        <v>15</v>
      </c>
      <c r="AR268" s="12">
        <v>1</v>
      </c>
      <c r="AW268" s="12">
        <v>3</v>
      </c>
      <c r="AZ268" s="12">
        <v>1</v>
      </c>
      <c r="CC268" s="14">
        <v>5</v>
      </c>
      <c r="CD268" s="14">
        <v>8</v>
      </c>
      <c r="CF268" s="14">
        <v>91</v>
      </c>
      <c r="CK268" s="14">
        <v>4</v>
      </c>
      <c r="CM268" s="14">
        <v>15</v>
      </c>
      <c r="CZ268" s="14">
        <v>16</v>
      </c>
      <c r="DE268" s="14">
        <v>3</v>
      </c>
      <c r="DY268" s="15">
        <v>4</v>
      </c>
    </row>
    <row r="269" spans="1:171" x14ac:dyDescent="0.25">
      <c r="A269" s="6" t="str">
        <f t="shared" si="47"/>
        <v>BB_L_3__04_2023</v>
      </c>
      <c r="B269" s="6" t="str">
        <f t="shared" si="48"/>
        <v>BB_L_3__04</v>
      </c>
      <c r="C269" s="6" t="str">
        <f t="shared" si="49"/>
        <v>BB_2023</v>
      </c>
      <c r="D269" s="7" t="s">
        <v>18</v>
      </c>
      <c r="E269" s="18">
        <v>45110</v>
      </c>
      <c r="F269" s="7">
        <v>2023</v>
      </c>
      <c r="G269" s="7" t="s">
        <v>277</v>
      </c>
      <c r="H269" s="7" t="s">
        <v>304</v>
      </c>
      <c r="I269" s="7">
        <v>4</v>
      </c>
      <c r="J269" s="7" t="s">
        <v>230</v>
      </c>
      <c r="K269" s="7">
        <v>3</v>
      </c>
      <c r="L269" s="7"/>
      <c r="M269" s="7"/>
      <c r="N269" s="7" t="s">
        <v>299</v>
      </c>
      <c r="O269" s="11">
        <f t="shared" si="29"/>
        <v>100</v>
      </c>
      <c r="P269" s="9">
        <v>33</v>
      </c>
      <c r="Q269" s="9">
        <v>30</v>
      </c>
      <c r="S269" s="9">
        <v>3</v>
      </c>
      <c r="W269" s="9">
        <v>10</v>
      </c>
      <c r="AD269" s="9">
        <v>18</v>
      </c>
      <c r="AE269" s="9">
        <v>2</v>
      </c>
      <c r="AH269" s="9">
        <v>3</v>
      </c>
      <c r="AI269" s="9">
        <v>1</v>
      </c>
      <c r="AQ269" s="12">
        <v>2</v>
      </c>
      <c r="AS269" s="12">
        <v>2</v>
      </c>
      <c r="AT269" s="12">
        <v>1</v>
      </c>
      <c r="AW269" s="12">
        <v>1</v>
      </c>
      <c r="CC269" s="14">
        <v>35</v>
      </c>
      <c r="CK269" s="14">
        <v>56</v>
      </c>
      <c r="CM269" s="14">
        <v>5</v>
      </c>
      <c r="CW269" s="14">
        <v>1</v>
      </c>
      <c r="CZ269" s="14">
        <v>5</v>
      </c>
      <c r="DE269" s="14">
        <v>4</v>
      </c>
      <c r="DH269" s="14">
        <v>1</v>
      </c>
    </row>
    <row r="270" spans="1:171" x14ac:dyDescent="0.25">
      <c r="A270" s="6" t="str">
        <f t="shared" si="47"/>
        <v>BB_L_3__05_2023</v>
      </c>
      <c r="B270" s="6" t="str">
        <f t="shared" si="48"/>
        <v>BB_L_3__05</v>
      </c>
      <c r="C270" s="6" t="str">
        <f t="shared" si="49"/>
        <v>BB_2023</v>
      </c>
      <c r="D270" s="7" t="s">
        <v>18</v>
      </c>
      <c r="E270" s="18">
        <v>45110</v>
      </c>
      <c r="F270" s="7">
        <v>2023</v>
      </c>
      <c r="G270" s="7" t="s">
        <v>277</v>
      </c>
      <c r="H270" s="7" t="s">
        <v>304</v>
      </c>
      <c r="I270" s="7">
        <v>5</v>
      </c>
      <c r="J270" s="7" t="s">
        <v>230</v>
      </c>
      <c r="K270" s="7">
        <v>3</v>
      </c>
      <c r="L270" s="7"/>
      <c r="M270" s="7"/>
      <c r="N270" s="7" t="s">
        <v>299</v>
      </c>
      <c r="O270" s="11">
        <f t="shared" si="29"/>
        <v>100</v>
      </c>
      <c r="P270" s="9">
        <v>20</v>
      </c>
      <c r="S270" s="9">
        <v>12</v>
      </c>
      <c r="AB270" s="9">
        <v>2</v>
      </c>
      <c r="AH270" s="9">
        <v>45</v>
      </c>
      <c r="AI270" s="9">
        <v>21</v>
      </c>
      <c r="AW270" s="12">
        <v>1</v>
      </c>
      <c r="BC270" s="12">
        <v>1</v>
      </c>
      <c r="CC270" s="14">
        <v>36</v>
      </c>
      <c r="CF270" s="14">
        <v>8</v>
      </c>
      <c r="CK270" s="14">
        <v>4</v>
      </c>
      <c r="CL270" s="14">
        <v>3</v>
      </c>
      <c r="CM270" s="14">
        <v>9</v>
      </c>
      <c r="CZ270" s="14">
        <v>28</v>
      </c>
      <c r="DA270" s="14">
        <v>22</v>
      </c>
      <c r="DC270" s="14">
        <v>1</v>
      </c>
      <c r="DE270" s="14">
        <v>9</v>
      </c>
      <c r="DG270" s="14">
        <v>2</v>
      </c>
    </row>
    <row r="271" spans="1:171" x14ac:dyDescent="0.25">
      <c r="A271" s="6" t="str">
        <f t="shared" si="47"/>
        <v>BB_L_3__06_2023</v>
      </c>
      <c r="B271" s="6" t="str">
        <f t="shared" si="48"/>
        <v>BB_L_3__06</v>
      </c>
      <c r="C271" s="6" t="str">
        <f t="shared" si="49"/>
        <v>BB_2023</v>
      </c>
      <c r="D271" s="7" t="s">
        <v>18</v>
      </c>
      <c r="E271" s="18">
        <v>45110</v>
      </c>
      <c r="F271" s="7">
        <v>2023</v>
      </c>
      <c r="G271" s="7" t="s">
        <v>277</v>
      </c>
      <c r="H271" s="7" t="s">
        <v>304</v>
      </c>
      <c r="I271" s="7">
        <v>6</v>
      </c>
      <c r="J271" s="7" t="s">
        <v>230</v>
      </c>
      <c r="K271" s="7">
        <v>3</v>
      </c>
      <c r="L271" s="7"/>
      <c r="M271" s="7"/>
      <c r="N271" s="7" t="s">
        <v>299</v>
      </c>
      <c r="O271" s="11">
        <f t="shared" si="29"/>
        <v>100.1</v>
      </c>
      <c r="P271" s="9">
        <v>4</v>
      </c>
      <c r="R271" s="9">
        <v>1</v>
      </c>
      <c r="S271" s="9">
        <v>60</v>
      </c>
      <c r="AC271" s="9">
        <v>0.1</v>
      </c>
      <c r="AE271" s="9">
        <v>9</v>
      </c>
      <c r="AF271" s="9">
        <v>4</v>
      </c>
      <c r="AH271" s="9">
        <v>12</v>
      </c>
      <c r="AI271" s="9">
        <v>10</v>
      </c>
      <c r="AQ271" s="12">
        <v>1</v>
      </c>
      <c r="AW271" s="12">
        <v>3</v>
      </c>
      <c r="CF271" s="14">
        <v>100</v>
      </c>
      <c r="CI271" s="14">
        <v>2</v>
      </c>
      <c r="CL271" s="14">
        <v>4</v>
      </c>
      <c r="CM271" s="14">
        <v>9</v>
      </c>
      <c r="CZ271" s="14">
        <v>12</v>
      </c>
      <c r="DA271" s="14">
        <v>3</v>
      </c>
      <c r="DD271" s="14">
        <v>1</v>
      </c>
      <c r="DH271" s="14">
        <v>1</v>
      </c>
    </row>
    <row r="272" spans="1:171" x14ac:dyDescent="0.25">
      <c r="A272" s="6" t="str">
        <f t="shared" si="47"/>
        <v>BB_L_3__07_2023</v>
      </c>
      <c r="B272" s="6" t="str">
        <f t="shared" si="48"/>
        <v>BB_L_3__07</v>
      </c>
      <c r="C272" s="6" t="str">
        <f t="shared" si="49"/>
        <v>BB_2023</v>
      </c>
      <c r="D272" s="7" t="s">
        <v>18</v>
      </c>
      <c r="E272" s="18">
        <v>45110</v>
      </c>
      <c r="F272" s="7">
        <v>2023</v>
      </c>
      <c r="G272" s="7" t="s">
        <v>277</v>
      </c>
      <c r="H272" s="7" t="s">
        <v>304</v>
      </c>
      <c r="I272" s="7">
        <v>7</v>
      </c>
      <c r="J272" s="7" t="s">
        <v>230</v>
      </c>
      <c r="K272" s="7">
        <v>3</v>
      </c>
      <c r="L272" s="7"/>
      <c r="M272" s="7"/>
      <c r="N272" s="7" t="s">
        <v>299</v>
      </c>
      <c r="O272" s="11">
        <f t="shared" si="29"/>
        <v>100</v>
      </c>
      <c r="P272" s="9">
        <v>48</v>
      </c>
      <c r="R272" s="9">
        <v>4</v>
      </c>
      <c r="S272" s="9">
        <v>26</v>
      </c>
      <c r="W272" s="9">
        <v>3</v>
      </c>
      <c r="AB272" s="9">
        <v>1</v>
      </c>
      <c r="AE272" s="9">
        <v>12</v>
      </c>
      <c r="AH272" s="9">
        <v>6</v>
      </c>
      <c r="AP272" s="12">
        <v>2</v>
      </c>
      <c r="AQ272" s="12">
        <v>4</v>
      </c>
      <c r="AS272" s="12">
        <v>3</v>
      </c>
      <c r="AV272" s="12">
        <v>1</v>
      </c>
      <c r="AW272" s="12">
        <v>2</v>
      </c>
      <c r="AZ272" s="12">
        <v>1</v>
      </c>
      <c r="CD272" s="14">
        <v>18</v>
      </c>
      <c r="CF272" s="14">
        <v>62</v>
      </c>
      <c r="CL272" s="14">
        <v>11</v>
      </c>
      <c r="CM272" s="14">
        <v>4</v>
      </c>
      <c r="CW272" s="14">
        <v>2</v>
      </c>
      <c r="CZ272" s="14">
        <v>7</v>
      </c>
    </row>
    <row r="273" spans="1:167" x14ac:dyDescent="0.25">
      <c r="A273" s="6" t="str">
        <f t="shared" si="47"/>
        <v>BB_L_3__08_2023</v>
      </c>
      <c r="B273" s="6" t="str">
        <f t="shared" si="48"/>
        <v>BB_L_3__08</v>
      </c>
      <c r="C273" s="6" t="str">
        <f t="shared" si="49"/>
        <v>BB_2023</v>
      </c>
      <c r="D273" s="7" t="s">
        <v>18</v>
      </c>
      <c r="E273" s="18">
        <v>45110</v>
      </c>
      <c r="F273" s="7">
        <v>2023</v>
      </c>
      <c r="G273" s="7" t="s">
        <v>277</v>
      </c>
      <c r="H273" s="7" t="s">
        <v>304</v>
      </c>
      <c r="I273" s="7">
        <v>8</v>
      </c>
      <c r="J273" s="7" t="s">
        <v>230</v>
      </c>
      <c r="K273" s="7">
        <v>3</v>
      </c>
      <c r="L273" s="7"/>
      <c r="M273" s="7"/>
      <c r="N273" s="7" t="s">
        <v>299</v>
      </c>
      <c r="O273" s="11">
        <f t="shared" si="29"/>
        <v>100</v>
      </c>
      <c r="P273" s="9">
        <v>56</v>
      </c>
      <c r="R273" s="9">
        <v>2</v>
      </c>
      <c r="S273" s="9">
        <v>5</v>
      </c>
      <c r="AE273" s="9">
        <v>4</v>
      </c>
      <c r="AH273" s="9">
        <v>17</v>
      </c>
      <c r="AI273" s="9">
        <v>16</v>
      </c>
      <c r="AP273" s="12">
        <v>4</v>
      </c>
      <c r="AV273" s="12">
        <v>1</v>
      </c>
      <c r="CD273" s="14">
        <v>30</v>
      </c>
      <c r="CF273" s="14">
        <v>70</v>
      </c>
      <c r="CM273" s="14">
        <v>15</v>
      </c>
      <c r="CZ273" s="14">
        <v>16</v>
      </c>
      <c r="DA273" s="14">
        <v>12</v>
      </c>
      <c r="DE273" s="14">
        <v>1</v>
      </c>
    </row>
    <row r="274" spans="1:167" x14ac:dyDescent="0.25">
      <c r="A274" s="6" t="str">
        <f t="shared" si="47"/>
        <v>BB_L_3__09_2023</v>
      </c>
      <c r="B274" s="6" t="str">
        <f t="shared" si="48"/>
        <v>BB_L_3__09</v>
      </c>
      <c r="C274" s="6" t="str">
        <f t="shared" si="49"/>
        <v>BB_2023</v>
      </c>
      <c r="D274" s="7" t="s">
        <v>18</v>
      </c>
      <c r="E274" s="18">
        <v>45110</v>
      </c>
      <c r="F274" s="7">
        <v>2023</v>
      </c>
      <c r="G274" s="7" t="s">
        <v>277</v>
      </c>
      <c r="H274" s="7" t="s">
        <v>304</v>
      </c>
      <c r="I274" s="7">
        <v>9</v>
      </c>
      <c r="J274" s="7" t="s">
        <v>230</v>
      </c>
      <c r="K274" s="7">
        <v>3</v>
      </c>
      <c r="L274" s="7"/>
      <c r="M274" s="7"/>
      <c r="N274" s="7" t="s">
        <v>299</v>
      </c>
      <c r="O274" s="11">
        <f t="shared" si="29"/>
        <v>100</v>
      </c>
      <c r="P274" s="9">
        <v>20</v>
      </c>
      <c r="Q274" s="9">
        <v>15</v>
      </c>
      <c r="R274" s="9">
        <v>2</v>
      </c>
      <c r="S274" s="9">
        <v>12</v>
      </c>
      <c r="U274" s="9">
        <v>5</v>
      </c>
      <c r="AD274" s="9">
        <v>42</v>
      </c>
      <c r="AE274" s="9">
        <v>4</v>
      </c>
      <c r="AW274" s="12">
        <v>8</v>
      </c>
      <c r="CF274" s="14">
        <v>72</v>
      </c>
      <c r="CI274" s="14">
        <v>2</v>
      </c>
      <c r="CK274" s="14">
        <v>26</v>
      </c>
      <c r="CM274" s="14">
        <v>2</v>
      </c>
      <c r="DA274" s="14">
        <v>1</v>
      </c>
      <c r="DE274" s="14">
        <v>2</v>
      </c>
    </row>
    <row r="275" spans="1:167" x14ac:dyDescent="0.25">
      <c r="A275" s="6" t="str">
        <f t="shared" si="47"/>
        <v>BB_L_3__10_2023</v>
      </c>
      <c r="B275" s="6" t="str">
        <f t="shared" si="48"/>
        <v>BB_L_3__10</v>
      </c>
      <c r="C275" s="6" t="str">
        <f t="shared" si="49"/>
        <v>BB_2023</v>
      </c>
      <c r="D275" s="7" t="s">
        <v>18</v>
      </c>
      <c r="E275" s="18">
        <v>45110</v>
      </c>
      <c r="F275" s="7">
        <v>2023</v>
      </c>
      <c r="G275" s="7" t="s">
        <v>277</v>
      </c>
      <c r="H275" s="7" t="s">
        <v>304</v>
      </c>
      <c r="I275" s="7">
        <v>10</v>
      </c>
      <c r="J275" s="7" t="s">
        <v>230</v>
      </c>
      <c r="K275" s="7">
        <v>3</v>
      </c>
      <c r="L275" s="7"/>
      <c r="M275" s="7"/>
      <c r="N275" s="7" t="s">
        <v>299</v>
      </c>
      <c r="O275" s="11">
        <f t="shared" si="29"/>
        <v>98.1</v>
      </c>
      <c r="P275" s="9">
        <v>24</v>
      </c>
      <c r="S275" s="9">
        <v>42</v>
      </c>
      <c r="AB275" s="9">
        <v>0.1</v>
      </c>
      <c r="AD275" s="9">
        <v>20</v>
      </c>
      <c r="AE275" s="9">
        <v>4</v>
      </c>
      <c r="AH275" s="9">
        <v>7</v>
      </c>
      <c r="AI275" s="9">
        <v>1</v>
      </c>
      <c r="AW275" s="12">
        <v>3</v>
      </c>
      <c r="BL275" s="13">
        <v>1</v>
      </c>
      <c r="CF275" s="14">
        <v>28</v>
      </c>
      <c r="CK275" s="14">
        <v>42</v>
      </c>
      <c r="CL275" s="14">
        <v>2</v>
      </c>
      <c r="CM275" s="14">
        <v>4</v>
      </c>
      <c r="CZ275" s="14">
        <v>8</v>
      </c>
      <c r="DA275" s="14">
        <v>1</v>
      </c>
    </row>
    <row r="276" spans="1:167" x14ac:dyDescent="0.25">
      <c r="A276" s="6" t="str">
        <f t="shared" ref="A276:A325" si="50">CONCATENATE(D276,"_",J276,"_",K276,"_",L276,"_",TEXT(I276,"00"),"_",F276)</f>
        <v>MEN_L_1__02_2023</v>
      </c>
      <c r="B276" s="6" t="str">
        <f t="shared" ref="B276:B325" si="51">CONCATENATE(D276,"_",J276,"_",K276,"_",L276,"_",TEXT(I276,"00"))</f>
        <v>MEN_L_1__02</v>
      </c>
      <c r="C276" s="6" t="str">
        <f t="shared" ref="C276:C300" si="52">CONCATENATE(D276,,"_",F276)</f>
        <v>MEN_2023</v>
      </c>
      <c r="D276" s="27" t="s">
        <v>305</v>
      </c>
      <c r="E276" s="73">
        <v>45140</v>
      </c>
      <c r="F276" s="27">
        <v>2023</v>
      </c>
      <c r="G276" s="27" t="s">
        <v>277</v>
      </c>
      <c r="H276" s="27" t="s">
        <v>304</v>
      </c>
      <c r="I276" s="27">
        <v>2</v>
      </c>
      <c r="J276" s="27" t="s">
        <v>230</v>
      </c>
      <c r="K276" s="27">
        <v>1</v>
      </c>
      <c r="N276" s="27" t="s">
        <v>299</v>
      </c>
      <c r="O276" s="11">
        <f t="shared" si="29"/>
        <v>100.1</v>
      </c>
      <c r="P276" s="9">
        <v>0.1</v>
      </c>
      <c r="S276" s="9">
        <v>80</v>
      </c>
      <c r="Z276" s="9">
        <v>1</v>
      </c>
      <c r="AB276" s="9">
        <v>6</v>
      </c>
      <c r="AH276" s="9">
        <v>11</v>
      </c>
      <c r="AI276" s="9">
        <v>2</v>
      </c>
      <c r="AT276" s="12">
        <v>4</v>
      </c>
      <c r="AW276" s="12">
        <v>2</v>
      </c>
      <c r="AX276" s="12">
        <v>2</v>
      </c>
      <c r="AZ276" s="12">
        <v>31</v>
      </c>
      <c r="CL276" s="14">
        <v>2</v>
      </c>
      <c r="CM276" s="14">
        <v>4</v>
      </c>
      <c r="CR276" s="14">
        <v>8</v>
      </c>
      <c r="CT276" s="15">
        <v>19</v>
      </c>
      <c r="CX276" s="14">
        <v>10</v>
      </c>
      <c r="DA276" s="14">
        <v>4</v>
      </c>
      <c r="FK276" s="16">
        <v>1</v>
      </c>
    </row>
    <row r="277" spans="1:167" x14ac:dyDescent="0.25">
      <c r="A277" s="6" t="str">
        <f t="shared" si="50"/>
        <v>MEN_L_1__04_2023</v>
      </c>
      <c r="B277" s="6" t="str">
        <f t="shared" si="51"/>
        <v>MEN_L_1__04</v>
      </c>
      <c r="C277" s="6" t="str">
        <f t="shared" si="52"/>
        <v>MEN_2023</v>
      </c>
      <c r="D277" s="27" t="s">
        <v>305</v>
      </c>
      <c r="E277" s="73">
        <v>45140</v>
      </c>
      <c r="F277" s="27">
        <v>2023</v>
      </c>
      <c r="G277" s="27" t="s">
        <v>277</v>
      </c>
      <c r="H277" s="27" t="s">
        <v>304</v>
      </c>
      <c r="I277" s="27">
        <v>4</v>
      </c>
      <c r="J277" s="27" t="s">
        <v>230</v>
      </c>
      <c r="K277" s="27">
        <v>1</v>
      </c>
      <c r="N277" s="27" t="s">
        <v>299</v>
      </c>
      <c r="O277" s="11">
        <f t="shared" si="29"/>
        <v>100</v>
      </c>
      <c r="P277" s="9">
        <v>2</v>
      </c>
      <c r="R277" s="9">
        <v>17</v>
      </c>
      <c r="S277" s="9">
        <v>75</v>
      </c>
      <c r="Z277" s="9">
        <v>4</v>
      </c>
      <c r="AB277" s="9">
        <v>1</v>
      </c>
      <c r="AH277" s="9">
        <v>1</v>
      </c>
      <c r="AP277" s="12">
        <v>1</v>
      </c>
      <c r="AQ277" s="12">
        <v>1</v>
      </c>
      <c r="AT277" s="12">
        <v>6</v>
      </c>
      <c r="AZ277" s="12">
        <v>57</v>
      </c>
      <c r="CM277" s="14">
        <v>0.1</v>
      </c>
      <c r="CR277" s="14">
        <v>2</v>
      </c>
      <c r="CX277" s="14">
        <v>2</v>
      </c>
      <c r="DA277" s="14">
        <v>1</v>
      </c>
      <c r="DY277" s="15">
        <v>2</v>
      </c>
    </row>
    <row r="278" spans="1:167" x14ac:dyDescent="0.25">
      <c r="A278" s="6" t="str">
        <f t="shared" si="50"/>
        <v>MEN_L_1__06_2023</v>
      </c>
      <c r="B278" s="6" t="str">
        <f t="shared" si="51"/>
        <v>MEN_L_1__06</v>
      </c>
      <c r="C278" s="6" t="str">
        <f t="shared" si="52"/>
        <v>MEN_2023</v>
      </c>
      <c r="D278" s="27" t="s">
        <v>305</v>
      </c>
      <c r="E278" s="73">
        <v>45140</v>
      </c>
      <c r="F278" s="27">
        <v>2023</v>
      </c>
      <c r="G278" s="27" t="s">
        <v>277</v>
      </c>
      <c r="H278" s="27" t="s">
        <v>304</v>
      </c>
      <c r="I278" s="27">
        <v>6</v>
      </c>
      <c r="J278" s="27" t="s">
        <v>230</v>
      </c>
      <c r="K278" s="27">
        <v>1</v>
      </c>
      <c r="N278" s="27" t="s">
        <v>299</v>
      </c>
      <c r="O278" s="11">
        <f t="shared" si="29"/>
        <v>100</v>
      </c>
      <c r="P278" s="9">
        <v>10</v>
      </c>
      <c r="Q278" s="9">
        <v>25</v>
      </c>
      <c r="R278" s="9">
        <v>1</v>
      </c>
      <c r="S278" s="9">
        <v>24</v>
      </c>
      <c r="AB278" s="9">
        <v>4</v>
      </c>
      <c r="AH278" s="9">
        <v>34</v>
      </c>
      <c r="AI278" s="9">
        <v>2</v>
      </c>
      <c r="AZ278" s="12">
        <v>13</v>
      </c>
      <c r="BB278" s="12">
        <v>1</v>
      </c>
      <c r="CD278" s="14">
        <v>4</v>
      </c>
      <c r="CR278" s="14">
        <v>6</v>
      </c>
      <c r="CT278" s="15">
        <v>16</v>
      </c>
      <c r="CW278" s="14">
        <v>1</v>
      </c>
      <c r="CX278" s="14">
        <v>1</v>
      </c>
      <c r="CZ278" s="14">
        <v>4</v>
      </c>
      <c r="DA278" s="14">
        <v>8</v>
      </c>
      <c r="DC278" s="14">
        <v>1</v>
      </c>
      <c r="DD278" s="14">
        <v>0.1</v>
      </c>
      <c r="DY278" s="15">
        <v>11</v>
      </c>
    </row>
    <row r="279" spans="1:167" x14ac:dyDescent="0.25">
      <c r="A279" s="6" t="str">
        <f t="shared" si="50"/>
        <v>MEN_L_1__08_2023</v>
      </c>
      <c r="B279" s="6" t="str">
        <f t="shared" si="51"/>
        <v>MEN_L_1__08</v>
      </c>
      <c r="C279" s="6" t="str">
        <f t="shared" si="52"/>
        <v>MEN_2023</v>
      </c>
      <c r="D279" s="27" t="s">
        <v>305</v>
      </c>
      <c r="E279" s="73">
        <v>45140</v>
      </c>
      <c r="F279" s="27">
        <v>2023</v>
      </c>
      <c r="G279" s="27" t="s">
        <v>277</v>
      </c>
      <c r="H279" s="27" t="s">
        <v>304</v>
      </c>
      <c r="I279" s="27">
        <v>8</v>
      </c>
      <c r="J279" s="27" t="s">
        <v>230</v>
      </c>
      <c r="K279" s="27">
        <v>1</v>
      </c>
      <c r="N279" s="27" t="s">
        <v>299</v>
      </c>
      <c r="O279" s="11">
        <f t="shared" si="29"/>
        <v>100</v>
      </c>
      <c r="P279" s="9">
        <v>45</v>
      </c>
      <c r="Q279" s="9">
        <v>30</v>
      </c>
      <c r="R279" s="9">
        <v>2</v>
      </c>
      <c r="S279" s="9">
        <v>12</v>
      </c>
      <c r="AB279" s="9">
        <v>5</v>
      </c>
      <c r="AH279" s="9">
        <v>5</v>
      </c>
      <c r="AI279" s="9">
        <v>1</v>
      </c>
      <c r="AT279" s="12">
        <v>1</v>
      </c>
      <c r="AZ279" s="12">
        <v>22</v>
      </c>
      <c r="CF279" s="14">
        <v>3</v>
      </c>
      <c r="CM279" s="14">
        <v>2</v>
      </c>
      <c r="CR279" s="14">
        <v>0.1</v>
      </c>
      <c r="CX279" s="14">
        <v>3</v>
      </c>
      <c r="DA279" s="14">
        <v>0.1</v>
      </c>
      <c r="DB279" s="14">
        <v>7</v>
      </c>
      <c r="DK279" s="14">
        <v>0.1</v>
      </c>
    </row>
    <row r="280" spans="1:167" x14ac:dyDescent="0.25">
      <c r="A280" s="6" t="str">
        <f t="shared" si="50"/>
        <v>MEN_L_1__10_2023</v>
      </c>
      <c r="B280" s="6" t="str">
        <f t="shared" si="51"/>
        <v>MEN_L_1__10</v>
      </c>
      <c r="C280" s="6" t="str">
        <f t="shared" si="52"/>
        <v>MEN_2023</v>
      </c>
      <c r="D280" s="27" t="s">
        <v>305</v>
      </c>
      <c r="E280" s="73">
        <v>45140</v>
      </c>
      <c r="F280" s="27">
        <v>2023</v>
      </c>
      <c r="G280" s="27" t="s">
        <v>277</v>
      </c>
      <c r="H280" s="27" t="s">
        <v>304</v>
      </c>
      <c r="I280" s="27">
        <v>10</v>
      </c>
      <c r="J280" s="27" t="s">
        <v>230</v>
      </c>
      <c r="K280" s="27">
        <v>1</v>
      </c>
      <c r="N280" s="27" t="s">
        <v>299</v>
      </c>
      <c r="O280" s="11">
        <f t="shared" si="29"/>
        <v>100.1</v>
      </c>
      <c r="P280" s="9">
        <v>64</v>
      </c>
      <c r="AB280" s="9">
        <v>1</v>
      </c>
      <c r="AE280" s="9">
        <v>0.1</v>
      </c>
      <c r="AF280" s="9">
        <v>1</v>
      </c>
      <c r="AH280" s="9">
        <v>10</v>
      </c>
      <c r="AI280" s="9">
        <v>24</v>
      </c>
      <c r="AW280" s="12">
        <v>1</v>
      </c>
      <c r="AZ280" s="12">
        <v>24</v>
      </c>
      <c r="CD280" s="14">
        <v>25</v>
      </c>
      <c r="CF280" s="14">
        <v>20</v>
      </c>
      <c r="CI280" s="14">
        <v>0.1</v>
      </c>
      <c r="CM280" s="14">
        <v>1</v>
      </c>
      <c r="CR280" s="14">
        <v>13</v>
      </c>
      <c r="CW280" s="14">
        <v>0.1</v>
      </c>
      <c r="CX280" s="14">
        <v>5</v>
      </c>
      <c r="DA280" s="14">
        <v>2</v>
      </c>
      <c r="DD280" s="14">
        <v>1</v>
      </c>
      <c r="DY280" s="15">
        <v>10</v>
      </c>
    </row>
    <row r="281" spans="1:167" x14ac:dyDescent="0.25">
      <c r="A281" s="6" t="str">
        <f t="shared" si="50"/>
        <v>MEN_L_2__02_2023</v>
      </c>
      <c r="B281" s="6" t="str">
        <f t="shared" si="51"/>
        <v>MEN_L_2__02</v>
      </c>
      <c r="C281" s="6" t="str">
        <f t="shared" si="52"/>
        <v>MEN_2023</v>
      </c>
      <c r="D281" s="7" t="s">
        <v>305</v>
      </c>
      <c r="E281" s="18">
        <v>45140</v>
      </c>
      <c r="F281" s="7">
        <v>2023</v>
      </c>
      <c r="G281" s="7" t="s">
        <v>277</v>
      </c>
      <c r="H281" s="7" t="s">
        <v>304</v>
      </c>
      <c r="I281" s="7">
        <v>2</v>
      </c>
      <c r="J281" s="7" t="s">
        <v>230</v>
      </c>
      <c r="K281" s="7">
        <v>2</v>
      </c>
      <c r="L281" s="7"/>
      <c r="M281" s="7"/>
      <c r="N281" s="7" t="s">
        <v>299</v>
      </c>
      <c r="O281" s="11">
        <f t="shared" si="29"/>
        <v>100</v>
      </c>
      <c r="P281" s="9">
        <v>20</v>
      </c>
      <c r="Q281" s="9">
        <v>43</v>
      </c>
      <c r="R281" s="9">
        <v>3</v>
      </c>
      <c r="S281" s="9">
        <v>10</v>
      </c>
      <c r="AC281" s="9">
        <v>3</v>
      </c>
      <c r="AE281" s="9">
        <v>5</v>
      </c>
      <c r="AF281" s="9">
        <v>2</v>
      </c>
      <c r="AH281" s="9">
        <v>12</v>
      </c>
      <c r="AI281" s="9">
        <v>2</v>
      </c>
      <c r="AV281" s="12">
        <v>2</v>
      </c>
      <c r="AW281" s="12">
        <v>1</v>
      </c>
      <c r="AZ281" s="12">
        <v>3</v>
      </c>
      <c r="CD281" s="14">
        <v>4</v>
      </c>
      <c r="CF281" s="14">
        <v>65</v>
      </c>
      <c r="CL281" s="14">
        <v>2</v>
      </c>
      <c r="CM281" s="14">
        <v>2</v>
      </c>
      <c r="CR281" s="14">
        <v>4</v>
      </c>
      <c r="CZ281" s="14">
        <v>4</v>
      </c>
      <c r="DA281" s="14">
        <v>1</v>
      </c>
      <c r="DB281" s="14">
        <v>12</v>
      </c>
    </row>
    <row r="282" spans="1:167" x14ac:dyDescent="0.25">
      <c r="A282" s="6" t="str">
        <f t="shared" si="50"/>
        <v>MEN_L_2__04_2023</v>
      </c>
      <c r="B282" s="6" t="str">
        <f t="shared" si="51"/>
        <v>MEN_L_2__04</v>
      </c>
      <c r="C282" s="6" t="str">
        <f t="shared" si="52"/>
        <v>MEN_2023</v>
      </c>
      <c r="D282" s="7" t="s">
        <v>305</v>
      </c>
      <c r="E282" s="18">
        <v>45140</v>
      </c>
      <c r="F282" s="7">
        <v>2023</v>
      </c>
      <c r="G282" s="7" t="s">
        <v>277</v>
      </c>
      <c r="H282" s="7" t="s">
        <v>304</v>
      </c>
      <c r="I282" s="7">
        <v>4</v>
      </c>
      <c r="J282" s="7" t="s">
        <v>230</v>
      </c>
      <c r="K282" s="7">
        <v>2</v>
      </c>
      <c r="L282" s="7"/>
      <c r="M282" s="7"/>
      <c r="N282" s="7" t="s">
        <v>299</v>
      </c>
      <c r="O282" s="11">
        <f t="shared" ref="O282:O325" si="53">SUM(P282:AO282)</f>
        <v>100</v>
      </c>
      <c r="P282" s="9">
        <v>65</v>
      </c>
      <c r="S282" s="9">
        <v>5</v>
      </c>
      <c r="W282" s="9">
        <v>1</v>
      </c>
      <c r="Y282" s="9">
        <v>1</v>
      </c>
      <c r="AE282" s="9">
        <v>5</v>
      </c>
      <c r="AF282" s="9">
        <v>1</v>
      </c>
      <c r="AH282" s="9">
        <v>18</v>
      </c>
      <c r="AI282" s="9">
        <v>4</v>
      </c>
      <c r="AV282" s="12">
        <v>2</v>
      </c>
      <c r="CD282" s="14">
        <v>4</v>
      </c>
      <c r="CF282" s="14">
        <v>55</v>
      </c>
      <c r="CL282" s="14">
        <v>1</v>
      </c>
      <c r="CM282" s="14">
        <v>1</v>
      </c>
      <c r="CR282" s="14">
        <v>2</v>
      </c>
      <c r="CX282" s="14">
        <v>9</v>
      </c>
      <c r="DB282" s="14">
        <v>48</v>
      </c>
    </row>
    <row r="283" spans="1:167" x14ac:dyDescent="0.25">
      <c r="A283" s="6" t="str">
        <f t="shared" si="50"/>
        <v>MEN_L_2__06_2023</v>
      </c>
      <c r="B283" s="6" t="str">
        <f t="shared" si="51"/>
        <v>MEN_L_2__06</v>
      </c>
      <c r="C283" s="6" t="str">
        <f t="shared" si="52"/>
        <v>MEN_2023</v>
      </c>
      <c r="D283" s="7" t="s">
        <v>305</v>
      </c>
      <c r="E283" s="18">
        <v>45140</v>
      </c>
      <c r="F283" s="7">
        <v>2023</v>
      </c>
      <c r="G283" s="7" t="s">
        <v>277</v>
      </c>
      <c r="H283" s="7" t="s">
        <v>304</v>
      </c>
      <c r="I283" s="7">
        <v>6</v>
      </c>
      <c r="J283" s="7" t="s">
        <v>230</v>
      </c>
      <c r="K283" s="7">
        <v>2</v>
      </c>
      <c r="L283" s="7"/>
      <c r="M283" s="7"/>
      <c r="N283" s="7" t="s">
        <v>299</v>
      </c>
      <c r="O283" s="11">
        <f t="shared" si="53"/>
        <v>100</v>
      </c>
      <c r="P283" s="9">
        <v>65</v>
      </c>
      <c r="R283" s="9">
        <v>1</v>
      </c>
      <c r="S283" s="9">
        <v>6</v>
      </c>
      <c r="W283" s="9">
        <v>1</v>
      </c>
      <c r="Y283" s="9">
        <v>1</v>
      </c>
      <c r="AE283" s="9">
        <v>5</v>
      </c>
      <c r="AH283" s="9">
        <v>19</v>
      </c>
      <c r="AI283" s="9">
        <v>2</v>
      </c>
      <c r="AQ283" s="12">
        <v>1</v>
      </c>
      <c r="AV283" s="12">
        <v>5</v>
      </c>
      <c r="AW283" s="12">
        <v>2</v>
      </c>
      <c r="BA283" s="12">
        <v>2</v>
      </c>
      <c r="CF283" s="14">
        <v>16</v>
      </c>
      <c r="CL283" s="14">
        <v>1</v>
      </c>
      <c r="CM283" s="14">
        <v>1</v>
      </c>
      <c r="CR283" s="14">
        <v>0.1</v>
      </c>
      <c r="DA283" s="14">
        <v>0.1</v>
      </c>
      <c r="DB283" s="14">
        <v>36</v>
      </c>
    </row>
    <row r="284" spans="1:167" x14ac:dyDescent="0.25">
      <c r="A284" s="6" t="str">
        <f t="shared" si="50"/>
        <v>MEN_L_2__08_2023</v>
      </c>
      <c r="B284" s="6" t="str">
        <f t="shared" si="51"/>
        <v>MEN_L_2__08</v>
      </c>
      <c r="C284" s="6" t="str">
        <f t="shared" si="52"/>
        <v>MEN_2023</v>
      </c>
      <c r="D284" s="7" t="s">
        <v>305</v>
      </c>
      <c r="E284" s="18">
        <v>45140</v>
      </c>
      <c r="F284" s="7">
        <v>2023</v>
      </c>
      <c r="G284" s="7" t="s">
        <v>277</v>
      </c>
      <c r="H284" s="7" t="s">
        <v>304</v>
      </c>
      <c r="I284" s="7">
        <v>8</v>
      </c>
      <c r="J284" s="7" t="s">
        <v>230</v>
      </c>
      <c r="K284" s="7">
        <v>2</v>
      </c>
      <c r="L284" s="7"/>
      <c r="M284" s="7"/>
      <c r="N284" s="7" t="s">
        <v>299</v>
      </c>
      <c r="O284" s="11">
        <f t="shared" si="53"/>
        <v>100</v>
      </c>
      <c r="P284" s="9">
        <v>17</v>
      </c>
      <c r="Q284" s="9">
        <v>4</v>
      </c>
      <c r="Y284" s="9">
        <v>1</v>
      </c>
      <c r="AH284" s="9">
        <v>75</v>
      </c>
      <c r="AI284" s="9">
        <v>3</v>
      </c>
      <c r="BA284" s="12">
        <v>1</v>
      </c>
      <c r="CL284" s="14">
        <v>3</v>
      </c>
      <c r="CR284" s="14">
        <v>1</v>
      </c>
      <c r="CW284" s="14">
        <v>1</v>
      </c>
      <c r="CX284" s="14">
        <v>4</v>
      </c>
      <c r="DB284" s="14">
        <v>100</v>
      </c>
      <c r="DD284" s="14">
        <v>1</v>
      </c>
    </row>
    <row r="285" spans="1:167" x14ac:dyDescent="0.25">
      <c r="A285" s="6" t="str">
        <f t="shared" si="50"/>
        <v>MEN_L_2__10_2023</v>
      </c>
      <c r="B285" s="6" t="str">
        <f t="shared" si="51"/>
        <v>MEN_L_2__10</v>
      </c>
      <c r="C285" s="6" t="str">
        <f t="shared" si="52"/>
        <v>MEN_2023</v>
      </c>
      <c r="D285" s="7" t="s">
        <v>305</v>
      </c>
      <c r="E285" s="18">
        <v>45140</v>
      </c>
      <c r="F285" s="7">
        <v>2023</v>
      </c>
      <c r="G285" s="7" t="s">
        <v>277</v>
      </c>
      <c r="H285" s="7" t="s">
        <v>304</v>
      </c>
      <c r="I285" s="7">
        <v>10</v>
      </c>
      <c r="J285" s="7" t="s">
        <v>230</v>
      </c>
      <c r="K285" s="7">
        <v>2</v>
      </c>
      <c r="L285" s="7"/>
      <c r="M285" s="7"/>
      <c r="N285" s="7" t="s">
        <v>299</v>
      </c>
      <c r="O285" s="11">
        <f t="shared" si="53"/>
        <v>100</v>
      </c>
      <c r="P285" s="9">
        <v>49</v>
      </c>
      <c r="R285" s="9">
        <v>4</v>
      </c>
      <c r="S285" s="9">
        <v>8</v>
      </c>
      <c r="W285" s="9">
        <v>1</v>
      </c>
      <c r="Y285" s="9">
        <v>1</v>
      </c>
      <c r="AB285" s="9">
        <v>1</v>
      </c>
      <c r="AE285" s="9">
        <v>2</v>
      </c>
      <c r="AH285" s="9">
        <v>18</v>
      </c>
      <c r="AI285" s="9">
        <v>16</v>
      </c>
      <c r="AV285" s="12">
        <v>2</v>
      </c>
      <c r="AW285" s="12">
        <v>3</v>
      </c>
      <c r="AZ285" s="12">
        <v>1</v>
      </c>
      <c r="CF285" s="14">
        <v>30</v>
      </c>
      <c r="CL285" s="14">
        <v>24</v>
      </c>
      <c r="CO285" s="14">
        <v>2</v>
      </c>
      <c r="CX285" s="14">
        <v>1</v>
      </c>
      <c r="DB285" s="14">
        <v>52</v>
      </c>
    </row>
    <row r="286" spans="1:167" x14ac:dyDescent="0.25">
      <c r="A286" s="6" t="str">
        <f t="shared" si="50"/>
        <v>MEN_L_3__02_2023</v>
      </c>
      <c r="B286" s="6" t="str">
        <f t="shared" si="51"/>
        <v>MEN_L_3__02</v>
      </c>
      <c r="C286" s="6" t="str">
        <f t="shared" si="52"/>
        <v>MEN_2023</v>
      </c>
      <c r="D286" s="7" t="s">
        <v>305</v>
      </c>
      <c r="E286" s="18">
        <v>45140</v>
      </c>
      <c r="F286" s="7">
        <v>2023</v>
      </c>
      <c r="G286" s="7" t="s">
        <v>277</v>
      </c>
      <c r="H286" s="7" t="s">
        <v>304</v>
      </c>
      <c r="I286" s="7">
        <v>2</v>
      </c>
      <c r="J286" s="7" t="s">
        <v>230</v>
      </c>
      <c r="K286" s="7">
        <v>3</v>
      </c>
      <c r="L286" s="7"/>
      <c r="M286" s="7"/>
      <c r="N286" s="7" t="s">
        <v>299</v>
      </c>
      <c r="O286" s="11">
        <f t="shared" si="53"/>
        <v>100</v>
      </c>
      <c r="P286" s="9">
        <v>30</v>
      </c>
      <c r="Q286" s="9">
        <v>33</v>
      </c>
      <c r="U286" s="9">
        <v>1</v>
      </c>
      <c r="W286" s="9">
        <v>1</v>
      </c>
      <c r="AH286" s="9">
        <v>35</v>
      </c>
      <c r="CW286" s="14">
        <v>12</v>
      </c>
      <c r="CX286" s="14">
        <v>24</v>
      </c>
      <c r="CZ286" s="14">
        <v>8</v>
      </c>
      <c r="DA286" s="14">
        <v>4</v>
      </c>
      <c r="DB286" s="14">
        <v>36</v>
      </c>
    </row>
    <row r="287" spans="1:167" x14ac:dyDescent="0.25">
      <c r="A287" s="6" t="str">
        <f t="shared" si="50"/>
        <v>MEN_L_3__04_2023</v>
      </c>
      <c r="B287" s="6" t="str">
        <f t="shared" si="51"/>
        <v>MEN_L_3__04</v>
      </c>
      <c r="C287" s="6" t="str">
        <f t="shared" si="52"/>
        <v>MEN_2023</v>
      </c>
      <c r="D287" s="7" t="s">
        <v>305</v>
      </c>
      <c r="E287" s="18">
        <v>45140</v>
      </c>
      <c r="F287" s="7">
        <v>2023</v>
      </c>
      <c r="G287" s="7" t="s">
        <v>277</v>
      </c>
      <c r="H287" s="7" t="s">
        <v>304</v>
      </c>
      <c r="I287" s="7">
        <v>4</v>
      </c>
      <c r="J287" s="7" t="s">
        <v>230</v>
      </c>
      <c r="K287" s="7">
        <v>3</v>
      </c>
      <c r="L287" s="7"/>
      <c r="M287" s="7"/>
      <c r="N287" s="7" t="s">
        <v>299</v>
      </c>
      <c r="O287" s="11">
        <f t="shared" si="53"/>
        <v>100.19999999999999</v>
      </c>
      <c r="P287" s="9">
        <v>34</v>
      </c>
      <c r="Q287" s="9">
        <v>18</v>
      </c>
      <c r="R287" s="9">
        <v>1</v>
      </c>
      <c r="W287" s="9">
        <v>2</v>
      </c>
      <c r="Y287" s="9">
        <v>0.1</v>
      </c>
      <c r="AH287" s="9">
        <v>45</v>
      </c>
      <c r="AI287" s="9">
        <v>0.1</v>
      </c>
      <c r="AQ287" s="12">
        <v>1</v>
      </c>
      <c r="AW287" s="12">
        <v>1</v>
      </c>
      <c r="CU287" s="14">
        <v>9</v>
      </c>
      <c r="CW287" s="14">
        <v>0.1</v>
      </c>
      <c r="CX287" s="14">
        <v>50</v>
      </c>
      <c r="CZ287" s="14">
        <v>8</v>
      </c>
      <c r="DB287" s="14">
        <v>16</v>
      </c>
    </row>
    <row r="288" spans="1:167" x14ac:dyDescent="0.25">
      <c r="A288" s="6" t="str">
        <f t="shared" si="50"/>
        <v>MEN_L_3__06_2023</v>
      </c>
      <c r="B288" s="6" t="str">
        <f t="shared" si="51"/>
        <v>MEN_L_3__06</v>
      </c>
      <c r="C288" s="6" t="str">
        <f t="shared" si="52"/>
        <v>MEN_2023</v>
      </c>
      <c r="D288" s="7" t="s">
        <v>305</v>
      </c>
      <c r="E288" s="18">
        <v>45140</v>
      </c>
      <c r="F288" s="7">
        <v>2023</v>
      </c>
      <c r="G288" s="7" t="s">
        <v>277</v>
      </c>
      <c r="H288" s="7" t="s">
        <v>304</v>
      </c>
      <c r="I288" s="7">
        <v>6</v>
      </c>
      <c r="J288" s="7" t="s">
        <v>230</v>
      </c>
      <c r="K288" s="7">
        <v>3</v>
      </c>
      <c r="L288" s="7"/>
      <c r="M288" s="7"/>
      <c r="N288" s="7" t="s">
        <v>299</v>
      </c>
      <c r="O288" s="11">
        <f t="shared" si="53"/>
        <v>100</v>
      </c>
      <c r="Q288" s="9">
        <v>43</v>
      </c>
      <c r="U288" s="9">
        <v>1</v>
      </c>
      <c r="W288" s="9">
        <v>1</v>
      </c>
      <c r="AH288" s="9">
        <v>55</v>
      </c>
      <c r="CD288" s="14">
        <v>32</v>
      </c>
      <c r="CP288" s="14">
        <v>4</v>
      </c>
      <c r="CX288" s="14">
        <v>20</v>
      </c>
      <c r="DA288" s="14">
        <v>4</v>
      </c>
      <c r="DC288" s="14">
        <v>16</v>
      </c>
      <c r="DD288" s="14">
        <v>2</v>
      </c>
    </row>
    <row r="289" spans="1:171" x14ac:dyDescent="0.25">
      <c r="A289" s="6" t="str">
        <f t="shared" si="50"/>
        <v>MEN_L_3__08_2023</v>
      </c>
      <c r="B289" s="6" t="str">
        <f t="shared" si="51"/>
        <v>MEN_L_3__08</v>
      </c>
      <c r="C289" s="6" t="str">
        <f t="shared" si="52"/>
        <v>MEN_2023</v>
      </c>
      <c r="D289" s="7" t="s">
        <v>305</v>
      </c>
      <c r="E289" s="18">
        <v>45140</v>
      </c>
      <c r="F289" s="7">
        <v>2023</v>
      </c>
      <c r="G289" s="7" t="s">
        <v>277</v>
      </c>
      <c r="H289" s="7" t="s">
        <v>304</v>
      </c>
      <c r="I289" s="7">
        <v>8</v>
      </c>
      <c r="J289" s="7" t="s">
        <v>230</v>
      </c>
      <c r="K289" s="7">
        <v>3</v>
      </c>
      <c r="L289" s="7"/>
      <c r="M289" s="7"/>
      <c r="N289" s="7" t="s">
        <v>299</v>
      </c>
      <c r="O289" s="11">
        <f t="shared" si="53"/>
        <v>100</v>
      </c>
      <c r="P289" s="9">
        <v>82</v>
      </c>
      <c r="U289" s="9">
        <v>1</v>
      </c>
      <c r="W289" s="9">
        <v>1</v>
      </c>
      <c r="AH289" s="9">
        <v>16</v>
      </c>
      <c r="AT289" s="12">
        <v>33</v>
      </c>
      <c r="CU289" s="14">
        <v>4</v>
      </c>
      <c r="CW289" s="14">
        <v>20</v>
      </c>
      <c r="CX289" s="14">
        <v>22</v>
      </c>
      <c r="DC289" s="14">
        <v>0.1</v>
      </c>
    </row>
    <row r="290" spans="1:171" x14ac:dyDescent="0.25">
      <c r="A290" s="6" t="str">
        <f t="shared" si="50"/>
        <v>MEN_L_3__10_2023</v>
      </c>
      <c r="B290" s="6" t="str">
        <f t="shared" si="51"/>
        <v>MEN_L_3__10</v>
      </c>
      <c r="C290" s="6" t="str">
        <f t="shared" si="52"/>
        <v>MEN_2023</v>
      </c>
      <c r="D290" s="7" t="s">
        <v>305</v>
      </c>
      <c r="E290" s="18">
        <v>45140</v>
      </c>
      <c r="F290" s="7">
        <v>2023</v>
      </c>
      <c r="G290" s="7" t="s">
        <v>277</v>
      </c>
      <c r="H290" s="7" t="s">
        <v>304</v>
      </c>
      <c r="I290" s="7">
        <v>10</v>
      </c>
      <c r="J290" s="7" t="s">
        <v>230</v>
      </c>
      <c r="K290" s="7">
        <v>3</v>
      </c>
      <c r="L290" s="7"/>
      <c r="M290" s="7"/>
      <c r="N290" s="7" t="s">
        <v>299</v>
      </c>
      <c r="O290" s="11">
        <f t="shared" si="53"/>
        <v>100.1</v>
      </c>
      <c r="P290" s="9">
        <v>13</v>
      </c>
      <c r="Q290" s="9">
        <v>20</v>
      </c>
      <c r="S290" s="9">
        <v>1</v>
      </c>
      <c r="Y290" s="9">
        <v>0.1</v>
      </c>
      <c r="AH290" s="9">
        <v>65</v>
      </c>
      <c r="AI290" s="9">
        <v>1</v>
      </c>
      <c r="CX290" s="14">
        <v>1</v>
      </c>
      <c r="CZ290" s="14">
        <v>25</v>
      </c>
      <c r="DB290" s="14">
        <v>1</v>
      </c>
      <c r="DC290" s="14">
        <v>48</v>
      </c>
      <c r="DD290" s="14">
        <v>20</v>
      </c>
    </row>
    <row r="291" spans="1:171" x14ac:dyDescent="0.25">
      <c r="A291" s="6" t="str">
        <f t="shared" si="50"/>
        <v>MEN_H_1__01_2023</v>
      </c>
      <c r="B291" s="6" t="str">
        <f t="shared" si="51"/>
        <v>MEN_H_1__01</v>
      </c>
      <c r="C291" s="6" t="str">
        <f t="shared" si="52"/>
        <v>MEN_2023</v>
      </c>
      <c r="D291" s="7" t="s">
        <v>305</v>
      </c>
      <c r="E291" s="18">
        <v>45140</v>
      </c>
      <c r="F291" s="7">
        <v>2023</v>
      </c>
      <c r="G291" s="7" t="s">
        <v>277</v>
      </c>
      <c r="H291" s="7" t="s">
        <v>304</v>
      </c>
      <c r="I291" s="7">
        <v>1</v>
      </c>
      <c r="J291" s="7" t="s">
        <v>229</v>
      </c>
      <c r="K291" s="7">
        <v>1</v>
      </c>
      <c r="L291" s="7"/>
      <c r="M291" s="7"/>
      <c r="N291" s="7" t="s">
        <v>299</v>
      </c>
      <c r="O291" s="11">
        <f t="shared" si="53"/>
        <v>18</v>
      </c>
      <c r="U291" s="9">
        <v>3</v>
      </c>
      <c r="W291" s="9">
        <v>6</v>
      </c>
      <c r="Z291" s="9">
        <v>9</v>
      </c>
      <c r="AS291" s="12">
        <v>1</v>
      </c>
      <c r="AT291" s="12">
        <v>5</v>
      </c>
      <c r="AU291" s="12">
        <v>13</v>
      </c>
      <c r="BD291" s="12">
        <v>28</v>
      </c>
      <c r="CJ291" s="14">
        <v>8</v>
      </c>
      <c r="CW291" s="14">
        <v>8</v>
      </c>
      <c r="DC291" s="14">
        <v>8</v>
      </c>
    </row>
    <row r="292" spans="1:171" x14ac:dyDescent="0.25">
      <c r="A292" s="6" t="str">
        <f t="shared" si="50"/>
        <v>MEN_H_1__02_2023</v>
      </c>
      <c r="B292" s="6" t="str">
        <f t="shared" si="51"/>
        <v>MEN_H_1__02</v>
      </c>
      <c r="C292" s="6" t="str">
        <f t="shared" si="52"/>
        <v>MEN_2023</v>
      </c>
      <c r="D292" s="7" t="s">
        <v>305</v>
      </c>
      <c r="E292" s="18">
        <v>45140</v>
      </c>
      <c r="F292" s="7">
        <v>2023</v>
      </c>
      <c r="G292" s="7" t="s">
        <v>277</v>
      </c>
      <c r="H292" s="7" t="s">
        <v>304</v>
      </c>
      <c r="I292" s="7">
        <v>2</v>
      </c>
      <c r="J292" s="7" t="s">
        <v>229</v>
      </c>
      <c r="K292" s="7">
        <v>1</v>
      </c>
      <c r="L292" s="7"/>
      <c r="M292" s="7"/>
      <c r="N292" s="7" t="s">
        <v>299</v>
      </c>
      <c r="O292" s="11">
        <f t="shared" si="53"/>
        <v>100</v>
      </c>
      <c r="P292" s="9">
        <v>79</v>
      </c>
      <c r="U292" s="9">
        <v>2</v>
      </c>
      <c r="W292" s="9">
        <v>17</v>
      </c>
      <c r="AF292" s="9">
        <v>1</v>
      </c>
      <c r="AH292" s="9">
        <v>1</v>
      </c>
      <c r="AT292" s="12">
        <v>17</v>
      </c>
      <c r="AU292" s="12">
        <v>11</v>
      </c>
      <c r="CJ292" s="14">
        <v>3</v>
      </c>
      <c r="CW292" s="14">
        <v>3</v>
      </c>
    </row>
    <row r="293" spans="1:171" x14ac:dyDescent="0.25">
      <c r="A293" s="6" t="str">
        <f t="shared" si="50"/>
        <v>MEN_H_1__03_2023</v>
      </c>
      <c r="B293" s="6" t="str">
        <f t="shared" si="51"/>
        <v>MEN_H_1__03</v>
      </c>
      <c r="C293" s="6" t="str">
        <f t="shared" si="52"/>
        <v>MEN_2023</v>
      </c>
      <c r="D293" s="7" t="s">
        <v>305</v>
      </c>
      <c r="E293" s="18">
        <v>45140</v>
      </c>
      <c r="F293" s="7">
        <v>2023</v>
      </c>
      <c r="G293" s="7" t="s">
        <v>277</v>
      </c>
      <c r="H293" s="7" t="s">
        <v>304</v>
      </c>
      <c r="I293" s="7">
        <v>3</v>
      </c>
      <c r="J293" s="7" t="s">
        <v>229</v>
      </c>
      <c r="K293" s="7">
        <v>1</v>
      </c>
      <c r="L293" s="7"/>
      <c r="M293" s="7"/>
      <c r="N293" s="7" t="s">
        <v>299</v>
      </c>
      <c r="O293" s="11">
        <f t="shared" si="53"/>
        <v>100.1</v>
      </c>
      <c r="P293" s="9">
        <v>79</v>
      </c>
      <c r="R293" s="9">
        <v>0.1</v>
      </c>
      <c r="U293" s="9">
        <v>2</v>
      </c>
      <c r="W293" s="9">
        <v>12</v>
      </c>
      <c r="AF293" s="9">
        <v>6</v>
      </c>
      <c r="AH293" s="9">
        <v>1</v>
      </c>
      <c r="AT293" s="12">
        <v>7</v>
      </c>
      <c r="AU293" s="12">
        <v>7</v>
      </c>
      <c r="CJ293" s="14">
        <v>4</v>
      </c>
      <c r="CU293" s="14">
        <v>0.1</v>
      </c>
      <c r="CW293" s="14">
        <v>13</v>
      </c>
    </row>
    <row r="294" spans="1:171" x14ac:dyDescent="0.25">
      <c r="A294" s="6" t="str">
        <f t="shared" si="50"/>
        <v>MEN_H_1__04_2023</v>
      </c>
      <c r="B294" s="6" t="str">
        <f t="shared" si="51"/>
        <v>MEN_H_1__04</v>
      </c>
      <c r="C294" s="6" t="str">
        <f t="shared" si="52"/>
        <v>MEN_2023</v>
      </c>
      <c r="D294" s="7" t="s">
        <v>305</v>
      </c>
      <c r="E294" s="18">
        <v>45140</v>
      </c>
      <c r="F294" s="7">
        <v>2023</v>
      </c>
      <c r="G294" s="7" t="s">
        <v>277</v>
      </c>
      <c r="H294" s="7" t="s">
        <v>304</v>
      </c>
      <c r="I294" s="7">
        <v>4</v>
      </c>
      <c r="J294" s="7" t="s">
        <v>229</v>
      </c>
      <c r="K294" s="7">
        <v>1</v>
      </c>
      <c r="L294" s="7"/>
      <c r="M294" s="7"/>
      <c r="N294" s="7" t="s">
        <v>299</v>
      </c>
      <c r="O294" s="11">
        <f t="shared" si="53"/>
        <v>100</v>
      </c>
      <c r="P294" s="9">
        <v>70</v>
      </c>
      <c r="U294" s="9">
        <v>4</v>
      </c>
      <c r="W294" s="9">
        <v>20</v>
      </c>
      <c r="AF294" s="9">
        <v>2</v>
      </c>
      <c r="AH294" s="9">
        <v>4</v>
      </c>
      <c r="AT294" s="12">
        <v>9</v>
      </c>
      <c r="AU294" s="12">
        <v>48</v>
      </c>
      <c r="CJ294" s="14">
        <v>21</v>
      </c>
      <c r="CW294" s="14">
        <v>4</v>
      </c>
    </row>
    <row r="295" spans="1:171" x14ac:dyDescent="0.25">
      <c r="A295" s="6" t="str">
        <f t="shared" si="50"/>
        <v>MEN_H_1__05_2023</v>
      </c>
      <c r="B295" s="6" t="str">
        <f t="shared" si="51"/>
        <v>MEN_H_1__05</v>
      </c>
      <c r="C295" s="6" t="str">
        <f t="shared" si="52"/>
        <v>MEN_2023</v>
      </c>
      <c r="D295" s="7" t="s">
        <v>305</v>
      </c>
      <c r="E295" s="18">
        <v>45140</v>
      </c>
      <c r="F295" s="7">
        <v>2023</v>
      </c>
      <c r="G295" s="7" t="s">
        <v>277</v>
      </c>
      <c r="H295" s="7" t="s">
        <v>304</v>
      </c>
      <c r="I295" s="7">
        <v>5</v>
      </c>
      <c r="J295" s="7" t="s">
        <v>229</v>
      </c>
      <c r="K295" s="7">
        <v>1</v>
      </c>
      <c r="L295" s="7"/>
      <c r="M295" s="7"/>
      <c r="N295" s="7" t="s">
        <v>299</v>
      </c>
      <c r="O295" s="11">
        <f t="shared" si="53"/>
        <v>100</v>
      </c>
      <c r="P295" s="9">
        <v>82</v>
      </c>
      <c r="U295" s="9">
        <v>1</v>
      </c>
      <c r="W295" s="9">
        <v>9</v>
      </c>
      <c r="AF295" s="9">
        <v>2</v>
      </c>
      <c r="AH295" s="9">
        <v>6</v>
      </c>
      <c r="AT295" s="12">
        <v>5</v>
      </c>
      <c r="AU295" s="12">
        <v>11</v>
      </c>
      <c r="CJ295" s="14">
        <v>7</v>
      </c>
      <c r="CW295" s="14">
        <v>17</v>
      </c>
    </row>
    <row r="296" spans="1:171" x14ac:dyDescent="0.25">
      <c r="A296" s="6" t="str">
        <f t="shared" si="50"/>
        <v>MEN_H_1__06_2023</v>
      </c>
      <c r="B296" s="6" t="str">
        <f t="shared" si="51"/>
        <v>MEN_H_1__06</v>
      </c>
      <c r="C296" s="6" t="str">
        <f t="shared" si="52"/>
        <v>MEN_2023</v>
      </c>
      <c r="D296" s="7" t="s">
        <v>305</v>
      </c>
      <c r="E296" s="18">
        <v>45140</v>
      </c>
      <c r="F296" s="7">
        <v>2023</v>
      </c>
      <c r="G296" s="7" t="s">
        <v>277</v>
      </c>
      <c r="H296" s="7" t="s">
        <v>304</v>
      </c>
      <c r="I296" s="7">
        <v>6</v>
      </c>
      <c r="J296" s="7" t="s">
        <v>229</v>
      </c>
      <c r="K296" s="7">
        <v>1</v>
      </c>
      <c r="L296" s="7"/>
      <c r="M296" s="7"/>
      <c r="N296" s="7" t="s">
        <v>299</v>
      </c>
      <c r="O296" s="11">
        <f t="shared" si="53"/>
        <v>100</v>
      </c>
      <c r="P296" s="9">
        <v>80</v>
      </c>
      <c r="U296" s="9">
        <v>3</v>
      </c>
      <c r="W296" s="9">
        <v>8</v>
      </c>
      <c r="AF296" s="9">
        <v>1</v>
      </c>
      <c r="AH296" s="9">
        <v>8</v>
      </c>
      <c r="AT296" s="12">
        <v>3</v>
      </c>
      <c r="AU296" s="12">
        <v>12</v>
      </c>
      <c r="CJ296" s="14">
        <v>2</v>
      </c>
      <c r="CU296" s="14">
        <v>2</v>
      </c>
      <c r="CW296" s="14">
        <v>25</v>
      </c>
      <c r="DI296" s="14">
        <v>1</v>
      </c>
    </row>
    <row r="297" spans="1:171" x14ac:dyDescent="0.25">
      <c r="A297" s="6" t="str">
        <f t="shared" si="50"/>
        <v>MEN_H_1__07_2023</v>
      </c>
      <c r="B297" s="6" t="str">
        <f t="shared" si="51"/>
        <v>MEN_H_1__07</v>
      </c>
      <c r="C297" s="6" t="str">
        <f t="shared" si="52"/>
        <v>MEN_2023</v>
      </c>
      <c r="D297" s="7" t="s">
        <v>305</v>
      </c>
      <c r="E297" s="18">
        <v>45140</v>
      </c>
      <c r="F297" s="7">
        <v>2023</v>
      </c>
      <c r="G297" s="7" t="s">
        <v>277</v>
      </c>
      <c r="H297" s="7" t="s">
        <v>304</v>
      </c>
      <c r="I297" s="7">
        <v>7</v>
      </c>
      <c r="J297" s="7" t="s">
        <v>229</v>
      </c>
      <c r="K297" s="7">
        <v>1</v>
      </c>
      <c r="L297" s="7"/>
      <c r="M297" s="7"/>
      <c r="N297" s="7" t="s">
        <v>299</v>
      </c>
      <c r="O297" s="11">
        <f t="shared" si="53"/>
        <v>100</v>
      </c>
      <c r="P297" s="9">
        <v>73</v>
      </c>
      <c r="U297" s="9">
        <v>1</v>
      </c>
      <c r="W297" s="9">
        <v>8</v>
      </c>
      <c r="AH297" s="9">
        <v>18</v>
      </c>
      <c r="CU297" s="14">
        <v>2</v>
      </c>
      <c r="CW297" s="14">
        <v>57</v>
      </c>
      <c r="DI297" s="14">
        <v>1</v>
      </c>
    </row>
    <row r="298" spans="1:171" x14ac:dyDescent="0.25">
      <c r="A298" s="6" t="str">
        <f t="shared" si="50"/>
        <v>MEN_H_1__08_2023</v>
      </c>
      <c r="B298" s="6" t="str">
        <f t="shared" si="51"/>
        <v>MEN_H_1__08</v>
      </c>
      <c r="C298" s="6" t="str">
        <f t="shared" si="52"/>
        <v>MEN_2023</v>
      </c>
      <c r="D298" s="7" t="s">
        <v>305</v>
      </c>
      <c r="E298" s="18">
        <v>45140</v>
      </c>
      <c r="F298" s="7">
        <v>2023</v>
      </c>
      <c r="G298" s="7" t="s">
        <v>277</v>
      </c>
      <c r="H298" s="7" t="s">
        <v>304</v>
      </c>
      <c r="I298" s="7">
        <v>8</v>
      </c>
      <c r="J298" s="7" t="s">
        <v>229</v>
      </c>
      <c r="K298" s="7">
        <v>1</v>
      </c>
      <c r="L298" s="7"/>
      <c r="M298" s="7"/>
      <c r="N298" s="7" t="s">
        <v>299</v>
      </c>
      <c r="O298" s="11">
        <f t="shared" si="53"/>
        <v>100.1</v>
      </c>
      <c r="P298" s="9">
        <v>89</v>
      </c>
      <c r="U298" s="9">
        <v>8</v>
      </c>
      <c r="W298" s="9">
        <v>3</v>
      </c>
      <c r="Y298" s="9">
        <v>0.1</v>
      </c>
      <c r="AU298" s="12">
        <v>29</v>
      </c>
      <c r="CW298" s="14">
        <v>3</v>
      </c>
    </row>
    <row r="299" spans="1:171" x14ac:dyDescent="0.25">
      <c r="A299" s="6" t="str">
        <f t="shared" si="50"/>
        <v>MEN_H_1__09_2023</v>
      </c>
      <c r="B299" s="6" t="str">
        <f t="shared" si="51"/>
        <v>MEN_H_1__09</v>
      </c>
      <c r="C299" s="6" t="str">
        <f t="shared" si="52"/>
        <v>MEN_2023</v>
      </c>
      <c r="D299" s="7" t="s">
        <v>305</v>
      </c>
      <c r="E299" s="18">
        <v>45140</v>
      </c>
      <c r="F299" s="7">
        <v>2023</v>
      </c>
      <c r="G299" s="7" t="s">
        <v>277</v>
      </c>
      <c r="H299" s="7" t="s">
        <v>304</v>
      </c>
      <c r="I299" s="7">
        <v>9</v>
      </c>
      <c r="J299" s="7" t="s">
        <v>229</v>
      </c>
      <c r="K299" s="7">
        <v>1</v>
      </c>
      <c r="L299" s="7"/>
      <c r="M299" s="7"/>
      <c r="N299" s="7" t="s">
        <v>299</v>
      </c>
      <c r="O299" s="11">
        <f t="shared" si="53"/>
        <v>100</v>
      </c>
      <c r="P299" s="9">
        <v>76</v>
      </c>
      <c r="U299" s="9">
        <v>3</v>
      </c>
      <c r="W299" s="9">
        <v>21</v>
      </c>
      <c r="AT299" s="12">
        <v>3</v>
      </c>
      <c r="AU299" s="12">
        <v>14</v>
      </c>
      <c r="CW299" s="14">
        <v>3</v>
      </c>
    </row>
    <row r="300" spans="1:171" x14ac:dyDescent="0.25">
      <c r="A300" s="6" t="str">
        <f t="shared" si="50"/>
        <v>MEN_H_1__10_2023</v>
      </c>
      <c r="B300" s="6" t="str">
        <f t="shared" si="51"/>
        <v>MEN_H_1__10</v>
      </c>
      <c r="C300" s="6" t="str">
        <f t="shared" si="52"/>
        <v>MEN_2023</v>
      </c>
      <c r="D300" s="7" t="s">
        <v>305</v>
      </c>
      <c r="E300" s="18">
        <v>45140</v>
      </c>
      <c r="F300" s="7">
        <v>2023</v>
      </c>
      <c r="G300" s="7" t="s">
        <v>277</v>
      </c>
      <c r="H300" s="7" t="s">
        <v>304</v>
      </c>
      <c r="I300" s="7">
        <v>10</v>
      </c>
      <c r="J300" s="7" t="s">
        <v>229</v>
      </c>
      <c r="K300" s="7">
        <v>1</v>
      </c>
      <c r="L300" s="7"/>
      <c r="M300" s="7"/>
      <c r="N300" s="7" t="s">
        <v>299</v>
      </c>
      <c r="O300" s="11">
        <f t="shared" si="53"/>
        <v>100</v>
      </c>
      <c r="P300" s="9">
        <v>92</v>
      </c>
      <c r="U300" s="9">
        <v>3</v>
      </c>
      <c r="X300" s="9">
        <v>4</v>
      </c>
      <c r="AH300" s="9">
        <v>1</v>
      </c>
      <c r="AT300" s="12">
        <v>2</v>
      </c>
      <c r="AU300" s="12">
        <v>1</v>
      </c>
      <c r="CW300" s="14">
        <v>1</v>
      </c>
    </row>
    <row r="301" spans="1:171" x14ac:dyDescent="0.25">
      <c r="A301" s="6" t="str">
        <f t="shared" ref="A301" si="54">CONCATENATE(D301,"_",J301,"_",K301,"_",L301,"_",TEXT(I301,"00"),"_",F301)</f>
        <v>MEN_L_1__01_2023</v>
      </c>
      <c r="B301" s="6" t="str">
        <f t="shared" ref="B301" si="55">CONCATENATE(D301,"_",J301,"_",K301,"_",L301,"_",TEXT(I301,"00"))</f>
        <v>MEN_L_1__01</v>
      </c>
      <c r="C301" s="6" t="str">
        <f t="shared" ref="C301:C325" si="56">CONCATENATE(D301,,"_",F301)</f>
        <v>MEN_2023</v>
      </c>
      <c r="D301" s="27" t="s">
        <v>305</v>
      </c>
      <c r="E301" s="73">
        <v>45140</v>
      </c>
      <c r="F301" s="27">
        <v>2023</v>
      </c>
      <c r="G301" s="27" t="s">
        <v>291</v>
      </c>
      <c r="H301" s="27" t="s">
        <v>301</v>
      </c>
      <c r="I301" s="27">
        <v>1</v>
      </c>
      <c r="J301" s="27" t="s">
        <v>230</v>
      </c>
      <c r="K301" s="27">
        <v>1</v>
      </c>
      <c r="N301" s="27" t="s">
        <v>299</v>
      </c>
      <c r="O301" s="11">
        <f t="shared" si="53"/>
        <v>100</v>
      </c>
      <c r="P301" s="9">
        <v>12</v>
      </c>
      <c r="Q301" s="9">
        <v>8</v>
      </c>
      <c r="R301" s="9">
        <v>1</v>
      </c>
      <c r="S301" s="9">
        <v>67</v>
      </c>
      <c r="AC301" s="9">
        <v>2</v>
      </c>
      <c r="AF301" s="9">
        <v>2</v>
      </c>
      <c r="AH301" s="9">
        <v>7</v>
      </c>
      <c r="AI301" s="9">
        <v>1</v>
      </c>
      <c r="AP301" s="12">
        <v>1</v>
      </c>
      <c r="AZ301" s="12">
        <v>27</v>
      </c>
      <c r="CM301" s="14">
        <v>1</v>
      </c>
      <c r="CT301" s="15">
        <v>2</v>
      </c>
      <c r="CW301" s="14">
        <v>2</v>
      </c>
      <c r="CZ301" s="14">
        <v>5</v>
      </c>
      <c r="DA301" s="14">
        <v>8</v>
      </c>
      <c r="DB301" s="14">
        <v>7</v>
      </c>
    </row>
    <row r="302" spans="1:171" x14ac:dyDescent="0.25">
      <c r="A302" s="6" t="str">
        <f t="shared" si="50"/>
        <v>MEN_L_1__03_2023</v>
      </c>
      <c r="B302" s="6" t="str">
        <f t="shared" si="51"/>
        <v>MEN_L_1__03</v>
      </c>
      <c r="C302" s="6" t="str">
        <f t="shared" si="56"/>
        <v>MEN_2023</v>
      </c>
      <c r="D302" s="27" t="s">
        <v>305</v>
      </c>
      <c r="E302" s="73">
        <v>45140</v>
      </c>
      <c r="F302" s="27">
        <v>2023</v>
      </c>
      <c r="G302" s="27" t="s">
        <v>291</v>
      </c>
      <c r="H302" s="27" t="s">
        <v>301</v>
      </c>
      <c r="I302" s="27">
        <v>3</v>
      </c>
      <c r="J302" s="27" t="s">
        <v>230</v>
      </c>
      <c r="K302" s="27">
        <v>1</v>
      </c>
      <c r="N302" s="27" t="s">
        <v>299</v>
      </c>
      <c r="O302" s="11">
        <f t="shared" si="53"/>
        <v>100</v>
      </c>
      <c r="P302" s="9">
        <v>4</v>
      </c>
      <c r="Q302" s="9">
        <v>3</v>
      </c>
      <c r="S302" s="9">
        <v>8</v>
      </c>
      <c r="Z302" s="9">
        <v>4</v>
      </c>
      <c r="AC302" s="9">
        <v>2</v>
      </c>
      <c r="AE302" s="9">
        <v>3</v>
      </c>
      <c r="AH302" s="9">
        <v>73</v>
      </c>
      <c r="AI302" s="9">
        <v>3</v>
      </c>
      <c r="AP302" s="12">
        <v>1</v>
      </c>
      <c r="AZ302" s="12">
        <v>9</v>
      </c>
      <c r="CD302" s="14">
        <v>7</v>
      </c>
      <c r="CF302" s="14">
        <v>35</v>
      </c>
      <c r="CL302" s="14">
        <v>2</v>
      </c>
      <c r="CM302" s="14">
        <v>3</v>
      </c>
      <c r="CR302" s="14">
        <v>12</v>
      </c>
      <c r="CS302" s="14">
        <v>3</v>
      </c>
      <c r="CT302" s="15">
        <v>24</v>
      </c>
      <c r="CZ302" s="14">
        <v>3</v>
      </c>
      <c r="DA302" s="14">
        <v>3</v>
      </c>
      <c r="DD302" s="14">
        <v>2</v>
      </c>
    </row>
    <row r="303" spans="1:171" x14ac:dyDescent="0.25">
      <c r="A303" s="6" t="str">
        <f t="shared" si="50"/>
        <v>MEN_L_1__05_2023</v>
      </c>
      <c r="B303" s="6" t="str">
        <f t="shared" si="51"/>
        <v>MEN_L_1__05</v>
      </c>
      <c r="C303" s="6" t="str">
        <f t="shared" si="56"/>
        <v>MEN_2023</v>
      </c>
      <c r="D303" s="27" t="s">
        <v>305</v>
      </c>
      <c r="E303" s="73">
        <v>45140</v>
      </c>
      <c r="F303" s="27">
        <v>2023</v>
      </c>
      <c r="G303" s="27" t="s">
        <v>291</v>
      </c>
      <c r="H303" s="27" t="s">
        <v>301</v>
      </c>
      <c r="I303" s="27">
        <v>5</v>
      </c>
      <c r="J303" s="27" t="s">
        <v>230</v>
      </c>
      <c r="K303" s="27">
        <v>1</v>
      </c>
      <c r="N303" s="27" t="s">
        <v>299</v>
      </c>
      <c r="O303" s="11">
        <f t="shared" si="53"/>
        <v>100.1</v>
      </c>
      <c r="P303" s="9">
        <v>11</v>
      </c>
      <c r="S303" s="9">
        <v>77</v>
      </c>
      <c r="AC303" s="9">
        <v>3</v>
      </c>
      <c r="AH303" s="9">
        <v>9</v>
      </c>
      <c r="AI303" s="9">
        <v>0.1</v>
      </c>
      <c r="AT303" s="12">
        <v>11</v>
      </c>
      <c r="AW303" s="12">
        <v>1</v>
      </c>
      <c r="AZ303" s="12">
        <v>48</v>
      </c>
      <c r="CR303" s="14">
        <v>2</v>
      </c>
      <c r="CT303" s="15">
        <v>7</v>
      </c>
      <c r="CX303" s="14">
        <v>4</v>
      </c>
      <c r="CZ303" s="14">
        <v>2</v>
      </c>
      <c r="DA303" s="14">
        <v>6</v>
      </c>
      <c r="DB303" s="14">
        <v>3</v>
      </c>
    </row>
    <row r="304" spans="1:171" x14ac:dyDescent="0.25">
      <c r="A304" s="6" t="str">
        <f t="shared" si="50"/>
        <v>MEN_L_1__07_2023</v>
      </c>
      <c r="B304" s="6" t="str">
        <f t="shared" si="51"/>
        <v>MEN_L_1__07</v>
      </c>
      <c r="C304" s="6" t="str">
        <f t="shared" si="56"/>
        <v>MEN_2023</v>
      </c>
      <c r="D304" s="27" t="s">
        <v>305</v>
      </c>
      <c r="E304" s="73">
        <v>45140</v>
      </c>
      <c r="F304" s="27">
        <v>2023</v>
      </c>
      <c r="G304" s="27" t="s">
        <v>291</v>
      </c>
      <c r="H304" s="27" t="s">
        <v>301</v>
      </c>
      <c r="I304" s="27">
        <v>7</v>
      </c>
      <c r="J304" s="27" t="s">
        <v>230</v>
      </c>
      <c r="K304" s="27">
        <v>1</v>
      </c>
      <c r="N304" s="27" t="s">
        <v>299</v>
      </c>
      <c r="O304" s="11">
        <f t="shared" si="53"/>
        <v>100.1</v>
      </c>
      <c r="S304" s="9">
        <v>15</v>
      </c>
      <c r="Z304" s="9">
        <v>0.1</v>
      </c>
      <c r="AC304" s="9">
        <v>3</v>
      </c>
      <c r="AF304" s="9">
        <v>4</v>
      </c>
      <c r="AH304" s="9">
        <v>77</v>
      </c>
      <c r="AI304" s="9">
        <v>1</v>
      </c>
      <c r="AP304" s="12">
        <v>1</v>
      </c>
      <c r="AV304" s="12">
        <v>2</v>
      </c>
      <c r="AW304" s="12">
        <v>1</v>
      </c>
      <c r="AZ304" s="12">
        <v>12</v>
      </c>
      <c r="BD304" s="12">
        <v>1</v>
      </c>
      <c r="CD304" s="14">
        <v>51</v>
      </c>
      <c r="CF304" s="14">
        <v>3</v>
      </c>
      <c r="CL304" s="14">
        <v>1</v>
      </c>
      <c r="CM304" s="14">
        <v>2</v>
      </c>
      <c r="CR304" s="14">
        <v>6</v>
      </c>
      <c r="CS304" s="14">
        <v>10</v>
      </c>
      <c r="CT304" s="15">
        <v>8</v>
      </c>
      <c r="DA304" s="14">
        <v>4</v>
      </c>
      <c r="DD304" s="14">
        <v>3</v>
      </c>
      <c r="DG304" s="14">
        <v>4</v>
      </c>
      <c r="FO304" s="37">
        <v>1</v>
      </c>
    </row>
    <row r="305" spans="1:173" x14ac:dyDescent="0.25">
      <c r="A305" s="6" t="str">
        <f t="shared" si="50"/>
        <v>MEN_L_1__09_2023</v>
      </c>
      <c r="B305" s="6" t="str">
        <f t="shared" si="51"/>
        <v>MEN_L_1__09</v>
      </c>
      <c r="C305" s="6" t="str">
        <f t="shared" si="56"/>
        <v>MEN_2023</v>
      </c>
      <c r="D305" s="27" t="s">
        <v>305</v>
      </c>
      <c r="E305" s="73">
        <v>45140</v>
      </c>
      <c r="F305" s="27">
        <v>2023</v>
      </c>
      <c r="G305" s="27" t="s">
        <v>291</v>
      </c>
      <c r="H305" s="27" t="s">
        <v>301</v>
      </c>
      <c r="I305" s="27">
        <v>9</v>
      </c>
      <c r="J305" s="27" t="s">
        <v>230</v>
      </c>
      <c r="K305" s="27">
        <v>1</v>
      </c>
      <c r="N305" s="27" t="s">
        <v>299</v>
      </c>
      <c r="O305" s="11">
        <f t="shared" si="53"/>
        <v>100</v>
      </c>
      <c r="P305" s="9">
        <v>5</v>
      </c>
      <c r="Q305" s="9">
        <v>3</v>
      </c>
      <c r="R305" s="9">
        <v>2</v>
      </c>
      <c r="S305" s="9">
        <v>8</v>
      </c>
      <c r="AB305" s="9">
        <v>3</v>
      </c>
      <c r="AC305" s="9">
        <v>2</v>
      </c>
      <c r="AE305" s="9">
        <v>8</v>
      </c>
      <c r="AH305" s="9">
        <v>66</v>
      </c>
      <c r="AI305" s="9">
        <v>3</v>
      </c>
      <c r="AP305" s="12">
        <v>4</v>
      </c>
      <c r="AT305" s="12">
        <v>5</v>
      </c>
      <c r="AW305" s="12">
        <v>3</v>
      </c>
      <c r="AZ305" s="12">
        <v>15</v>
      </c>
      <c r="BC305" s="12">
        <v>1</v>
      </c>
      <c r="CF305" s="14">
        <v>20</v>
      </c>
      <c r="CL305" s="14">
        <v>4</v>
      </c>
      <c r="CM305" s="14">
        <v>4</v>
      </c>
      <c r="CR305" s="14">
        <v>3</v>
      </c>
      <c r="CS305" s="14">
        <v>28</v>
      </c>
      <c r="DK305" s="14">
        <v>15</v>
      </c>
    </row>
    <row r="306" spans="1:173" x14ac:dyDescent="0.25">
      <c r="A306" s="6" t="str">
        <f t="shared" si="50"/>
        <v>MEN_L_2__01_2023</v>
      </c>
      <c r="B306" s="6" t="str">
        <f t="shared" si="51"/>
        <v>MEN_L_2__01</v>
      </c>
      <c r="C306" s="6" t="str">
        <f t="shared" si="56"/>
        <v>MEN_2023</v>
      </c>
      <c r="D306" s="7" t="s">
        <v>305</v>
      </c>
      <c r="E306" s="18">
        <v>45140</v>
      </c>
      <c r="F306" s="7">
        <v>2023</v>
      </c>
      <c r="G306" s="7" t="s">
        <v>291</v>
      </c>
      <c r="H306" s="7" t="s">
        <v>301</v>
      </c>
      <c r="I306" s="7">
        <v>1</v>
      </c>
      <c r="J306" s="7" t="s">
        <v>230</v>
      </c>
      <c r="K306" s="7">
        <v>2</v>
      </c>
      <c r="L306" s="7"/>
      <c r="M306" s="7"/>
      <c r="N306" s="7" t="s">
        <v>299</v>
      </c>
      <c r="O306" s="11">
        <f t="shared" si="53"/>
        <v>100.1</v>
      </c>
      <c r="P306" s="9">
        <v>3</v>
      </c>
      <c r="Q306" s="9">
        <v>3</v>
      </c>
      <c r="R306" s="9">
        <v>0.1</v>
      </c>
      <c r="S306" s="9">
        <v>71</v>
      </c>
      <c r="AB306" s="9">
        <v>3</v>
      </c>
      <c r="AC306" s="9">
        <v>2</v>
      </c>
      <c r="AE306" s="9">
        <v>3</v>
      </c>
      <c r="AF306" s="9">
        <v>1</v>
      </c>
      <c r="AH306" s="9">
        <v>14</v>
      </c>
      <c r="AQ306" s="12">
        <v>1</v>
      </c>
      <c r="AZ306" s="12">
        <v>27</v>
      </c>
      <c r="CD306" s="14">
        <v>37</v>
      </c>
      <c r="CF306" s="14">
        <v>10</v>
      </c>
      <c r="CM306" s="14">
        <v>3</v>
      </c>
      <c r="CR306" s="14">
        <v>9</v>
      </c>
      <c r="CT306" s="15">
        <v>1</v>
      </c>
      <c r="CZ306" s="14">
        <v>9</v>
      </c>
      <c r="DB306" s="14">
        <v>10</v>
      </c>
      <c r="DD306" s="14">
        <v>5</v>
      </c>
    </row>
    <row r="307" spans="1:173" x14ac:dyDescent="0.25">
      <c r="A307" s="6" t="str">
        <f t="shared" si="50"/>
        <v>MEN_L_2__03_2023</v>
      </c>
      <c r="B307" s="6" t="str">
        <f t="shared" si="51"/>
        <v>MEN_L_2__03</v>
      </c>
      <c r="C307" s="6" t="str">
        <f t="shared" si="56"/>
        <v>MEN_2023</v>
      </c>
      <c r="D307" s="7" t="s">
        <v>305</v>
      </c>
      <c r="E307" s="18">
        <v>45140</v>
      </c>
      <c r="F307" s="7">
        <v>2023</v>
      </c>
      <c r="G307" s="7" t="s">
        <v>291</v>
      </c>
      <c r="H307" s="7" t="s">
        <v>301</v>
      </c>
      <c r="I307" s="7">
        <v>3</v>
      </c>
      <c r="J307" s="7" t="s">
        <v>230</v>
      </c>
      <c r="K307" s="7">
        <v>2</v>
      </c>
      <c r="L307" s="7"/>
      <c r="M307" s="7"/>
      <c r="N307" s="7" t="s">
        <v>299</v>
      </c>
      <c r="O307" s="11">
        <f t="shared" si="53"/>
        <v>100.1</v>
      </c>
      <c r="P307" s="9">
        <v>55</v>
      </c>
      <c r="R307" s="9">
        <v>2</v>
      </c>
      <c r="S307" s="9">
        <v>16</v>
      </c>
      <c r="U307" s="9">
        <v>0.1</v>
      </c>
      <c r="AC307" s="9">
        <v>1</v>
      </c>
      <c r="AE307" s="9">
        <v>6</v>
      </c>
      <c r="AF307" s="9">
        <v>4</v>
      </c>
      <c r="AH307" s="9">
        <v>12</v>
      </c>
      <c r="AI307" s="9">
        <v>4</v>
      </c>
      <c r="AT307" s="12">
        <v>4</v>
      </c>
      <c r="AV307" s="12">
        <v>3</v>
      </c>
      <c r="AW307" s="12">
        <v>1</v>
      </c>
      <c r="AZ307" s="12">
        <v>5</v>
      </c>
      <c r="BC307" s="12">
        <v>1</v>
      </c>
      <c r="CD307" s="14">
        <v>45</v>
      </c>
      <c r="CF307" s="14">
        <v>26</v>
      </c>
      <c r="CL307" s="14">
        <v>4</v>
      </c>
      <c r="CM307" s="14">
        <v>7</v>
      </c>
      <c r="CN307" s="14">
        <v>1</v>
      </c>
      <c r="CR307" s="14">
        <v>12</v>
      </c>
      <c r="CZ307" s="14">
        <v>8</v>
      </c>
      <c r="DA307" s="14">
        <v>2</v>
      </c>
      <c r="DE307" s="14">
        <v>2</v>
      </c>
      <c r="FO307" s="37">
        <v>1</v>
      </c>
    </row>
    <row r="308" spans="1:173" x14ac:dyDescent="0.25">
      <c r="A308" s="6" t="str">
        <f t="shared" si="50"/>
        <v>MEN_L_2__05_2023</v>
      </c>
      <c r="B308" s="6" t="str">
        <f t="shared" si="51"/>
        <v>MEN_L_2__05</v>
      </c>
      <c r="C308" s="6" t="str">
        <f t="shared" si="56"/>
        <v>MEN_2023</v>
      </c>
      <c r="D308" s="7" t="s">
        <v>305</v>
      </c>
      <c r="E308" s="18">
        <v>45140</v>
      </c>
      <c r="F308" s="7">
        <v>2023</v>
      </c>
      <c r="G308" s="7" t="s">
        <v>291</v>
      </c>
      <c r="H308" s="7" t="s">
        <v>301</v>
      </c>
      <c r="I308" s="7">
        <v>5</v>
      </c>
      <c r="J308" s="7" t="s">
        <v>230</v>
      </c>
      <c r="K308" s="7">
        <v>2</v>
      </c>
      <c r="L308" s="7"/>
      <c r="M308" s="7"/>
      <c r="N308" s="7" t="s">
        <v>299</v>
      </c>
      <c r="O308" s="11">
        <f t="shared" si="53"/>
        <v>100.1</v>
      </c>
      <c r="Q308" s="9">
        <v>16</v>
      </c>
      <c r="S308" s="9">
        <v>1</v>
      </c>
      <c r="U308" s="9">
        <v>0.1</v>
      </c>
      <c r="AD308" s="9">
        <v>64</v>
      </c>
      <c r="AE308" s="9">
        <v>4</v>
      </c>
      <c r="AF308" s="9">
        <v>6</v>
      </c>
      <c r="AH308" s="9">
        <v>8</v>
      </c>
      <c r="AI308" s="9">
        <v>1</v>
      </c>
      <c r="AP308" s="12">
        <v>1</v>
      </c>
      <c r="AV308" s="12">
        <v>1</v>
      </c>
      <c r="AY308" s="12">
        <v>4</v>
      </c>
      <c r="AZ308" s="12">
        <v>5</v>
      </c>
      <c r="CD308" s="14">
        <v>33</v>
      </c>
      <c r="CF308" s="14">
        <v>23</v>
      </c>
      <c r="CK308" s="14">
        <v>32</v>
      </c>
      <c r="CM308" s="14">
        <v>2</v>
      </c>
      <c r="CR308" s="14">
        <v>11</v>
      </c>
      <c r="CW308" s="14">
        <v>0.1</v>
      </c>
      <c r="CZ308" s="14">
        <v>6</v>
      </c>
    </row>
    <row r="309" spans="1:173" x14ac:dyDescent="0.25">
      <c r="A309" s="6" t="str">
        <f t="shared" si="50"/>
        <v>MEN_L_2__07_2023</v>
      </c>
      <c r="B309" s="6" t="str">
        <f t="shared" si="51"/>
        <v>MEN_L_2__07</v>
      </c>
      <c r="C309" s="6" t="str">
        <f t="shared" si="56"/>
        <v>MEN_2023</v>
      </c>
      <c r="D309" s="7" t="s">
        <v>305</v>
      </c>
      <c r="E309" s="18">
        <v>45140</v>
      </c>
      <c r="F309" s="7">
        <v>2023</v>
      </c>
      <c r="G309" s="7" t="s">
        <v>291</v>
      </c>
      <c r="H309" s="7" t="s">
        <v>301</v>
      </c>
      <c r="I309" s="7">
        <v>7</v>
      </c>
      <c r="J309" s="7" t="s">
        <v>230</v>
      </c>
      <c r="K309" s="7">
        <v>2</v>
      </c>
      <c r="L309" s="7"/>
      <c r="M309" s="7"/>
      <c r="N309" s="7" t="s">
        <v>299</v>
      </c>
      <c r="O309" s="11">
        <f t="shared" si="53"/>
        <v>100</v>
      </c>
      <c r="R309" s="9">
        <v>3</v>
      </c>
      <c r="S309" s="9">
        <v>11</v>
      </c>
      <c r="AC309" s="9">
        <v>2</v>
      </c>
      <c r="AE309" s="9">
        <v>6</v>
      </c>
      <c r="AF309" s="9">
        <v>4</v>
      </c>
      <c r="AH309" s="9">
        <v>72</v>
      </c>
      <c r="AI309" s="9">
        <v>2</v>
      </c>
      <c r="AT309" s="12">
        <v>2</v>
      </c>
      <c r="AV309" s="12">
        <v>3</v>
      </c>
      <c r="AW309" s="12">
        <v>1</v>
      </c>
      <c r="AZ309" s="12">
        <v>8</v>
      </c>
      <c r="CD309" s="14">
        <v>26</v>
      </c>
      <c r="CF309" s="14">
        <v>33</v>
      </c>
      <c r="CL309" s="14">
        <v>2</v>
      </c>
      <c r="CM309" s="14">
        <v>3</v>
      </c>
      <c r="CR309" s="14">
        <v>6</v>
      </c>
      <c r="CS309" s="14">
        <v>6</v>
      </c>
      <c r="CZ309" s="14">
        <v>3</v>
      </c>
      <c r="DA309" s="14">
        <v>2</v>
      </c>
    </row>
    <row r="310" spans="1:173" x14ac:dyDescent="0.25">
      <c r="A310" s="6" t="str">
        <f t="shared" si="50"/>
        <v>MEN_L_2__09_2023</v>
      </c>
      <c r="B310" s="6" t="str">
        <f t="shared" si="51"/>
        <v>MEN_L_2__09</v>
      </c>
      <c r="C310" s="6" t="str">
        <f t="shared" si="56"/>
        <v>MEN_2023</v>
      </c>
      <c r="D310" s="7" t="s">
        <v>305</v>
      </c>
      <c r="E310" s="18">
        <v>45140</v>
      </c>
      <c r="F310" s="7">
        <v>2023</v>
      </c>
      <c r="G310" s="7" t="s">
        <v>291</v>
      </c>
      <c r="H310" s="7" t="s">
        <v>301</v>
      </c>
      <c r="I310" s="7">
        <v>9</v>
      </c>
      <c r="J310" s="7" t="s">
        <v>230</v>
      </c>
      <c r="K310" s="7">
        <v>2</v>
      </c>
      <c r="L310" s="7"/>
      <c r="M310" s="7"/>
      <c r="N310" s="7" t="s">
        <v>299</v>
      </c>
      <c r="O310" s="11">
        <f t="shared" si="53"/>
        <v>100</v>
      </c>
      <c r="P310" s="9">
        <v>51</v>
      </c>
      <c r="R310" s="9">
        <v>2</v>
      </c>
      <c r="S310" s="9">
        <v>23</v>
      </c>
      <c r="AE310" s="9">
        <v>6</v>
      </c>
      <c r="AH310" s="9">
        <v>7</v>
      </c>
      <c r="AI310" s="9">
        <v>11</v>
      </c>
      <c r="AQ310" s="12">
        <v>1</v>
      </c>
      <c r="AT310" s="12">
        <v>2</v>
      </c>
      <c r="AV310" s="12">
        <v>3</v>
      </c>
      <c r="AX310" s="12">
        <v>1</v>
      </c>
      <c r="AY310" s="12">
        <v>5</v>
      </c>
      <c r="AZ310" s="12">
        <v>1</v>
      </c>
      <c r="BB310" s="12">
        <v>1</v>
      </c>
      <c r="CD310" s="14">
        <v>87</v>
      </c>
      <c r="CF310" s="14">
        <v>34</v>
      </c>
      <c r="CL310" s="14">
        <v>9</v>
      </c>
      <c r="CR310" s="14">
        <v>1</v>
      </c>
      <c r="DA310" s="14">
        <v>1</v>
      </c>
      <c r="DB310" s="14">
        <v>10</v>
      </c>
      <c r="FO310" s="37">
        <v>1</v>
      </c>
      <c r="FQ310" s="37">
        <v>8</v>
      </c>
    </row>
    <row r="311" spans="1:173" x14ac:dyDescent="0.25">
      <c r="A311" s="6" t="str">
        <f t="shared" si="50"/>
        <v>MEN_L_3__01_2023</v>
      </c>
      <c r="B311" s="6" t="str">
        <f t="shared" si="51"/>
        <v>MEN_L_3__01</v>
      </c>
      <c r="C311" s="6" t="str">
        <f t="shared" si="56"/>
        <v>MEN_2023</v>
      </c>
      <c r="D311" s="7" t="s">
        <v>305</v>
      </c>
      <c r="E311" s="18">
        <v>45140</v>
      </c>
      <c r="F311" s="7">
        <v>2023</v>
      </c>
      <c r="G311" s="7" t="s">
        <v>291</v>
      </c>
      <c r="H311" s="7" t="s">
        <v>301</v>
      </c>
      <c r="I311" s="7">
        <v>1</v>
      </c>
      <c r="J311" s="7" t="s">
        <v>230</v>
      </c>
      <c r="K311" s="7">
        <v>3</v>
      </c>
      <c r="L311" s="7"/>
      <c r="M311" s="7"/>
      <c r="N311" s="7" t="s">
        <v>299</v>
      </c>
      <c r="O311" s="11">
        <f t="shared" si="53"/>
        <v>100.1</v>
      </c>
      <c r="P311" s="9">
        <v>71</v>
      </c>
      <c r="R311" s="9">
        <v>3</v>
      </c>
      <c r="S311" s="9">
        <v>12</v>
      </c>
      <c r="T311" s="9">
        <v>0.1</v>
      </c>
      <c r="AF311" s="9">
        <v>10</v>
      </c>
      <c r="AH311" s="9">
        <v>4</v>
      </c>
      <c r="AW311" s="12">
        <v>1</v>
      </c>
      <c r="AY311" s="12">
        <v>1</v>
      </c>
      <c r="AZ311" s="12">
        <v>14</v>
      </c>
      <c r="CE311" s="14">
        <v>21</v>
      </c>
      <c r="CZ311" s="14">
        <v>1</v>
      </c>
      <c r="DA311" s="14">
        <v>6</v>
      </c>
      <c r="DE311" s="14">
        <v>2</v>
      </c>
      <c r="DH311" s="14">
        <v>2</v>
      </c>
    </row>
    <row r="312" spans="1:173" x14ac:dyDescent="0.25">
      <c r="A312" s="6" t="str">
        <f t="shared" si="50"/>
        <v>MEN_L_3__03_2023</v>
      </c>
      <c r="B312" s="6" t="str">
        <f t="shared" si="51"/>
        <v>MEN_L_3__03</v>
      </c>
      <c r="C312" s="6" t="str">
        <f t="shared" si="56"/>
        <v>MEN_2023</v>
      </c>
      <c r="D312" s="7" t="s">
        <v>305</v>
      </c>
      <c r="E312" s="18">
        <v>45140</v>
      </c>
      <c r="F312" s="7">
        <v>2023</v>
      </c>
      <c r="G312" s="7" t="s">
        <v>291</v>
      </c>
      <c r="H312" s="7" t="s">
        <v>301</v>
      </c>
      <c r="I312" s="7">
        <v>3</v>
      </c>
      <c r="J312" s="7" t="s">
        <v>230</v>
      </c>
      <c r="K312" s="7">
        <v>3</v>
      </c>
      <c r="L312" s="7"/>
      <c r="M312" s="7"/>
      <c r="N312" s="7" t="s">
        <v>299</v>
      </c>
      <c r="O312" s="11">
        <f t="shared" si="53"/>
        <v>100.1</v>
      </c>
      <c r="R312" s="9">
        <v>5</v>
      </c>
      <c r="S312" s="9">
        <v>4</v>
      </c>
      <c r="V312" s="9">
        <v>2</v>
      </c>
      <c r="W312" s="9">
        <v>3</v>
      </c>
      <c r="AH312" s="9">
        <v>86</v>
      </c>
      <c r="AI312" s="9">
        <v>0.1</v>
      </c>
      <c r="AT312" s="12">
        <v>4</v>
      </c>
      <c r="AW312" s="12">
        <v>2</v>
      </c>
      <c r="CM312" s="14">
        <v>0.1</v>
      </c>
      <c r="CN312" s="14">
        <v>2</v>
      </c>
      <c r="CR312" s="14">
        <v>2</v>
      </c>
      <c r="CS312" s="14">
        <v>3</v>
      </c>
      <c r="CW312" s="14">
        <v>18</v>
      </c>
      <c r="CZ312" s="14">
        <v>43</v>
      </c>
      <c r="DT312" s="15">
        <v>10</v>
      </c>
    </row>
    <row r="313" spans="1:173" x14ac:dyDescent="0.25">
      <c r="A313" s="6" t="str">
        <f t="shared" si="50"/>
        <v>MEN_L_3__05_2023</v>
      </c>
      <c r="B313" s="6" t="str">
        <f t="shared" si="51"/>
        <v>MEN_L_3__05</v>
      </c>
      <c r="C313" s="6" t="str">
        <f t="shared" si="56"/>
        <v>MEN_2023</v>
      </c>
      <c r="D313" s="7" t="s">
        <v>305</v>
      </c>
      <c r="E313" s="18">
        <v>45140</v>
      </c>
      <c r="F313" s="7">
        <v>2023</v>
      </c>
      <c r="G313" s="7" t="s">
        <v>291</v>
      </c>
      <c r="H313" s="7" t="s">
        <v>301</v>
      </c>
      <c r="I313" s="7">
        <v>5</v>
      </c>
      <c r="J313" s="7" t="s">
        <v>230</v>
      </c>
      <c r="K313" s="7">
        <v>3</v>
      </c>
      <c r="L313" s="7"/>
      <c r="M313" s="7"/>
      <c r="N313" s="7" t="s">
        <v>299</v>
      </c>
      <c r="O313" s="11">
        <f t="shared" si="53"/>
        <v>100</v>
      </c>
      <c r="P313" s="9">
        <v>70</v>
      </c>
      <c r="Q313" s="9">
        <v>7</v>
      </c>
      <c r="S313" s="9">
        <v>6</v>
      </c>
      <c r="T313" s="9">
        <v>2</v>
      </c>
      <c r="AF313" s="9">
        <v>7</v>
      </c>
      <c r="AH313" s="9">
        <v>8</v>
      </c>
      <c r="AQ313" s="12">
        <v>1</v>
      </c>
      <c r="AX313" s="12">
        <v>1</v>
      </c>
      <c r="AZ313" s="12">
        <v>10</v>
      </c>
      <c r="CE313" s="14">
        <v>13</v>
      </c>
      <c r="CG313" s="14">
        <v>5</v>
      </c>
      <c r="CZ313" s="14">
        <v>2</v>
      </c>
      <c r="DA313" s="14">
        <v>15</v>
      </c>
      <c r="DH313" s="14">
        <v>3</v>
      </c>
    </row>
    <row r="314" spans="1:173" x14ac:dyDescent="0.25">
      <c r="A314" s="6" t="str">
        <f t="shared" si="50"/>
        <v>MEN_L_3__07_2023</v>
      </c>
      <c r="B314" s="6" t="str">
        <f t="shared" si="51"/>
        <v>MEN_L_3__07</v>
      </c>
      <c r="C314" s="6" t="str">
        <f t="shared" si="56"/>
        <v>MEN_2023</v>
      </c>
      <c r="D314" s="7" t="s">
        <v>305</v>
      </c>
      <c r="E314" s="18">
        <v>45140</v>
      </c>
      <c r="F314" s="7">
        <v>2023</v>
      </c>
      <c r="G314" s="7" t="s">
        <v>291</v>
      </c>
      <c r="H314" s="7" t="s">
        <v>301</v>
      </c>
      <c r="I314" s="7">
        <v>7</v>
      </c>
      <c r="J314" s="7" t="s">
        <v>230</v>
      </c>
      <c r="K314" s="7">
        <v>3</v>
      </c>
      <c r="L314" s="7"/>
      <c r="M314" s="7"/>
      <c r="N314" s="7" t="s">
        <v>299</v>
      </c>
      <c r="O314" s="11">
        <f t="shared" si="53"/>
        <v>100</v>
      </c>
      <c r="P314" s="9">
        <v>20</v>
      </c>
      <c r="R314" s="9">
        <v>5</v>
      </c>
      <c r="S314" s="9">
        <v>3</v>
      </c>
      <c r="V314" s="9">
        <v>4</v>
      </c>
      <c r="W314" s="9">
        <v>6</v>
      </c>
      <c r="AH314" s="9">
        <v>62</v>
      </c>
      <c r="AT314" s="12">
        <v>6</v>
      </c>
      <c r="BA314" s="12">
        <v>1</v>
      </c>
      <c r="CD314" s="14">
        <v>4</v>
      </c>
      <c r="CX314" s="14">
        <v>35</v>
      </c>
      <c r="CZ314" s="14">
        <v>6</v>
      </c>
      <c r="DT314" s="15">
        <v>11</v>
      </c>
    </row>
    <row r="315" spans="1:173" x14ac:dyDescent="0.25">
      <c r="A315" s="6" t="str">
        <f t="shared" si="50"/>
        <v>MEN_L_3__09_2023</v>
      </c>
      <c r="B315" s="6" t="str">
        <f t="shared" si="51"/>
        <v>MEN_L_3__09</v>
      </c>
      <c r="C315" s="6" t="str">
        <f t="shared" si="56"/>
        <v>MEN_2023</v>
      </c>
      <c r="D315" s="7" t="s">
        <v>305</v>
      </c>
      <c r="E315" s="18">
        <v>45140</v>
      </c>
      <c r="F315" s="7">
        <v>2023</v>
      </c>
      <c r="G315" s="7" t="s">
        <v>291</v>
      </c>
      <c r="H315" s="7" t="s">
        <v>301</v>
      </c>
      <c r="I315" s="7">
        <v>9</v>
      </c>
      <c r="J315" s="7" t="s">
        <v>230</v>
      </c>
      <c r="K315" s="7">
        <v>3</v>
      </c>
      <c r="L315" s="7"/>
      <c r="M315" s="7"/>
      <c r="N315" s="7" t="s">
        <v>299</v>
      </c>
      <c r="O315" s="11">
        <f t="shared" si="53"/>
        <v>100.2</v>
      </c>
      <c r="P315" s="9">
        <v>12</v>
      </c>
      <c r="Q315" s="9">
        <v>1</v>
      </c>
      <c r="R315" s="9">
        <v>4</v>
      </c>
      <c r="S315" s="9">
        <v>0.1</v>
      </c>
      <c r="U315" s="9">
        <v>0.1</v>
      </c>
      <c r="W315" s="9">
        <v>2</v>
      </c>
      <c r="AH315" s="9">
        <v>81</v>
      </c>
      <c r="AZ315" s="12">
        <v>2</v>
      </c>
      <c r="BC315" s="12">
        <v>1</v>
      </c>
      <c r="CN315" s="14">
        <v>4</v>
      </c>
      <c r="CW315" s="14">
        <v>5</v>
      </c>
      <c r="CX315" s="14">
        <v>12</v>
      </c>
      <c r="CZ315" s="14">
        <v>3</v>
      </c>
      <c r="DT315" s="15">
        <v>2</v>
      </c>
    </row>
    <row r="316" spans="1:173" x14ac:dyDescent="0.25">
      <c r="A316" s="6" t="str">
        <f t="shared" si="50"/>
        <v>MEN_M___01_2023</v>
      </c>
      <c r="B316" s="6" t="str">
        <f t="shared" si="51"/>
        <v>MEN_M___01</v>
      </c>
      <c r="C316" s="6" t="str">
        <f t="shared" si="56"/>
        <v>MEN_2023</v>
      </c>
      <c r="D316" s="7" t="s">
        <v>305</v>
      </c>
      <c r="E316" s="18">
        <v>45140</v>
      </c>
      <c r="F316" s="7">
        <v>2023</v>
      </c>
      <c r="G316" s="7" t="s">
        <v>291</v>
      </c>
      <c r="H316" s="7" t="s">
        <v>301</v>
      </c>
      <c r="I316" s="7">
        <v>1</v>
      </c>
      <c r="J316" s="7" t="s">
        <v>231</v>
      </c>
      <c r="K316" s="7"/>
      <c r="L316" s="7"/>
      <c r="M316" s="7"/>
      <c r="N316" s="7" t="s">
        <v>299</v>
      </c>
      <c r="O316" s="11">
        <f t="shared" si="53"/>
        <v>100</v>
      </c>
      <c r="Z316" s="9">
        <v>100</v>
      </c>
      <c r="AS316" s="12">
        <v>1</v>
      </c>
      <c r="AT316" s="12">
        <v>3</v>
      </c>
      <c r="DB316" s="14">
        <v>28</v>
      </c>
      <c r="DI316" s="14">
        <v>1</v>
      </c>
      <c r="EX316" s="16">
        <v>1</v>
      </c>
      <c r="EY316" s="16">
        <v>5</v>
      </c>
      <c r="EZ316" s="16">
        <v>2</v>
      </c>
      <c r="FJ316" s="16">
        <v>1</v>
      </c>
    </row>
    <row r="317" spans="1:173" x14ac:dyDescent="0.25">
      <c r="A317" s="6" t="str">
        <f t="shared" si="50"/>
        <v>MEN_M___02_2023</v>
      </c>
      <c r="B317" s="6" t="str">
        <f t="shared" si="51"/>
        <v>MEN_M___02</v>
      </c>
      <c r="C317" s="6" t="str">
        <f t="shared" si="56"/>
        <v>MEN_2023</v>
      </c>
      <c r="D317" s="7" t="s">
        <v>305</v>
      </c>
      <c r="E317" s="18">
        <v>45140</v>
      </c>
      <c r="F317" s="7">
        <v>2023</v>
      </c>
      <c r="G317" s="7" t="s">
        <v>291</v>
      </c>
      <c r="H317" s="7" t="s">
        <v>301</v>
      </c>
      <c r="I317" s="7">
        <v>2</v>
      </c>
      <c r="J317" s="7" t="s">
        <v>231</v>
      </c>
      <c r="K317" s="7"/>
      <c r="L317" s="7"/>
      <c r="M317" s="7"/>
      <c r="N317" s="7" t="s">
        <v>299</v>
      </c>
      <c r="O317" s="11">
        <f t="shared" si="53"/>
        <v>100</v>
      </c>
      <c r="X317" s="9">
        <v>2</v>
      </c>
      <c r="Z317" s="9">
        <v>98</v>
      </c>
      <c r="AR317" s="12">
        <v>1</v>
      </c>
      <c r="AS317" s="12">
        <v>1</v>
      </c>
      <c r="AT317" s="12">
        <v>15</v>
      </c>
      <c r="DI317" s="14">
        <v>3</v>
      </c>
      <c r="EX317" s="16">
        <v>2</v>
      </c>
      <c r="EY317" s="16">
        <v>4</v>
      </c>
      <c r="EZ317" s="16">
        <v>2</v>
      </c>
      <c r="FJ317" s="16">
        <v>3</v>
      </c>
    </row>
    <row r="318" spans="1:173" x14ac:dyDescent="0.25">
      <c r="A318" s="6" t="str">
        <f t="shared" si="50"/>
        <v>MEN_M___03_2023</v>
      </c>
      <c r="B318" s="6" t="str">
        <f t="shared" si="51"/>
        <v>MEN_M___03</v>
      </c>
      <c r="C318" s="6" t="str">
        <f t="shared" si="56"/>
        <v>MEN_2023</v>
      </c>
      <c r="D318" s="7" t="s">
        <v>305</v>
      </c>
      <c r="E318" s="18">
        <v>45140</v>
      </c>
      <c r="F318" s="7">
        <v>2023</v>
      </c>
      <c r="G318" s="7" t="s">
        <v>291</v>
      </c>
      <c r="H318" s="7" t="s">
        <v>301</v>
      </c>
      <c r="I318" s="7">
        <v>3</v>
      </c>
      <c r="J318" s="7" t="s">
        <v>231</v>
      </c>
      <c r="K318" s="7"/>
      <c r="L318" s="7"/>
      <c r="M318" s="7"/>
      <c r="N318" s="7" t="s">
        <v>299</v>
      </c>
      <c r="O318" s="11">
        <f t="shared" si="53"/>
        <v>100</v>
      </c>
      <c r="P318" s="9">
        <v>2</v>
      </c>
      <c r="U318" s="9">
        <v>1</v>
      </c>
      <c r="Z318" s="9">
        <v>97</v>
      </c>
      <c r="AS318" s="12">
        <v>3</v>
      </c>
      <c r="AT318" s="12">
        <v>7</v>
      </c>
      <c r="EX318" s="16">
        <v>2</v>
      </c>
      <c r="EY318" s="16">
        <v>3</v>
      </c>
      <c r="EZ318" s="16">
        <v>0.1</v>
      </c>
      <c r="FH318" s="16">
        <v>1</v>
      </c>
      <c r="FK318" s="16">
        <v>1</v>
      </c>
    </row>
    <row r="319" spans="1:173" x14ac:dyDescent="0.25">
      <c r="A319" s="6" t="str">
        <f t="shared" si="50"/>
        <v>MEN_M___04_2023</v>
      </c>
      <c r="B319" s="6" t="str">
        <f t="shared" si="51"/>
        <v>MEN_M___04</v>
      </c>
      <c r="C319" s="6" t="str">
        <f t="shared" si="56"/>
        <v>MEN_2023</v>
      </c>
      <c r="D319" s="7" t="s">
        <v>305</v>
      </c>
      <c r="E319" s="18">
        <v>45140</v>
      </c>
      <c r="F319" s="7">
        <v>2023</v>
      </c>
      <c r="G319" s="7" t="s">
        <v>291</v>
      </c>
      <c r="H319" s="7" t="s">
        <v>301</v>
      </c>
      <c r="I319" s="7">
        <v>4</v>
      </c>
      <c r="J319" s="7" t="s">
        <v>231</v>
      </c>
      <c r="K319" s="7"/>
      <c r="L319" s="7"/>
      <c r="M319" s="7"/>
      <c r="N319" s="7" t="s">
        <v>299</v>
      </c>
      <c r="O319" s="11">
        <f t="shared" si="53"/>
        <v>100</v>
      </c>
      <c r="X319" s="9">
        <v>1</v>
      </c>
      <c r="Z319" s="9">
        <v>99</v>
      </c>
      <c r="AP319" s="12">
        <v>1</v>
      </c>
      <c r="AT319" s="12">
        <v>37</v>
      </c>
      <c r="EX319" s="16">
        <v>4</v>
      </c>
      <c r="EY319" s="16">
        <v>1</v>
      </c>
      <c r="EZ319" s="16">
        <v>1</v>
      </c>
      <c r="FH319" s="16">
        <v>1</v>
      </c>
      <c r="FK319" s="16">
        <v>1</v>
      </c>
    </row>
    <row r="320" spans="1:173" x14ac:dyDescent="0.25">
      <c r="A320" s="6" t="str">
        <f t="shared" si="50"/>
        <v>MEN_M___05_2023</v>
      </c>
      <c r="B320" s="6" t="str">
        <f t="shared" si="51"/>
        <v>MEN_M___05</v>
      </c>
      <c r="C320" s="6" t="str">
        <f t="shared" si="56"/>
        <v>MEN_2023</v>
      </c>
      <c r="D320" s="7" t="s">
        <v>305</v>
      </c>
      <c r="E320" s="18">
        <v>45140</v>
      </c>
      <c r="F320" s="7">
        <v>2023</v>
      </c>
      <c r="G320" s="7" t="s">
        <v>291</v>
      </c>
      <c r="H320" s="7" t="s">
        <v>301</v>
      </c>
      <c r="I320" s="7">
        <v>5</v>
      </c>
      <c r="J320" s="7" t="s">
        <v>231</v>
      </c>
      <c r="K320" s="7"/>
      <c r="L320" s="7"/>
      <c r="M320" s="7"/>
      <c r="N320" s="7" t="s">
        <v>299</v>
      </c>
      <c r="O320" s="11">
        <f t="shared" si="53"/>
        <v>100</v>
      </c>
      <c r="X320" s="9">
        <v>4</v>
      </c>
      <c r="Z320" s="9">
        <v>96</v>
      </c>
      <c r="AS320" s="12">
        <v>2</v>
      </c>
      <c r="AT320" s="12">
        <v>14</v>
      </c>
      <c r="AZ320" s="12">
        <v>1</v>
      </c>
      <c r="EX320" s="16">
        <v>1</v>
      </c>
      <c r="EY320" s="16">
        <v>2</v>
      </c>
      <c r="FC320" s="16">
        <v>1</v>
      </c>
    </row>
    <row r="321" spans="1:167" x14ac:dyDescent="0.25">
      <c r="A321" s="6" t="str">
        <f t="shared" si="50"/>
        <v>MEN_M___06_2023</v>
      </c>
      <c r="B321" s="6" t="str">
        <f t="shared" si="51"/>
        <v>MEN_M___06</v>
      </c>
      <c r="C321" s="6" t="str">
        <f t="shared" si="56"/>
        <v>MEN_2023</v>
      </c>
      <c r="D321" s="7" t="s">
        <v>305</v>
      </c>
      <c r="E321" s="18">
        <v>45140</v>
      </c>
      <c r="F321" s="7">
        <v>2023</v>
      </c>
      <c r="G321" s="7" t="s">
        <v>291</v>
      </c>
      <c r="H321" s="7" t="s">
        <v>301</v>
      </c>
      <c r="I321" s="7">
        <v>6</v>
      </c>
      <c r="J321" s="7" t="s">
        <v>231</v>
      </c>
      <c r="K321" s="7"/>
      <c r="L321" s="7"/>
      <c r="M321" s="7"/>
      <c r="N321" s="7" t="s">
        <v>299</v>
      </c>
      <c r="O321" s="11">
        <f t="shared" si="53"/>
        <v>100.1</v>
      </c>
      <c r="P321" s="9">
        <v>9</v>
      </c>
      <c r="R321" s="9">
        <v>1</v>
      </c>
      <c r="U321" s="9">
        <v>2</v>
      </c>
      <c r="W321" s="9">
        <v>0.1</v>
      </c>
      <c r="X321" s="9">
        <v>3</v>
      </c>
      <c r="Y321" s="9">
        <v>2</v>
      </c>
      <c r="Z321" s="9">
        <v>83</v>
      </c>
      <c r="AR321" s="12">
        <v>1</v>
      </c>
      <c r="AS321" s="12">
        <v>1</v>
      </c>
      <c r="AT321" s="12">
        <v>25</v>
      </c>
      <c r="EX321" s="16">
        <v>1</v>
      </c>
    </row>
    <row r="322" spans="1:167" x14ac:dyDescent="0.25">
      <c r="A322" s="6" t="str">
        <f t="shared" si="50"/>
        <v>MEN_M___07_2023</v>
      </c>
      <c r="B322" s="6" t="str">
        <f t="shared" si="51"/>
        <v>MEN_M___07</v>
      </c>
      <c r="C322" s="6" t="str">
        <f t="shared" si="56"/>
        <v>MEN_2023</v>
      </c>
      <c r="D322" s="7" t="s">
        <v>305</v>
      </c>
      <c r="E322" s="18">
        <v>45140</v>
      </c>
      <c r="F322" s="7">
        <v>2023</v>
      </c>
      <c r="G322" s="7" t="s">
        <v>291</v>
      </c>
      <c r="H322" s="7" t="s">
        <v>301</v>
      </c>
      <c r="I322" s="7">
        <v>7</v>
      </c>
      <c r="J322" s="7" t="s">
        <v>231</v>
      </c>
      <c r="K322" s="7"/>
      <c r="L322" s="7"/>
      <c r="M322" s="7"/>
      <c r="N322" s="7" t="s">
        <v>299</v>
      </c>
      <c r="O322" s="11">
        <f t="shared" si="53"/>
        <v>100</v>
      </c>
      <c r="P322" s="9">
        <v>9</v>
      </c>
      <c r="R322" s="9">
        <v>3</v>
      </c>
      <c r="S322" s="9">
        <v>3</v>
      </c>
      <c r="U322" s="9">
        <v>1</v>
      </c>
      <c r="W322" s="9">
        <v>2</v>
      </c>
      <c r="X322" s="9">
        <v>2</v>
      </c>
      <c r="Z322" s="9">
        <v>78</v>
      </c>
      <c r="AC322" s="9">
        <v>2</v>
      </c>
      <c r="AS322" s="12">
        <v>2</v>
      </c>
      <c r="AT322" s="12">
        <v>29</v>
      </c>
      <c r="AX322" s="12">
        <v>2</v>
      </c>
      <c r="BC322" s="12">
        <v>1</v>
      </c>
      <c r="EX322" s="16">
        <v>1</v>
      </c>
      <c r="EY322" s="16">
        <v>1</v>
      </c>
      <c r="EZ322" s="16">
        <v>0.1</v>
      </c>
    </row>
    <row r="323" spans="1:167" x14ac:dyDescent="0.25">
      <c r="A323" s="6" t="str">
        <f t="shared" si="50"/>
        <v>MEN_M___08_2023</v>
      </c>
      <c r="B323" s="6" t="str">
        <f t="shared" si="51"/>
        <v>MEN_M___08</v>
      </c>
      <c r="C323" s="6" t="str">
        <f t="shared" si="56"/>
        <v>MEN_2023</v>
      </c>
      <c r="D323" s="7" t="s">
        <v>305</v>
      </c>
      <c r="E323" s="18">
        <v>45140</v>
      </c>
      <c r="F323" s="7">
        <v>2023</v>
      </c>
      <c r="G323" s="7" t="s">
        <v>291</v>
      </c>
      <c r="H323" s="7" t="s">
        <v>301</v>
      </c>
      <c r="I323" s="7">
        <v>8</v>
      </c>
      <c r="J323" s="7" t="s">
        <v>231</v>
      </c>
      <c r="K323" s="7"/>
      <c r="L323" s="7"/>
      <c r="M323" s="7"/>
      <c r="N323" s="7" t="s">
        <v>299</v>
      </c>
      <c r="O323" s="11">
        <f t="shared" si="53"/>
        <v>100</v>
      </c>
      <c r="P323" s="9">
        <v>3</v>
      </c>
      <c r="Y323" s="9">
        <v>2</v>
      </c>
      <c r="Z323" s="9">
        <v>92</v>
      </c>
      <c r="AB323" s="9">
        <v>1</v>
      </c>
      <c r="AC323" s="9">
        <v>2</v>
      </c>
      <c r="AS323" s="12">
        <v>14</v>
      </c>
      <c r="AT323" s="12">
        <v>8</v>
      </c>
      <c r="CE323" s="14">
        <v>7</v>
      </c>
      <c r="CU323" s="14">
        <v>3</v>
      </c>
      <c r="CZ323" s="14">
        <v>4</v>
      </c>
      <c r="DI323" s="14">
        <v>18</v>
      </c>
      <c r="DT323" s="15">
        <v>2</v>
      </c>
      <c r="EX323" s="16">
        <v>5</v>
      </c>
      <c r="EY323" s="16">
        <v>3</v>
      </c>
      <c r="EZ323" s="16">
        <v>2</v>
      </c>
      <c r="FJ323" s="16">
        <v>16</v>
      </c>
    </row>
    <row r="324" spans="1:167" x14ac:dyDescent="0.25">
      <c r="A324" s="6" t="str">
        <f t="shared" si="50"/>
        <v>MEN_M___09_2023</v>
      </c>
      <c r="B324" s="6" t="str">
        <f t="shared" si="51"/>
        <v>MEN_M___09</v>
      </c>
      <c r="C324" s="6" t="str">
        <f t="shared" si="56"/>
        <v>MEN_2023</v>
      </c>
      <c r="D324" s="7" t="s">
        <v>305</v>
      </c>
      <c r="E324" s="18">
        <v>45140</v>
      </c>
      <c r="F324" s="7">
        <v>2023</v>
      </c>
      <c r="G324" s="7" t="s">
        <v>291</v>
      </c>
      <c r="H324" s="7" t="s">
        <v>301</v>
      </c>
      <c r="I324" s="7">
        <v>9</v>
      </c>
      <c r="J324" s="7" t="s">
        <v>231</v>
      </c>
      <c r="K324" s="7"/>
      <c r="L324" s="7"/>
      <c r="M324" s="7"/>
      <c r="N324" s="7" t="s">
        <v>299</v>
      </c>
      <c r="O324" s="11">
        <f t="shared" si="53"/>
        <v>100</v>
      </c>
      <c r="P324" s="9">
        <v>47</v>
      </c>
      <c r="R324" s="9">
        <v>2</v>
      </c>
      <c r="U324" s="9">
        <v>2</v>
      </c>
      <c r="W324" s="9">
        <v>4</v>
      </c>
      <c r="Y324" s="9">
        <v>4</v>
      </c>
      <c r="Z324" s="9">
        <v>36</v>
      </c>
      <c r="AB324" s="9">
        <v>2</v>
      </c>
      <c r="AC324" s="9">
        <v>3</v>
      </c>
      <c r="AR324" s="12">
        <v>3</v>
      </c>
      <c r="AS324" s="12">
        <v>1</v>
      </c>
      <c r="AT324" s="12">
        <v>9</v>
      </c>
      <c r="EX324" s="16">
        <v>2</v>
      </c>
      <c r="EY324" s="16">
        <v>4</v>
      </c>
    </row>
    <row r="325" spans="1:167" x14ac:dyDescent="0.25">
      <c r="A325" s="6" t="str">
        <f t="shared" si="50"/>
        <v>MEN_M___10_2023</v>
      </c>
      <c r="B325" s="6" t="str">
        <f t="shared" si="51"/>
        <v>MEN_M___10</v>
      </c>
      <c r="C325" s="6" t="str">
        <f t="shared" si="56"/>
        <v>MEN_2023</v>
      </c>
      <c r="D325" s="7" t="s">
        <v>305</v>
      </c>
      <c r="E325" s="18">
        <v>45140</v>
      </c>
      <c r="F325" s="7">
        <v>2023</v>
      </c>
      <c r="G325" s="7" t="s">
        <v>291</v>
      </c>
      <c r="H325" s="7" t="s">
        <v>301</v>
      </c>
      <c r="I325" s="7">
        <v>10</v>
      </c>
      <c r="J325" s="7" t="s">
        <v>231</v>
      </c>
      <c r="K325" s="7"/>
      <c r="L325" s="7"/>
      <c r="M325" s="7"/>
      <c r="N325" s="7" t="s">
        <v>299</v>
      </c>
      <c r="O325" s="11">
        <f t="shared" si="53"/>
        <v>100</v>
      </c>
      <c r="P325" s="9">
        <v>44</v>
      </c>
      <c r="W325" s="9">
        <v>5</v>
      </c>
      <c r="Y325" s="9">
        <v>3</v>
      </c>
      <c r="Z325" s="9">
        <v>37</v>
      </c>
      <c r="AB325" s="9">
        <v>2</v>
      </c>
      <c r="AF325" s="9">
        <v>2</v>
      </c>
      <c r="AH325" s="9">
        <v>7</v>
      </c>
      <c r="AS325" s="12">
        <v>4</v>
      </c>
      <c r="AT325" s="12">
        <v>9</v>
      </c>
      <c r="CE325" s="14">
        <v>5</v>
      </c>
      <c r="CU325" s="14">
        <v>3</v>
      </c>
      <c r="CW325" s="14">
        <v>1</v>
      </c>
      <c r="CZ325" s="14">
        <v>2</v>
      </c>
      <c r="DI325" s="14">
        <v>6</v>
      </c>
      <c r="DT325" s="15">
        <v>7</v>
      </c>
      <c r="EX325" s="16">
        <v>1</v>
      </c>
      <c r="EY325" s="16">
        <v>1</v>
      </c>
      <c r="EZ325" s="16">
        <v>1</v>
      </c>
      <c r="FJ325" s="16">
        <v>3</v>
      </c>
    </row>
    <row r="326" spans="1:167" x14ac:dyDescent="0.25">
      <c r="A326" s="6" t="str">
        <f t="shared" ref="A326:A329" si="57">CONCATENATE(D326,"_",J326,"_",K326,"_",L326,"_",TEXT(I326,"00"),"_",F326)</f>
        <v>YB_L_1__01_2023</v>
      </c>
      <c r="B326" s="6" t="str">
        <f t="shared" ref="B326:B329" si="58">CONCATENATE(D326,"_",J326,"_",K326,"_",L326,"_",TEXT(I326,"00"))</f>
        <v>YB_L_1__01</v>
      </c>
      <c r="C326" s="6" t="str">
        <f t="shared" ref="C326:C329" si="59">CONCATENATE(D326,,"_",F326)</f>
        <v>YB_2023</v>
      </c>
      <c r="D326" s="27" t="s">
        <v>29</v>
      </c>
      <c r="E326" s="73">
        <v>45111</v>
      </c>
      <c r="F326" s="27">
        <v>2023</v>
      </c>
      <c r="G326" s="27" t="s">
        <v>306</v>
      </c>
      <c r="H326" s="27" t="s">
        <v>307</v>
      </c>
      <c r="I326" s="27">
        <v>1</v>
      </c>
      <c r="J326" s="27" t="s">
        <v>230</v>
      </c>
      <c r="K326" s="27">
        <v>1</v>
      </c>
      <c r="N326" s="27" t="s">
        <v>299</v>
      </c>
      <c r="O326" s="11">
        <f t="shared" ref="O326:O352" si="60">SUM(P326:AO326)</f>
        <v>100.19999999999999</v>
      </c>
      <c r="P326" s="9">
        <v>2</v>
      </c>
      <c r="Q326" s="9">
        <v>19</v>
      </c>
      <c r="R326" s="9">
        <v>4</v>
      </c>
      <c r="S326" s="9">
        <v>50</v>
      </c>
      <c r="W326" s="9">
        <v>1</v>
      </c>
      <c r="X326" s="9">
        <v>0.1</v>
      </c>
      <c r="AC326" s="9">
        <v>3</v>
      </c>
      <c r="AF326" s="9">
        <v>12</v>
      </c>
      <c r="AH326" s="9">
        <v>0.1</v>
      </c>
      <c r="AJ326" s="10">
        <v>9</v>
      </c>
      <c r="AQ326" s="12">
        <v>5</v>
      </c>
      <c r="AX326" s="12">
        <v>1</v>
      </c>
      <c r="CG326" s="14">
        <v>57</v>
      </c>
      <c r="CL326" s="14">
        <v>1</v>
      </c>
      <c r="CZ326" s="14">
        <v>0.1</v>
      </c>
      <c r="DI326" s="14">
        <v>0.1</v>
      </c>
    </row>
    <row r="327" spans="1:167" x14ac:dyDescent="0.25">
      <c r="A327" s="6" t="str">
        <f t="shared" si="57"/>
        <v>YB_L_1__03_2023</v>
      </c>
      <c r="B327" s="6" t="str">
        <f t="shared" si="58"/>
        <v>YB_L_1__03</v>
      </c>
      <c r="C327" s="6" t="str">
        <f t="shared" si="59"/>
        <v>YB_2023</v>
      </c>
      <c r="D327" s="27" t="s">
        <v>29</v>
      </c>
      <c r="E327" s="73">
        <v>45111</v>
      </c>
      <c r="F327" s="27">
        <v>2023</v>
      </c>
      <c r="G327" s="27" t="s">
        <v>306</v>
      </c>
      <c r="H327" s="27" t="s">
        <v>307</v>
      </c>
      <c r="I327" s="27">
        <v>3</v>
      </c>
      <c r="J327" s="27" t="s">
        <v>230</v>
      </c>
      <c r="K327" s="27">
        <v>1</v>
      </c>
      <c r="N327" s="27" t="s">
        <v>299</v>
      </c>
      <c r="O327" s="11">
        <f t="shared" si="60"/>
        <v>100.39999999999999</v>
      </c>
      <c r="P327" s="9">
        <v>1</v>
      </c>
      <c r="Q327" s="9">
        <v>12</v>
      </c>
      <c r="R327" s="9">
        <v>1</v>
      </c>
      <c r="X327" s="9">
        <v>0.1</v>
      </c>
      <c r="AB327" s="9">
        <v>0.1</v>
      </c>
      <c r="AC327" s="9">
        <v>0.1</v>
      </c>
      <c r="AE327" s="9">
        <v>14</v>
      </c>
      <c r="AI327" s="9">
        <v>72</v>
      </c>
      <c r="AJ327" s="10">
        <v>0.1</v>
      </c>
      <c r="AQ327" s="12">
        <v>1</v>
      </c>
      <c r="CF327" s="14">
        <v>99</v>
      </c>
      <c r="CL327" s="14">
        <v>77</v>
      </c>
      <c r="DI327" s="14">
        <v>2</v>
      </c>
    </row>
    <row r="328" spans="1:167" x14ac:dyDescent="0.25">
      <c r="A328" s="6" t="str">
        <f t="shared" si="57"/>
        <v>YB_L_1__05_2023</v>
      </c>
      <c r="B328" s="6" t="str">
        <f t="shared" si="58"/>
        <v>YB_L_1__05</v>
      </c>
      <c r="C328" s="6" t="str">
        <f t="shared" si="59"/>
        <v>YB_2023</v>
      </c>
      <c r="D328" s="27" t="s">
        <v>29</v>
      </c>
      <c r="E328" s="73">
        <v>45111</v>
      </c>
      <c r="F328" s="27">
        <v>2023</v>
      </c>
      <c r="G328" s="27" t="s">
        <v>306</v>
      </c>
      <c r="H328" s="27" t="s">
        <v>307</v>
      </c>
      <c r="I328" s="27">
        <v>5</v>
      </c>
      <c r="J328" s="27" t="s">
        <v>230</v>
      </c>
      <c r="K328" s="27">
        <v>1</v>
      </c>
      <c r="N328" s="27" t="s">
        <v>299</v>
      </c>
      <c r="O328" s="11">
        <f t="shared" si="60"/>
        <v>100.2</v>
      </c>
      <c r="P328" s="9">
        <v>3</v>
      </c>
      <c r="Q328" s="9">
        <v>9</v>
      </c>
      <c r="S328" s="9">
        <v>5</v>
      </c>
      <c r="Y328" s="9">
        <v>0.1</v>
      </c>
      <c r="AB328" s="9">
        <v>1</v>
      </c>
      <c r="AC328" s="9">
        <v>0.1</v>
      </c>
      <c r="AE328" s="9">
        <v>1</v>
      </c>
      <c r="AF328" s="9">
        <v>17</v>
      </c>
      <c r="AH328" s="9">
        <v>60</v>
      </c>
      <c r="AI328" s="9">
        <v>2</v>
      </c>
      <c r="AJ328" s="10">
        <v>2</v>
      </c>
      <c r="AV328" s="12">
        <v>1</v>
      </c>
      <c r="BA328" s="12">
        <v>1</v>
      </c>
      <c r="CD328" s="14">
        <v>56</v>
      </c>
      <c r="CF328" s="14">
        <v>32</v>
      </c>
      <c r="CL328" s="14">
        <v>7</v>
      </c>
      <c r="CZ328" s="14">
        <v>42</v>
      </c>
      <c r="DH328" s="14">
        <v>5</v>
      </c>
    </row>
    <row r="329" spans="1:167" x14ac:dyDescent="0.25">
      <c r="A329" s="6" t="str">
        <f t="shared" si="57"/>
        <v>YB_L_1__07_2023</v>
      </c>
      <c r="B329" s="6" t="str">
        <f t="shared" si="58"/>
        <v>YB_L_1__07</v>
      </c>
      <c r="C329" s="6" t="str">
        <f t="shared" si="59"/>
        <v>YB_2023</v>
      </c>
      <c r="D329" s="27" t="s">
        <v>29</v>
      </c>
      <c r="E329" s="73">
        <v>45111</v>
      </c>
      <c r="F329" s="27">
        <v>2023</v>
      </c>
      <c r="G329" s="27" t="s">
        <v>306</v>
      </c>
      <c r="H329" s="27" t="s">
        <v>307</v>
      </c>
      <c r="I329" s="27">
        <v>7</v>
      </c>
      <c r="J329" s="27" t="s">
        <v>230</v>
      </c>
      <c r="K329" s="27">
        <v>1</v>
      </c>
      <c r="N329" s="27" t="s">
        <v>299</v>
      </c>
      <c r="O329" s="11">
        <f t="shared" si="60"/>
        <v>100.1</v>
      </c>
      <c r="P329" s="9">
        <v>6</v>
      </c>
      <c r="Q329" s="9">
        <v>66</v>
      </c>
      <c r="X329" s="9">
        <v>0.1</v>
      </c>
      <c r="AB329" s="9">
        <v>8</v>
      </c>
      <c r="AC329" s="9">
        <v>1</v>
      </c>
      <c r="AD329" s="9">
        <v>8</v>
      </c>
      <c r="AH329" s="9">
        <v>10</v>
      </c>
      <c r="AI329" s="9">
        <v>1</v>
      </c>
      <c r="CF329" s="14">
        <v>11</v>
      </c>
      <c r="CK329" s="14">
        <v>13</v>
      </c>
      <c r="CL329" s="14">
        <v>3</v>
      </c>
      <c r="CZ329" s="14">
        <v>14</v>
      </c>
      <c r="DA329" s="14">
        <v>3</v>
      </c>
      <c r="DB329" s="14">
        <v>18</v>
      </c>
      <c r="DE329" s="14">
        <v>4</v>
      </c>
      <c r="DH329" s="14">
        <v>8</v>
      </c>
      <c r="DI329" s="14">
        <v>4</v>
      </c>
    </row>
    <row r="330" spans="1:167" x14ac:dyDescent="0.25">
      <c r="A330" s="6" t="str">
        <f t="shared" ref="A330:A348" si="61">CONCATENATE(D330,"_",J330,"_",K330,"_",L330,"_",TEXT(I330,"00"),"_",F330)</f>
        <v>YB_L_1__09_2023</v>
      </c>
      <c r="B330" s="6" t="str">
        <f t="shared" ref="B330:B348" si="62">CONCATENATE(D330,"_",J330,"_",K330,"_",L330,"_",TEXT(I330,"00"))</f>
        <v>YB_L_1__09</v>
      </c>
      <c r="C330" s="6" t="str">
        <f t="shared" ref="C330:C348" si="63">CONCATENATE(D330,,"_",F330)</f>
        <v>YB_2023</v>
      </c>
      <c r="D330" s="27" t="s">
        <v>29</v>
      </c>
      <c r="E330" s="73">
        <v>45111</v>
      </c>
      <c r="F330" s="27">
        <v>2023</v>
      </c>
      <c r="G330" s="27" t="s">
        <v>306</v>
      </c>
      <c r="H330" s="27" t="s">
        <v>307</v>
      </c>
      <c r="I330" s="27">
        <v>9</v>
      </c>
      <c r="J330" s="27" t="s">
        <v>230</v>
      </c>
      <c r="K330" s="27">
        <v>1</v>
      </c>
      <c r="N330" s="27" t="s">
        <v>299</v>
      </c>
      <c r="O330" s="11">
        <f t="shared" si="60"/>
        <v>100.19999999999999</v>
      </c>
      <c r="Q330" s="9">
        <v>80</v>
      </c>
      <c r="X330" s="9">
        <v>0.1</v>
      </c>
      <c r="AH330" s="9">
        <v>20</v>
      </c>
      <c r="AI330" s="9">
        <v>0.1</v>
      </c>
      <c r="BA330" s="12">
        <v>1</v>
      </c>
      <c r="CL330" s="14">
        <v>2</v>
      </c>
      <c r="CZ330" s="14">
        <v>12</v>
      </c>
      <c r="DB330" s="14">
        <v>65</v>
      </c>
      <c r="DG330" s="14">
        <v>1</v>
      </c>
    </row>
    <row r="331" spans="1:167" x14ac:dyDescent="0.25">
      <c r="A331" s="6" t="str">
        <f t="shared" si="61"/>
        <v>YB_L_2_E_06_2023</v>
      </c>
      <c r="B331" s="6" t="str">
        <f t="shared" si="62"/>
        <v>YB_L_2_E_06</v>
      </c>
      <c r="C331" s="6" t="str">
        <f t="shared" si="63"/>
        <v>YB_2023</v>
      </c>
      <c r="D331" s="27" t="s">
        <v>29</v>
      </c>
      <c r="E331" s="73">
        <v>45111</v>
      </c>
      <c r="F331" s="27">
        <v>2023</v>
      </c>
      <c r="G331" s="27" t="s">
        <v>306</v>
      </c>
      <c r="H331" s="27" t="s">
        <v>307</v>
      </c>
      <c r="I331" s="27">
        <v>6</v>
      </c>
      <c r="J331" s="27" t="s">
        <v>230</v>
      </c>
      <c r="K331" s="27">
        <v>2</v>
      </c>
      <c r="L331" s="27" t="s">
        <v>204</v>
      </c>
      <c r="N331" s="27" t="s">
        <v>299</v>
      </c>
      <c r="O331" s="11">
        <f t="shared" si="60"/>
        <v>100</v>
      </c>
      <c r="Q331" s="9">
        <v>75</v>
      </c>
      <c r="AC331" s="9">
        <v>3</v>
      </c>
      <c r="AH331" s="9">
        <v>22</v>
      </c>
      <c r="CZ331" s="14">
        <v>1</v>
      </c>
      <c r="DB331" s="14">
        <v>74</v>
      </c>
    </row>
    <row r="332" spans="1:167" x14ac:dyDescent="0.25">
      <c r="A332" s="6" t="str">
        <f t="shared" si="61"/>
        <v>YB_L_2_E_07_2023</v>
      </c>
      <c r="B332" s="6" t="str">
        <f t="shared" si="62"/>
        <v>YB_L_2_E_07</v>
      </c>
      <c r="C332" s="6" t="str">
        <f t="shared" si="63"/>
        <v>YB_2023</v>
      </c>
      <c r="D332" s="27" t="s">
        <v>29</v>
      </c>
      <c r="E332" s="73">
        <v>45111</v>
      </c>
      <c r="F332" s="27">
        <v>2023</v>
      </c>
      <c r="G332" s="27" t="s">
        <v>306</v>
      </c>
      <c r="H332" s="27" t="s">
        <v>307</v>
      </c>
      <c r="I332" s="27">
        <v>7</v>
      </c>
      <c r="J332" s="27" t="s">
        <v>230</v>
      </c>
      <c r="K332" s="27">
        <v>2</v>
      </c>
      <c r="L332" s="27" t="s">
        <v>204</v>
      </c>
      <c r="N332" s="27" t="s">
        <v>299</v>
      </c>
      <c r="O332" s="11">
        <f t="shared" si="60"/>
        <v>100.1</v>
      </c>
      <c r="P332" s="9">
        <v>12</v>
      </c>
      <c r="Q332" s="9">
        <v>38</v>
      </c>
      <c r="W332" s="9">
        <v>3</v>
      </c>
      <c r="X332" s="9">
        <v>0.1</v>
      </c>
      <c r="AB332" s="9">
        <v>4</v>
      </c>
      <c r="AC332" s="9">
        <v>1</v>
      </c>
      <c r="AH332" s="9">
        <v>42</v>
      </c>
      <c r="AR332" s="12">
        <v>1</v>
      </c>
      <c r="AS332" s="12">
        <v>1</v>
      </c>
      <c r="BA332" s="12">
        <v>1</v>
      </c>
      <c r="CZ332" s="14">
        <v>1</v>
      </c>
      <c r="DA332" s="14">
        <v>2</v>
      </c>
      <c r="DB332" s="14">
        <v>58</v>
      </c>
      <c r="DI332" s="14">
        <v>18</v>
      </c>
    </row>
    <row r="333" spans="1:167" x14ac:dyDescent="0.25">
      <c r="A333" s="6" t="str">
        <f t="shared" si="61"/>
        <v>YB_L_2_E_08_2023</v>
      </c>
      <c r="B333" s="6" t="str">
        <f t="shared" si="62"/>
        <v>YB_L_2_E_08</v>
      </c>
      <c r="C333" s="6" t="str">
        <f t="shared" si="63"/>
        <v>YB_2023</v>
      </c>
      <c r="D333" s="27" t="s">
        <v>29</v>
      </c>
      <c r="E333" s="73">
        <v>45111</v>
      </c>
      <c r="F333" s="27">
        <v>2023</v>
      </c>
      <c r="G333" s="27" t="s">
        <v>306</v>
      </c>
      <c r="H333" s="27" t="s">
        <v>307</v>
      </c>
      <c r="I333" s="27">
        <v>8</v>
      </c>
      <c r="J333" s="27" t="s">
        <v>230</v>
      </c>
      <c r="K333" s="27">
        <v>2</v>
      </c>
      <c r="L333" s="27" t="s">
        <v>204</v>
      </c>
      <c r="N333" s="27" t="s">
        <v>299</v>
      </c>
      <c r="O333" s="11">
        <f t="shared" si="60"/>
        <v>100</v>
      </c>
      <c r="Q333" s="9">
        <v>80</v>
      </c>
      <c r="AD333" s="9">
        <v>7</v>
      </c>
      <c r="AE333" s="9">
        <v>1</v>
      </c>
      <c r="AF333" s="9">
        <v>4</v>
      </c>
      <c r="AH333" s="9">
        <v>8</v>
      </c>
      <c r="BA333" s="12">
        <v>1</v>
      </c>
      <c r="BC333" s="12">
        <v>1</v>
      </c>
      <c r="CD333" s="14">
        <v>10</v>
      </c>
      <c r="CK333" s="14">
        <v>5</v>
      </c>
      <c r="CR333" s="14">
        <v>6</v>
      </c>
      <c r="CT333" s="15">
        <v>1</v>
      </c>
      <c r="DG333" s="14">
        <v>2</v>
      </c>
      <c r="DH333" s="14">
        <v>3</v>
      </c>
    </row>
    <row r="334" spans="1:167" x14ac:dyDescent="0.25">
      <c r="A334" s="6" t="str">
        <f t="shared" si="61"/>
        <v>YB_L_2_E_09_2023</v>
      </c>
      <c r="B334" s="6" t="str">
        <f t="shared" si="62"/>
        <v>YB_L_2_E_09</v>
      </c>
      <c r="C334" s="6" t="str">
        <f t="shared" si="63"/>
        <v>YB_2023</v>
      </c>
      <c r="D334" s="27" t="s">
        <v>29</v>
      </c>
      <c r="E334" s="73">
        <v>45111</v>
      </c>
      <c r="F334" s="27">
        <v>2023</v>
      </c>
      <c r="G334" s="27" t="s">
        <v>306</v>
      </c>
      <c r="H334" s="27" t="s">
        <v>307</v>
      </c>
      <c r="I334" s="27">
        <v>9</v>
      </c>
      <c r="J334" s="27" t="s">
        <v>230</v>
      </c>
      <c r="K334" s="27">
        <v>2</v>
      </c>
      <c r="L334" s="27" t="s">
        <v>204</v>
      </c>
      <c r="N334" s="27" t="s">
        <v>299</v>
      </c>
      <c r="O334" s="11">
        <f t="shared" si="60"/>
        <v>100.1</v>
      </c>
      <c r="Q334" s="9">
        <v>74</v>
      </c>
      <c r="X334" s="9">
        <v>0.1</v>
      </c>
      <c r="AH334" s="9">
        <v>26</v>
      </c>
      <c r="AR334" s="12">
        <v>1</v>
      </c>
      <c r="CZ334" s="14">
        <v>1</v>
      </c>
      <c r="DB334" s="14">
        <v>83</v>
      </c>
    </row>
    <row r="335" spans="1:167" x14ac:dyDescent="0.25">
      <c r="A335" s="6" t="str">
        <f t="shared" ref="A335" si="64">CONCATENATE(D335,"_",J335,"_",K335,"_",L335,"_",TEXT(I335,"00"),"_",F335)</f>
        <v>YB_L_2_E_10_2023</v>
      </c>
      <c r="B335" s="6" t="str">
        <f t="shared" ref="B335" si="65">CONCATENATE(D335,"_",J335,"_",K335,"_",L335,"_",TEXT(I335,"00"))</f>
        <v>YB_L_2_E_10</v>
      </c>
      <c r="C335" s="6" t="str">
        <f t="shared" ref="C335" si="66">CONCATENATE(D335,,"_",F335)</f>
        <v>YB_2023</v>
      </c>
      <c r="D335" s="27" t="s">
        <v>29</v>
      </c>
      <c r="E335" s="73">
        <v>45111</v>
      </c>
      <c r="F335" s="27">
        <v>2023</v>
      </c>
      <c r="G335" s="27" t="s">
        <v>306</v>
      </c>
      <c r="H335" s="27" t="s">
        <v>307</v>
      </c>
      <c r="I335" s="27">
        <v>10</v>
      </c>
      <c r="J335" s="27" t="s">
        <v>230</v>
      </c>
      <c r="K335" s="27">
        <v>2</v>
      </c>
      <c r="L335" s="27" t="s">
        <v>204</v>
      </c>
      <c r="N335" s="27" t="s">
        <v>299</v>
      </c>
      <c r="O335" s="11">
        <f t="shared" si="60"/>
        <v>100</v>
      </c>
      <c r="P335" s="9">
        <v>2</v>
      </c>
      <c r="Q335" s="9">
        <v>64</v>
      </c>
      <c r="AB335" s="9">
        <v>1</v>
      </c>
      <c r="AD335" s="9">
        <v>13</v>
      </c>
      <c r="AH335" s="9">
        <v>3</v>
      </c>
      <c r="AI335" s="9">
        <v>17</v>
      </c>
      <c r="AQ335" s="12">
        <v>2</v>
      </c>
      <c r="BA335" s="12">
        <v>3</v>
      </c>
      <c r="CK335" s="14">
        <v>34</v>
      </c>
      <c r="CZ335" s="14">
        <v>6</v>
      </c>
      <c r="DA335" s="14">
        <v>3</v>
      </c>
      <c r="DH335" s="14">
        <v>0.1</v>
      </c>
      <c r="DI335" s="14">
        <v>10</v>
      </c>
    </row>
    <row r="336" spans="1:167" x14ac:dyDescent="0.25">
      <c r="A336" s="6" t="str">
        <f t="shared" si="61"/>
        <v>YB_M_1__11_2023</v>
      </c>
      <c r="B336" s="6" t="str">
        <f t="shared" si="62"/>
        <v>YB_M_1__11</v>
      </c>
      <c r="C336" s="6" t="str">
        <f t="shared" si="63"/>
        <v>YB_2023</v>
      </c>
      <c r="D336" s="7" t="s">
        <v>29</v>
      </c>
      <c r="E336" s="18">
        <v>45111</v>
      </c>
      <c r="F336" s="7">
        <v>2023</v>
      </c>
      <c r="G336" s="7" t="s">
        <v>306</v>
      </c>
      <c r="H336" s="7" t="s">
        <v>307</v>
      </c>
      <c r="I336" s="7">
        <v>11</v>
      </c>
      <c r="J336" s="7" t="s">
        <v>231</v>
      </c>
      <c r="K336" s="7">
        <v>1</v>
      </c>
      <c r="L336" s="7"/>
      <c r="M336" s="7"/>
      <c r="N336" s="7" t="s">
        <v>299</v>
      </c>
      <c r="O336" s="11">
        <f t="shared" si="60"/>
        <v>100</v>
      </c>
      <c r="P336" s="9">
        <v>14</v>
      </c>
      <c r="U336" s="9">
        <v>18</v>
      </c>
      <c r="X336" s="9">
        <v>6</v>
      </c>
      <c r="Z336" s="9">
        <v>61</v>
      </c>
      <c r="AC336" s="9">
        <v>1</v>
      </c>
      <c r="AR336" s="12">
        <v>8</v>
      </c>
      <c r="AS336" s="12">
        <v>12</v>
      </c>
      <c r="AT336" s="12">
        <v>42</v>
      </c>
      <c r="AU336" s="12">
        <v>6</v>
      </c>
      <c r="EX336" s="16">
        <v>14</v>
      </c>
      <c r="EY336" s="16">
        <v>3</v>
      </c>
      <c r="FK336" s="16">
        <v>1</v>
      </c>
    </row>
    <row r="337" spans="1:167" x14ac:dyDescent="0.25">
      <c r="A337" s="6" t="str">
        <f t="shared" si="61"/>
        <v>YB_M_1__10_2023</v>
      </c>
      <c r="B337" s="6" t="str">
        <f t="shared" si="62"/>
        <v>YB_M_1__10</v>
      </c>
      <c r="C337" s="6" t="str">
        <f t="shared" si="63"/>
        <v>YB_2023</v>
      </c>
      <c r="D337" s="7" t="s">
        <v>29</v>
      </c>
      <c r="E337" s="18">
        <v>45111</v>
      </c>
      <c r="F337" s="7">
        <v>2023</v>
      </c>
      <c r="G337" s="7" t="s">
        <v>306</v>
      </c>
      <c r="H337" s="7" t="s">
        <v>307</v>
      </c>
      <c r="I337" s="7">
        <v>10</v>
      </c>
      <c r="J337" s="7" t="s">
        <v>231</v>
      </c>
      <c r="K337" s="7">
        <v>1</v>
      </c>
      <c r="L337" s="7"/>
      <c r="M337" s="7"/>
      <c r="N337" s="7" t="s">
        <v>299</v>
      </c>
      <c r="O337" s="11">
        <f t="shared" si="60"/>
        <v>100</v>
      </c>
      <c r="U337" s="9">
        <v>14</v>
      </c>
      <c r="X337" s="9">
        <v>1</v>
      </c>
      <c r="Z337" s="9">
        <v>85</v>
      </c>
      <c r="AR337" s="12">
        <v>4</v>
      </c>
      <c r="AS337" s="12">
        <v>35</v>
      </c>
      <c r="AT337" s="12">
        <v>11</v>
      </c>
      <c r="AU337" s="12">
        <v>7</v>
      </c>
      <c r="EX337" s="16">
        <v>0.1</v>
      </c>
    </row>
    <row r="338" spans="1:167" x14ac:dyDescent="0.25">
      <c r="A338" s="6" t="str">
        <f t="shared" si="61"/>
        <v>YB_M_1__09_2023</v>
      </c>
      <c r="B338" s="6" t="str">
        <f t="shared" si="62"/>
        <v>YB_M_1__09</v>
      </c>
      <c r="C338" s="6" t="str">
        <f t="shared" si="63"/>
        <v>YB_2023</v>
      </c>
      <c r="D338" s="7" t="s">
        <v>29</v>
      </c>
      <c r="E338" s="18">
        <v>45111</v>
      </c>
      <c r="F338" s="7">
        <v>2023</v>
      </c>
      <c r="G338" s="7" t="s">
        <v>306</v>
      </c>
      <c r="H338" s="7" t="s">
        <v>307</v>
      </c>
      <c r="I338" s="7">
        <v>9</v>
      </c>
      <c r="J338" s="7" t="s">
        <v>231</v>
      </c>
      <c r="K338" s="7">
        <v>1</v>
      </c>
      <c r="L338" s="7"/>
      <c r="M338" s="7"/>
      <c r="N338" s="7" t="s">
        <v>299</v>
      </c>
      <c r="O338" s="11">
        <f t="shared" si="60"/>
        <v>100.19999999999999</v>
      </c>
      <c r="P338" s="9">
        <v>4</v>
      </c>
      <c r="U338" s="9">
        <v>3</v>
      </c>
      <c r="W338" s="9">
        <v>5</v>
      </c>
      <c r="X338" s="9">
        <v>11</v>
      </c>
      <c r="Y338" s="9">
        <v>4</v>
      </c>
      <c r="Z338" s="9">
        <v>73</v>
      </c>
      <c r="AC338" s="9">
        <v>0.1</v>
      </c>
      <c r="AH338" s="9">
        <v>0.1</v>
      </c>
      <c r="AS338" s="12">
        <v>24</v>
      </c>
      <c r="AT338" s="12">
        <v>18</v>
      </c>
      <c r="BB338" s="12">
        <v>1</v>
      </c>
      <c r="CU338" s="14">
        <v>0.1</v>
      </c>
      <c r="CW338" s="14">
        <v>0.1</v>
      </c>
      <c r="EX338" s="16">
        <v>1</v>
      </c>
      <c r="EY338" s="16">
        <v>1</v>
      </c>
      <c r="FK338" s="16">
        <v>2</v>
      </c>
    </row>
    <row r="339" spans="1:167" x14ac:dyDescent="0.25">
      <c r="A339" s="6" t="str">
        <f t="shared" si="61"/>
        <v>YB_M_1__07_2023</v>
      </c>
      <c r="B339" s="6" t="str">
        <f t="shared" si="62"/>
        <v>YB_M_1__07</v>
      </c>
      <c r="C339" s="6" t="str">
        <f t="shared" si="63"/>
        <v>YB_2023</v>
      </c>
      <c r="D339" s="7" t="s">
        <v>29</v>
      </c>
      <c r="E339" s="18">
        <v>45111</v>
      </c>
      <c r="F339" s="7">
        <v>2023</v>
      </c>
      <c r="G339" s="7" t="s">
        <v>306</v>
      </c>
      <c r="H339" s="7" t="s">
        <v>307</v>
      </c>
      <c r="I339" s="7">
        <v>7</v>
      </c>
      <c r="J339" s="7" t="s">
        <v>231</v>
      </c>
      <c r="K339" s="7">
        <v>1</v>
      </c>
      <c r="L339" s="7"/>
      <c r="M339" s="7"/>
      <c r="N339" s="7" t="s">
        <v>299</v>
      </c>
      <c r="O339" s="11">
        <f t="shared" si="60"/>
        <v>100</v>
      </c>
      <c r="P339" s="9">
        <v>24</v>
      </c>
      <c r="U339" s="9">
        <v>2</v>
      </c>
      <c r="X339" s="9">
        <v>6</v>
      </c>
      <c r="Y339" s="9">
        <v>3</v>
      </c>
      <c r="Z339" s="9">
        <v>65</v>
      </c>
      <c r="AS339" s="12">
        <v>17</v>
      </c>
      <c r="AT339" s="12">
        <v>10</v>
      </c>
      <c r="CP339" s="14">
        <v>0.1</v>
      </c>
      <c r="EX339" s="16">
        <v>1</v>
      </c>
      <c r="EY339" s="16">
        <v>2</v>
      </c>
      <c r="FK339" s="16">
        <v>2</v>
      </c>
    </row>
    <row r="340" spans="1:167" x14ac:dyDescent="0.25">
      <c r="A340" s="6" t="str">
        <f t="shared" si="61"/>
        <v>YB_M_1__05_2023</v>
      </c>
      <c r="B340" s="6" t="str">
        <f t="shared" si="62"/>
        <v>YB_M_1__05</v>
      </c>
      <c r="C340" s="6" t="str">
        <f t="shared" si="63"/>
        <v>YB_2023</v>
      </c>
      <c r="D340" s="7" t="s">
        <v>29</v>
      </c>
      <c r="E340" s="18">
        <v>45111</v>
      </c>
      <c r="F340" s="7">
        <v>2023</v>
      </c>
      <c r="G340" s="7" t="s">
        <v>306</v>
      </c>
      <c r="H340" s="7" t="s">
        <v>307</v>
      </c>
      <c r="I340" s="7">
        <v>5</v>
      </c>
      <c r="J340" s="7" t="s">
        <v>231</v>
      </c>
      <c r="K340" s="7">
        <v>1</v>
      </c>
      <c r="L340" s="7"/>
      <c r="M340" s="7"/>
      <c r="N340" s="7" t="s">
        <v>299</v>
      </c>
      <c r="O340" s="11">
        <f t="shared" si="60"/>
        <v>100</v>
      </c>
      <c r="P340" s="9">
        <v>47</v>
      </c>
      <c r="U340" s="9">
        <v>2</v>
      </c>
      <c r="W340" s="9">
        <v>1</v>
      </c>
      <c r="X340" s="9">
        <v>3</v>
      </c>
      <c r="Y340" s="9">
        <v>4</v>
      </c>
      <c r="Z340" s="9">
        <v>41</v>
      </c>
      <c r="AB340" s="9">
        <v>2</v>
      </c>
      <c r="AR340" s="12">
        <v>1</v>
      </c>
      <c r="AS340" s="12">
        <v>6</v>
      </c>
      <c r="AT340" s="12">
        <v>9</v>
      </c>
      <c r="EX340" s="16">
        <v>2</v>
      </c>
      <c r="EY340" s="16">
        <v>1</v>
      </c>
    </row>
    <row r="341" spans="1:167" x14ac:dyDescent="0.25">
      <c r="A341" s="6" t="str">
        <f t="shared" si="61"/>
        <v>YB_M_1__06_2023</v>
      </c>
      <c r="B341" s="6" t="str">
        <f t="shared" si="62"/>
        <v>YB_M_1__06</v>
      </c>
      <c r="C341" s="6" t="str">
        <f t="shared" si="63"/>
        <v>YB_2023</v>
      </c>
      <c r="D341" s="7" t="s">
        <v>29</v>
      </c>
      <c r="E341" s="18">
        <v>45111</v>
      </c>
      <c r="F341" s="7">
        <v>2023</v>
      </c>
      <c r="G341" s="7" t="s">
        <v>306</v>
      </c>
      <c r="H341" s="7" t="s">
        <v>307</v>
      </c>
      <c r="I341" s="7">
        <v>6</v>
      </c>
      <c r="J341" s="7" t="s">
        <v>231</v>
      </c>
      <c r="K341" s="7">
        <v>1</v>
      </c>
      <c r="L341" s="7"/>
      <c r="M341" s="7"/>
      <c r="N341" s="7" t="s">
        <v>299</v>
      </c>
      <c r="O341" s="11">
        <f t="shared" si="60"/>
        <v>100.19999999999999</v>
      </c>
      <c r="P341" s="9">
        <v>58</v>
      </c>
      <c r="R341" s="9">
        <v>1</v>
      </c>
      <c r="S341" s="9">
        <v>0.1</v>
      </c>
      <c r="W341" s="9">
        <v>1</v>
      </c>
      <c r="X341" s="9">
        <v>2</v>
      </c>
      <c r="Z341" s="9">
        <v>8</v>
      </c>
      <c r="AC341" s="9">
        <v>25</v>
      </c>
      <c r="AE341" s="9">
        <v>3</v>
      </c>
      <c r="AH341" s="9">
        <v>2</v>
      </c>
      <c r="AI341" s="9">
        <v>0.1</v>
      </c>
      <c r="AR341" s="12">
        <v>2</v>
      </c>
      <c r="AT341" s="12">
        <v>6</v>
      </c>
      <c r="CF341" s="14">
        <v>24</v>
      </c>
      <c r="CL341" s="14">
        <v>1</v>
      </c>
      <c r="DG341" s="14">
        <v>2</v>
      </c>
      <c r="EY341" s="16">
        <v>1</v>
      </c>
      <c r="FK341" s="16">
        <v>1</v>
      </c>
    </row>
    <row r="342" spans="1:167" x14ac:dyDescent="0.25">
      <c r="A342" s="6" t="str">
        <f t="shared" si="61"/>
        <v>YB_M_1__03_2023</v>
      </c>
      <c r="B342" s="6" t="str">
        <f t="shared" si="62"/>
        <v>YB_M_1__03</v>
      </c>
      <c r="C342" s="6" t="str">
        <f t="shared" si="63"/>
        <v>YB_2023</v>
      </c>
      <c r="D342" s="7" t="s">
        <v>29</v>
      </c>
      <c r="E342" s="18">
        <v>45111</v>
      </c>
      <c r="F342" s="7">
        <v>2023</v>
      </c>
      <c r="G342" s="7" t="s">
        <v>306</v>
      </c>
      <c r="H342" s="7" t="s">
        <v>307</v>
      </c>
      <c r="I342" s="7">
        <v>3</v>
      </c>
      <c r="J342" s="7" t="s">
        <v>231</v>
      </c>
      <c r="K342" s="7">
        <v>1</v>
      </c>
      <c r="L342" s="7"/>
      <c r="M342" s="7"/>
      <c r="N342" s="7" t="s">
        <v>299</v>
      </c>
      <c r="O342" s="11">
        <f t="shared" si="60"/>
        <v>100</v>
      </c>
      <c r="P342" s="9">
        <v>1</v>
      </c>
      <c r="Z342" s="9">
        <v>99</v>
      </c>
      <c r="AR342" s="12">
        <v>3</v>
      </c>
      <c r="AS342" s="12">
        <v>57</v>
      </c>
      <c r="AT342" s="12">
        <v>8</v>
      </c>
      <c r="EX342" s="16">
        <v>13</v>
      </c>
      <c r="EY342" s="16">
        <v>3</v>
      </c>
      <c r="FK342" s="16">
        <v>2</v>
      </c>
    </row>
    <row r="343" spans="1:167" x14ac:dyDescent="0.25">
      <c r="A343" s="6" t="str">
        <f t="shared" si="61"/>
        <v>YB_M_1__01_2023</v>
      </c>
      <c r="B343" s="6" t="str">
        <f t="shared" si="62"/>
        <v>YB_M_1__01</v>
      </c>
      <c r="C343" s="6" t="str">
        <f t="shared" si="63"/>
        <v>YB_2023</v>
      </c>
      <c r="D343" s="7" t="s">
        <v>29</v>
      </c>
      <c r="E343" s="18">
        <v>45111</v>
      </c>
      <c r="F343" s="7">
        <v>2023</v>
      </c>
      <c r="G343" s="7" t="s">
        <v>306</v>
      </c>
      <c r="H343" s="7" t="s">
        <v>307</v>
      </c>
      <c r="I343" s="7">
        <v>1</v>
      </c>
      <c r="J343" s="7" t="s">
        <v>231</v>
      </c>
      <c r="K343" s="7">
        <v>1</v>
      </c>
      <c r="L343" s="7"/>
      <c r="M343" s="7"/>
      <c r="N343" s="7" t="s">
        <v>299</v>
      </c>
      <c r="O343" s="11">
        <f t="shared" si="60"/>
        <v>100</v>
      </c>
      <c r="P343" s="9">
        <v>1</v>
      </c>
      <c r="U343" s="9">
        <v>4</v>
      </c>
      <c r="W343" s="9">
        <v>3</v>
      </c>
      <c r="Y343" s="9">
        <v>3</v>
      </c>
      <c r="Z343" s="9">
        <v>87</v>
      </c>
      <c r="AB343" s="9">
        <v>1</v>
      </c>
      <c r="AC343" s="9">
        <v>1</v>
      </c>
      <c r="AS343" s="12">
        <v>51</v>
      </c>
      <c r="AT343" s="12">
        <v>2</v>
      </c>
      <c r="AU343" s="12">
        <v>38</v>
      </c>
      <c r="EX343" s="16">
        <v>8</v>
      </c>
      <c r="EY343" s="16">
        <v>1</v>
      </c>
      <c r="FK343" s="16">
        <v>2</v>
      </c>
    </row>
    <row r="344" spans="1:167" x14ac:dyDescent="0.25">
      <c r="A344" s="6" t="str">
        <f t="shared" si="61"/>
        <v>YB_H_1__01_2023</v>
      </c>
      <c r="B344" s="6" t="str">
        <f t="shared" si="62"/>
        <v>YB_H_1__01</v>
      </c>
      <c r="C344" s="6" t="str">
        <f t="shared" si="63"/>
        <v>YB_2023</v>
      </c>
      <c r="D344" s="27" t="s">
        <v>29</v>
      </c>
      <c r="E344" s="73">
        <v>45111</v>
      </c>
      <c r="F344" s="27">
        <v>2023</v>
      </c>
      <c r="G344" s="27" t="s">
        <v>306</v>
      </c>
      <c r="H344" s="27" t="s">
        <v>307</v>
      </c>
      <c r="I344" s="27">
        <v>1</v>
      </c>
      <c r="J344" s="27" t="s">
        <v>229</v>
      </c>
      <c r="K344" s="27">
        <v>1</v>
      </c>
      <c r="N344" s="27" t="s">
        <v>299</v>
      </c>
      <c r="O344" s="11">
        <f t="shared" si="60"/>
        <v>100.29999999999998</v>
      </c>
      <c r="P344" s="9">
        <v>26</v>
      </c>
      <c r="U344" s="9">
        <v>74</v>
      </c>
      <c r="Z344" s="9">
        <v>0.1</v>
      </c>
      <c r="AF344" s="9">
        <v>0.1</v>
      </c>
      <c r="AG344" s="9">
        <v>0.1</v>
      </c>
      <c r="AU344" s="12">
        <v>26</v>
      </c>
      <c r="CJ344" s="14">
        <v>0.1</v>
      </c>
      <c r="CW344" s="14">
        <v>1</v>
      </c>
      <c r="EZ344" s="16">
        <v>6</v>
      </c>
      <c r="FG344" s="16">
        <v>5</v>
      </c>
    </row>
    <row r="345" spans="1:167" x14ac:dyDescent="0.25">
      <c r="A345" s="6" t="str">
        <f t="shared" si="61"/>
        <v>YB_H_1__04_2023</v>
      </c>
      <c r="B345" s="6" t="str">
        <f t="shared" si="62"/>
        <v>YB_H_1__04</v>
      </c>
      <c r="C345" s="6" t="str">
        <f t="shared" si="63"/>
        <v>YB_2023</v>
      </c>
      <c r="D345" s="27" t="s">
        <v>29</v>
      </c>
      <c r="E345" s="73">
        <v>45111</v>
      </c>
      <c r="F345" s="27">
        <v>2023</v>
      </c>
      <c r="G345" s="27" t="s">
        <v>306</v>
      </c>
      <c r="H345" s="27" t="s">
        <v>307</v>
      </c>
      <c r="I345" s="27">
        <v>4</v>
      </c>
      <c r="J345" s="27" t="s">
        <v>229</v>
      </c>
      <c r="K345" s="27">
        <v>1</v>
      </c>
      <c r="N345" s="27" t="s">
        <v>299</v>
      </c>
      <c r="O345" s="11">
        <f t="shared" si="60"/>
        <v>100.1</v>
      </c>
      <c r="P345" s="9">
        <v>24</v>
      </c>
      <c r="Q345" s="9">
        <v>67</v>
      </c>
      <c r="U345" s="9">
        <v>1</v>
      </c>
      <c r="W345" s="9">
        <v>1</v>
      </c>
      <c r="AC345" s="9">
        <v>0.1</v>
      </c>
      <c r="AH345" s="9">
        <v>7</v>
      </c>
      <c r="CW345" s="14">
        <v>21</v>
      </c>
    </row>
    <row r="346" spans="1:167" x14ac:dyDescent="0.25">
      <c r="A346" s="6" t="str">
        <f t="shared" si="61"/>
        <v>YB_H_1__06_2023</v>
      </c>
      <c r="B346" s="6" t="str">
        <f t="shared" si="62"/>
        <v>YB_H_1__06</v>
      </c>
      <c r="C346" s="6" t="str">
        <f t="shared" si="63"/>
        <v>YB_2023</v>
      </c>
      <c r="D346" s="27" t="s">
        <v>29</v>
      </c>
      <c r="E346" s="73">
        <v>45111</v>
      </c>
      <c r="F346" s="27">
        <v>2023</v>
      </c>
      <c r="G346" s="27" t="s">
        <v>306</v>
      </c>
      <c r="H346" s="27" t="s">
        <v>307</v>
      </c>
      <c r="I346" s="27">
        <v>6</v>
      </c>
      <c r="J346" s="27" t="s">
        <v>229</v>
      </c>
      <c r="K346" s="27">
        <v>1</v>
      </c>
      <c r="N346" s="27" t="s">
        <v>299</v>
      </c>
      <c r="O346" s="11">
        <f t="shared" si="60"/>
        <v>100</v>
      </c>
      <c r="P346" s="9">
        <v>12</v>
      </c>
      <c r="Q346" s="9">
        <v>49</v>
      </c>
      <c r="U346" s="9">
        <v>30</v>
      </c>
      <c r="AC346" s="9">
        <v>1</v>
      </c>
      <c r="AF346" s="9">
        <v>2</v>
      </c>
      <c r="AH346" s="9">
        <v>6</v>
      </c>
      <c r="AU346" s="12">
        <v>31</v>
      </c>
      <c r="CJ346" s="14">
        <v>0.1</v>
      </c>
      <c r="CU346" s="14">
        <v>1</v>
      </c>
      <c r="CW346" s="14">
        <v>16</v>
      </c>
      <c r="EZ346" s="16">
        <v>3</v>
      </c>
      <c r="FB346" s="16">
        <v>4</v>
      </c>
    </row>
    <row r="347" spans="1:167" x14ac:dyDescent="0.25">
      <c r="A347" s="6" t="str">
        <f t="shared" si="61"/>
        <v>YB_H_1__08_2023</v>
      </c>
      <c r="B347" s="6" t="str">
        <f t="shared" si="62"/>
        <v>YB_H_1__08</v>
      </c>
      <c r="C347" s="6" t="str">
        <f t="shared" si="63"/>
        <v>YB_2023</v>
      </c>
      <c r="D347" s="27" t="s">
        <v>29</v>
      </c>
      <c r="E347" s="73">
        <v>45111</v>
      </c>
      <c r="F347" s="27">
        <v>2023</v>
      </c>
      <c r="G347" s="27" t="s">
        <v>306</v>
      </c>
      <c r="H347" s="27" t="s">
        <v>307</v>
      </c>
      <c r="I347" s="27">
        <v>8</v>
      </c>
      <c r="J347" s="27" t="s">
        <v>229</v>
      </c>
      <c r="K347" s="27">
        <v>1</v>
      </c>
      <c r="N347" s="27" t="s">
        <v>299</v>
      </c>
      <c r="O347" s="11">
        <f t="shared" si="60"/>
        <v>100</v>
      </c>
      <c r="P347" s="9">
        <v>63</v>
      </c>
      <c r="Q347" s="9">
        <v>22</v>
      </c>
      <c r="U347" s="9">
        <v>4</v>
      </c>
      <c r="AC347" s="9">
        <v>5</v>
      </c>
      <c r="AF347" s="9">
        <v>5</v>
      </c>
      <c r="AH347" s="9">
        <v>1</v>
      </c>
      <c r="AS347" s="12">
        <v>1</v>
      </c>
      <c r="AT347" s="12">
        <v>3</v>
      </c>
      <c r="AU347" s="12">
        <v>41</v>
      </c>
      <c r="CE347" s="14">
        <v>2</v>
      </c>
      <c r="CU347" s="14">
        <v>4</v>
      </c>
      <c r="CW347" s="14">
        <v>2</v>
      </c>
      <c r="EZ347" s="16">
        <v>1</v>
      </c>
      <c r="FB347" s="16">
        <v>0.1</v>
      </c>
    </row>
    <row r="348" spans="1:167" x14ac:dyDescent="0.25">
      <c r="A348" s="6" t="str">
        <f t="shared" si="61"/>
        <v>YB_H_1__11_2023</v>
      </c>
      <c r="B348" s="6" t="str">
        <f t="shared" si="62"/>
        <v>YB_H_1__11</v>
      </c>
      <c r="C348" s="6" t="str">
        <f t="shared" si="63"/>
        <v>YB_2023</v>
      </c>
      <c r="D348" s="27" t="s">
        <v>29</v>
      </c>
      <c r="E348" s="73">
        <v>45111</v>
      </c>
      <c r="F348" s="27">
        <v>2023</v>
      </c>
      <c r="G348" s="27" t="s">
        <v>306</v>
      </c>
      <c r="H348" s="27" t="s">
        <v>307</v>
      </c>
      <c r="I348" s="27">
        <v>11</v>
      </c>
      <c r="J348" s="27" t="s">
        <v>229</v>
      </c>
      <c r="K348" s="27">
        <v>1</v>
      </c>
      <c r="N348" s="27" t="s">
        <v>299</v>
      </c>
      <c r="O348" s="11">
        <f t="shared" si="60"/>
        <v>100.19999999999999</v>
      </c>
      <c r="P348" s="9">
        <v>17</v>
      </c>
      <c r="U348" s="9">
        <v>83</v>
      </c>
      <c r="AF348" s="9">
        <v>0.1</v>
      </c>
      <c r="AH348" s="9">
        <v>0.1</v>
      </c>
      <c r="AT348" s="12">
        <v>3</v>
      </c>
      <c r="AU348" s="12">
        <v>50</v>
      </c>
      <c r="CJ348" s="14">
        <v>7</v>
      </c>
      <c r="CU348" s="14">
        <v>0.1</v>
      </c>
      <c r="CW348" s="14">
        <v>1</v>
      </c>
      <c r="EZ348" s="16">
        <v>0.1</v>
      </c>
      <c r="FB348" s="16">
        <v>0.1</v>
      </c>
    </row>
    <row r="349" spans="1:167" x14ac:dyDescent="0.25">
      <c r="A349" s="6" t="str">
        <f t="shared" ref="A349:A353" si="67">CONCATENATE(D349,"_",J349,"_",K349,"_",L349,"_",TEXT(I349,"00"),"_",F349)</f>
        <v>FC_H_1__02_2023</v>
      </c>
      <c r="B349" s="6" t="str">
        <f t="shared" ref="B349:B353" si="68">CONCATENATE(D349,"_",J349,"_",K349,"_",L349,"_",TEXT(I349,"00"))</f>
        <v>FC_H_1__02</v>
      </c>
      <c r="C349" s="6" t="str">
        <f t="shared" ref="C349:C353" si="69">CONCATENATE(D349,,"_",F349)</f>
        <v>FC_2023</v>
      </c>
      <c r="D349" s="7" t="s">
        <v>23</v>
      </c>
      <c r="E349" s="18">
        <v>45109</v>
      </c>
      <c r="F349" s="7">
        <v>2023</v>
      </c>
      <c r="G349" s="7" t="s">
        <v>306</v>
      </c>
      <c r="H349" s="7" t="s">
        <v>281</v>
      </c>
      <c r="I349" s="7">
        <v>2</v>
      </c>
      <c r="J349" s="7" t="s">
        <v>229</v>
      </c>
      <c r="K349" s="7">
        <v>1</v>
      </c>
      <c r="L349" s="7"/>
      <c r="M349" s="7"/>
      <c r="N349" s="7" t="s">
        <v>299</v>
      </c>
      <c r="O349" s="11">
        <f t="shared" si="60"/>
        <v>100</v>
      </c>
      <c r="P349" s="9">
        <v>52</v>
      </c>
      <c r="U349" s="9">
        <v>1</v>
      </c>
      <c r="W349" s="9">
        <v>3</v>
      </c>
      <c r="Z349" s="9">
        <v>28</v>
      </c>
      <c r="AF349" s="9">
        <v>16</v>
      </c>
      <c r="CP349" s="14">
        <v>3</v>
      </c>
      <c r="CU349" s="14">
        <v>20</v>
      </c>
      <c r="CW349" s="14">
        <v>4</v>
      </c>
      <c r="CY349" s="14">
        <v>14</v>
      </c>
      <c r="DI349" s="14">
        <v>2</v>
      </c>
      <c r="EX349" s="16">
        <v>1</v>
      </c>
      <c r="EY349" s="16">
        <v>3</v>
      </c>
      <c r="FK349" s="16">
        <v>0.1</v>
      </c>
    </row>
    <row r="350" spans="1:167" x14ac:dyDescent="0.25">
      <c r="A350" s="6" t="str">
        <f t="shared" si="67"/>
        <v>FC_H_1__04_2023</v>
      </c>
      <c r="B350" s="6" t="str">
        <f t="shared" si="68"/>
        <v>FC_H_1__04</v>
      </c>
      <c r="C350" s="6" t="str">
        <f t="shared" si="69"/>
        <v>FC_2023</v>
      </c>
      <c r="D350" s="7" t="s">
        <v>23</v>
      </c>
      <c r="E350" s="18">
        <v>45109</v>
      </c>
      <c r="F350" s="7">
        <v>2023</v>
      </c>
      <c r="G350" s="7" t="s">
        <v>306</v>
      </c>
      <c r="H350" s="7" t="s">
        <v>281</v>
      </c>
      <c r="I350" s="7">
        <v>4</v>
      </c>
      <c r="J350" s="7" t="s">
        <v>229</v>
      </c>
      <c r="K350" s="7">
        <v>1</v>
      </c>
      <c r="L350" s="7"/>
      <c r="M350" s="7"/>
      <c r="N350" s="7" t="s">
        <v>299</v>
      </c>
      <c r="O350" s="11">
        <f t="shared" si="60"/>
        <v>100</v>
      </c>
      <c r="P350" s="9">
        <v>0.1</v>
      </c>
      <c r="U350" s="9">
        <v>0.1</v>
      </c>
      <c r="Z350" s="9">
        <v>99.8</v>
      </c>
      <c r="CS350" s="14">
        <v>41</v>
      </c>
    </row>
    <row r="351" spans="1:167" x14ac:dyDescent="0.25">
      <c r="A351" s="6" t="str">
        <f t="shared" si="67"/>
        <v>FC_H_1__07_2023</v>
      </c>
      <c r="B351" s="6" t="str">
        <f t="shared" si="68"/>
        <v>FC_H_1__07</v>
      </c>
      <c r="C351" s="6" t="str">
        <f t="shared" si="69"/>
        <v>FC_2023</v>
      </c>
      <c r="D351" s="7" t="s">
        <v>23</v>
      </c>
      <c r="E351" s="18">
        <v>45109</v>
      </c>
      <c r="F351" s="7">
        <v>2023</v>
      </c>
      <c r="G351" s="7" t="s">
        <v>306</v>
      </c>
      <c r="H351" s="7" t="s">
        <v>281</v>
      </c>
      <c r="I351" s="7">
        <v>7</v>
      </c>
      <c r="J351" s="7" t="s">
        <v>229</v>
      </c>
      <c r="K351" s="7">
        <v>1</v>
      </c>
      <c r="L351" s="7"/>
      <c r="M351" s="7"/>
      <c r="N351" s="7" t="s">
        <v>299</v>
      </c>
      <c r="O351" s="11">
        <f t="shared" si="60"/>
        <v>100</v>
      </c>
      <c r="P351" s="9">
        <v>61</v>
      </c>
      <c r="U351" s="9">
        <v>8</v>
      </c>
      <c r="Y351" s="9">
        <v>1</v>
      </c>
      <c r="Z351" s="9">
        <v>21</v>
      </c>
      <c r="AF351" s="9">
        <v>9</v>
      </c>
      <c r="AR351" s="12">
        <v>6</v>
      </c>
      <c r="CE351" s="14">
        <v>1</v>
      </c>
      <c r="CJ351" s="14">
        <v>10</v>
      </c>
      <c r="CU351" s="14">
        <v>1</v>
      </c>
      <c r="CY351" s="14">
        <v>2</v>
      </c>
      <c r="EX351" s="16">
        <v>2</v>
      </c>
    </row>
    <row r="352" spans="1:167" x14ac:dyDescent="0.25">
      <c r="A352" s="6" t="str">
        <f t="shared" si="67"/>
        <v>FC_H_1__12_2023</v>
      </c>
      <c r="B352" s="6" t="str">
        <f t="shared" si="68"/>
        <v>FC_H_1__12</v>
      </c>
      <c r="C352" s="6" t="str">
        <f t="shared" si="69"/>
        <v>FC_2023</v>
      </c>
      <c r="D352" s="7" t="s">
        <v>23</v>
      </c>
      <c r="E352" s="18">
        <v>45109</v>
      </c>
      <c r="F352" s="7">
        <v>2023</v>
      </c>
      <c r="G352" s="7" t="s">
        <v>306</v>
      </c>
      <c r="H352" s="7" t="s">
        <v>281</v>
      </c>
      <c r="I352" s="7">
        <v>12</v>
      </c>
      <c r="J352" s="7" t="s">
        <v>229</v>
      </c>
      <c r="K352" s="7">
        <v>1</v>
      </c>
      <c r="L352" s="7"/>
      <c r="M352" s="7"/>
      <c r="N352" s="7" t="s">
        <v>299</v>
      </c>
      <c r="O352" s="11">
        <f t="shared" si="60"/>
        <v>100.1</v>
      </c>
      <c r="P352" s="9">
        <v>8</v>
      </c>
      <c r="U352" s="9">
        <v>81</v>
      </c>
      <c r="Z352" s="9">
        <v>1</v>
      </c>
      <c r="AC352" s="9">
        <v>0.1</v>
      </c>
      <c r="AF352" s="9">
        <v>8</v>
      </c>
      <c r="AH352" s="9">
        <v>2</v>
      </c>
      <c r="AU352" s="12">
        <v>6</v>
      </c>
      <c r="CJ352" s="14">
        <v>4</v>
      </c>
      <c r="CU352" s="14">
        <v>6</v>
      </c>
      <c r="CW352" s="14">
        <v>7</v>
      </c>
      <c r="CY352" s="14">
        <v>1</v>
      </c>
      <c r="EX352" s="16">
        <v>0.1</v>
      </c>
    </row>
    <row r="353" spans="1:154" x14ac:dyDescent="0.25">
      <c r="A353" s="6" t="str">
        <f t="shared" si="67"/>
        <v>FC_H_1__13_2023</v>
      </c>
      <c r="B353" s="6" t="str">
        <f t="shared" si="68"/>
        <v>FC_H_1__13</v>
      </c>
      <c r="C353" s="6" t="str">
        <f t="shared" si="69"/>
        <v>FC_2023</v>
      </c>
      <c r="D353" s="7" t="s">
        <v>23</v>
      </c>
      <c r="E353" s="18">
        <v>45109</v>
      </c>
      <c r="F353" s="7">
        <v>2023</v>
      </c>
      <c r="G353" s="7" t="s">
        <v>306</v>
      </c>
      <c r="H353" s="7" t="s">
        <v>281</v>
      </c>
      <c r="I353" s="7">
        <v>13</v>
      </c>
      <c r="J353" s="7" t="s">
        <v>229</v>
      </c>
      <c r="K353" s="7">
        <v>1</v>
      </c>
      <c r="L353" s="7"/>
      <c r="M353" s="7"/>
      <c r="N353" s="7" t="s">
        <v>299</v>
      </c>
      <c r="O353" s="11">
        <f t="shared" ref="O353:O361" si="70">SUM(P353:AO353)</f>
        <v>100</v>
      </c>
      <c r="P353" s="9">
        <v>8</v>
      </c>
      <c r="R353" s="9">
        <v>3</v>
      </c>
      <c r="U353" s="9">
        <v>81</v>
      </c>
      <c r="W353" s="9">
        <v>1</v>
      </c>
      <c r="Z353" s="9">
        <v>2</v>
      </c>
      <c r="AF353" s="9">
        <v>3</v>
      </c>
      <c r="AH353" s="9">
        <v>2</v>
      </c>
      <c r="AU353" s="12">
        <v>10</v>
      </c>
      <c r="CJ353" s="14">
        <v>5</v>
      </c>
      <c r="CW353" s="14">
        <v>2</v>
      </c>
      <c r="EX353" s="16">
        <v>1</v>
      </c>
    </row>
    <row r="354" spans="1:154" x14ac:dyDescent="0.25">
      <c r="A354" s="6" t="str">
        <f t="shared" ref="A354:A355" si="71">CONCATENATE(D354,"_",J354,"_",K354,"_",L354,"_",TEXT(I354,"00"),"_",F354)</f>
        <v>FC_H_1__01_2023</v>
      </c>
      <c r="B354" s="6" t="str">
        <f t="shared" ref="B354:B355" si="72">CONCATENATE(D354,"_",J354,"_",K354,"_",L354,"_",TEXT(I354,"00"))</f>
        <v>FC_H_1__01</v>
      </c>
      <c r="C354" s="6" t="str">
        <f t="shared" ref="C354:C355" si="73">CONCATENATE(D354,,"_",F354)</f>
        <v>FC_2023</v>
      </c>
      <c r="D354" s="7" t="s">
        <v>23</v>
      </c>
      <c r="E354" s="18">
        <v>45109</v>
      </c>
      <c r="F354" s="7">
        <v>2023</v>
      </c>
      <c r="G354" s="7" t="s">
        <v>277</v>
      </c>
      <c r="H354" s="7" t="s">
        <v>277</v>
      </c>
      <c r="I354" s="7">
        <v>1</v>
      </c>
      <c r="J354" s="7" t="s">
        <v>229</v>
      </c>
      <c r="K354" s="7">
        <v>1</v>
      </c>
      <c r="L354" s="7"/>
      <c r="M354" s="7"/>
      <c r="N354" s="7" t="s">
        <v>299</v>
      </c>
      <c r="O354" s="11">
        <f t="shared" si="70"/>
        <v>97.1</v>
      </c>
      <c r="P354" s="9">
        <v>26</v>
      </c>
      <c r="U354" s="9">
        <v>62</v>
      </c>
      <c r="W354" s="9">
        <v>7</v>
      </c>
      <c r="Z354" s="9">
        <v>0.1</v>
      </c>
      <c r="AH354" s="9">
        <v>2</v>
      </c>
      <c r="CU354" s="14">
        <v>0.1</v>
      </c>
      <c r="CW354" s="14">
        <v>0.1</v>
      </c>
    </row>
    <row r="355" spans="1:154" x14ac:dyDescent="0.25">
      <c r="A355" s="6" t="str">
        <f t="shared" si="71"/>
        <v>FC_H_1__06_2023</v>
      </c>
      <c r="B355" s="6" t="str">
        <f t="shared" si="72"/>
        <v>FC_H_1__06</v>
      </c>
      <c r="C355" s="6" t="str">
        <f t="shared" si="73"/>
        <v>FC_2023</v>
      </c>
      <c r="D355" s="7" t="s">
        <v>23</v>
      </c>
      <c r="E355" s="18">
        <v>45109</v>
      </c>
      <c r="F355" s="7">
        <v>2023</v>
      </c>
      <c r="G355" s="7" t="s">
        <v>277</v>
      </c>
      <c r="H355" s="7" t="s">
        <v>277</v>
      </c>
      <c r="I355" s="7">
        <v>6</v>
      </c>
      <c r="J355" s="7" t="s">
        <v>229</v>
      </c>
      <c r="K355" s="7">
        <v>1</v>
      </c>
      <c r="L355" s="7"/>
      <c r="M355" s="7"/>
      <c r="N355" s="7" t="s">
        <v>299</v>
      </c>
      <c r="O355" s="11">
        <f t="shared" si="70"/>
        <v>99</v>
      </c>
      <c r="P355" s="9">
        <v>7</v>
      </c>
      <c r="U355" s="9">
        <v>39</v>
      </c>
      <c r="V355" s="9">
        <v>4</v>
      </c>
      <c r="Z355" s="9">
        <v>8</v>
      </c>
      <c r="AB355" s="9">
        <v>1</v>
      </c>
      <c r="AF355" s="9">
        <v>28</v>
      </c>
      <c r="AH355" s="9">
        <v>12</v>
      </c>
      <c r="AS355" s="12">
        <v>28</v>
      </c>
      <c r="AT355" s="12">
        <v>2</v>
      </c>
      <c r="AU355" s="12">
        <v>46</v>
      </c>
      <c r="CJ355" s="14">
        <v>56</v>
      </c>
      <c r="CU355" s="14">
        <v>6</v>
      </c>
      <c r="CW355" s="14">
        <v>6</v>
      </c>
      <c r="DA355" s="14">
        <v>9</v>
      </c>
    </row>
    <row r="356" spans="1:154" x14ac:dyDescent="0.25">
      <c r="A356" s="6" t="str">
        <f t="shared" ref="A356:A361" si="74">CONCATENATE(D356,"_",J356,"_",K356,"_",L356,"_",TEXT(I356,"00"),"_",F356)</f>
        <v>FC_H_1__03_2023</v>
      </c>
      <c r="B356" s="6" t="str">
        <f t="shared" ref="B356:B361" si="75">CONCATENATE(D356,"_",J356,"_",K356,"_",L356,"_",TEXT(I356,"00"))</f>
        <v>FC_H_1__03</v>
      </c>
      <c r="C356" s="6" t="str">
        <f t="shared" ref="C356:C361" si="76">CONCATENATE(D356,,"_",F356)</f>
        <v>FC_2023</v>
      </c>
      <c r="D356" s="7" t="s">
        <v>23</v>
      </c>
      <c r="E356" s="18">
        <v>45109</v>
      </c>
      <c r="F356" s="7">
        <v>2023</v>
      </c>
      <c r="G356" s="7" t="s">
        <v>262</v>
      </c>
      <c r="H356" s="7" t="s">
        <v>306</v>
      </c>
      <c r="I356" s="7">
        <v>3</v>
      </c>
      <c r="J356" s="7" t="s">
        <v>229</v>
      </c>
      <c r="K356" s="7">
        <v>1</v>
      </c>
      <c r="L356" s="7"/>
      <c r="M356" s="7"/>
      <c r="N356" s="7" t="s">
        <v>299</v>
      </c>
      <c r="O356" s="11">
        <f t="shared" si="70"/>
        <v>100</v>
      </c>
      <c r="P356" s="9">
        <v>26</v>
      </c>
      <c r="U356" s="9">
        <v>60</v>
      </c>
      <c r="AA356" s="9">
        <v>4</v>
      </c>
      <c r="AG356" s="9">
        <v>10</v>
      </c>
      <c r="AS356" s="12">
        <v>13</v>
      </c>
      <c r="AT356" s="12">
        <v>3</v>
      </c>
      <c r="CJ356" s="14">
        <v>34</v>
      </c>
      <c r="CU356" s="14">
        <v>4</v>
      </c>
      <c r="CW356" s="14">
        <v>1</v>
      </c>
    </row>
    <row r="357" spans="1:154" x14ac:dyDescent="0.25">
      <c r="A357" s="6" t="str">
        <f t="shared" si="74"/>
        <v>FC_H_1__05_2023</v>
      </c>
      <c r="B357" s="6" t="str">
        <f t="shared" si="75"/>
        <v>FC_H_1__05</v>
      </c>
      <c r="C357" s="6" t="str">
        <f t="shared" si="76"/>
        <v>FC_2023</v>
      </c>
      <c r="D357" s="7" t="s">
        <v>23</v>
      </c>
      <c r="E357" s="18">
        <v>45109</v>
      </c>
      <c r="F357" s="7">
        <v>2023</v>
      </c>
      <c r="G357" s="7" t="s">
        <v>262</v>
      </c>
      <c r="H357" s="7" t="s">
        <v>306</v>
      </c>
      <c r="I357" s="7">
        <v>5</v>
      </c>
      <c r="J357" s="7" t="s">
        <v>229</v>
      </c>
      <c r="K357" s="7">
        <v>1</v>
      </c>
      <c r="L357" s="7"/>
      <c r="M357" s="7"/>
      <c r="N357" s="7" t="s">
        <v>299</v>
      </c>
      <c r="O357" s="11">
        <f t="shared" si="70"/>
        <v>100</v>
      </c>
      <c r="P357" s="9">
        <v>17</v>
      </c>
      <c r="U357" s="9">
        <v>75</v>
      </c>
      <c r="Z357" s="9">
        <v>1</v>
      </c>
      <c r="AA357" s="9">
        <v>1</v>
      </c>
      <c r="AG357" s="9">
        <v>6</v>
      </c>
      <c r="AR357" s="12">
        <v>1</v>
      </c>
      <c r="CJ357" s="14">
        <v>20</v>
      </c>
      <c r="CU357" s="14">
        <v>1</v>
      </c>
      <c r="CW357" s="14">
        <v>1</v>
      </c>
    </row>
    <row r="358" spans="1:154" x14ac:dyDescent="0.25">
      <c r="A358" s="6" t="str">
        <f t="shared" si="74"/>
        <v>FC_H_1__09_2023</v>
      </c>
      <c r="B358" s="6" t="str">
        <f t="shared" si="75"/>
        <v>FC_H_1__09</v>
      </c>
      <c r="C358" s="6" t="str">
        <f t="shared" si="76"/>
        <v>FC_2023</v>
      </c>
      <c r="D358" s="7" t="s">
        <v>23</v>
      </c>
      <c r="E358" s="18">
        <v>45109</v>
      </c>
      <c r="F358" s="7">
        <v>2023</v>
      </c>
      <c r="G358" s="7" t="s">
        <v>262</v>
      </c>
      <c r="H358" s="7" t="s">
        <v>306</v>
      </c>
      <c r="I358" s="7">
        <v>9</v>
      </c>
      <c r="J358" s="7" t="s">
        <v>229</v>
      </c>
      <c r="K358" s="7">
        <v>1</v>
      </c>
      <c r="L358" s="7"/>
      <c r="M358" s="7"/>
      <c r="N358" s="7" t="s">
        <v>299</v>
      </c>
      <c r="O358" s="11">
        <f t="shared" si="70"/>
        <v>100</v>
      </c>
      <c r="P358" s="9">
        <v>13</v>
      </c>
      <c r="U358" s="9">
        <v>10</v>
      </c>
      <c r="Z358" s="9">
        <v>75</v>
      </c>
      <c r="AA358" s="9">
        <v>1</v>
      </c>
      <c r="AG358" s="9">
        <v>1</v>
      </c>
      <c r="AR358" s="12">
        <v>4</v>
      </c>
      <c r="AS358" s="12">
        <v>4</v>
      </c>
      <c r="AT358" s="12">
        <v>10</v>
      </c>
      <c r="CJ358" s="14">
        <v>3</v>
      </c>
      <c r="CT358" s="15">
        <v>4</v>
      </c>
      <c r="CW358" s="14">
        <v>2</v>
      </c>
    </row>
    <row r="359" spans="1:154" x14ac:dyDescent="0.25">
      <c r="A359" s="6" t="str">
        <f t="shared" si="74"/>
        <v>FC_H_1__10_2023</v>
      </c>
      <c r="B359" s="6" t="str">
        <f t="shared" si="75"/>
        <v>FC_H_1__10</v>
      </c>
      <c r="C359" s="6" t="str">
        <f t="shared" si="76"/>
        <v>FC_2023</v>
      </c>
      <c r="D359" s="7" t="s">
        <v>23</v>
      </c>
      <c r="E359" s="18">
        <v>45109</v>
      </c>
      <c r="F359" s="7">
        <v>2023</v>
      </c>
      <c r="G359" s="7" t="s">
        <v>262</v>
      </c>
      <c r="H359" s="7" t="s">
        <v>306</v>
      </c>
      <c r="I359" s="7">
        <v>10</v>
      </c>
      <c r="J359" s="7" t="s">
        <v>229</v>
      </c>
      <c r="K359" s="7">
        <v>1</v>
      </c>
      <c r="L359" s="7"/>
      <c r="M359" s="7"/>
      <c r="N359" s="7" t="s">
        <v>299</v>
      </c>
      <c r="O359" s="11">
        <f t="shared" si="70"/>
        <v>100</v>
      </c>
      <c r="P359" s="9">
        <v>8</v>
      </c>
      <c r="U359" s="9">
        <v>2</v>
      </c>
      <c r="Z359" s="9">
        <v>90</v>
      </c>
      <c r="AS359" s="12">
        <v>3</v>
      </c>
      <c r="AT359" s="12">
        <v>6</v>
      </c>
    </row>
    <row r="360" spans="1:154" x14ac:dyDescent="0.25">
      <c r="A360" s="6" t="str">
        <f t="shared" si="74"/>
        <v>FC_H_1__08_2023</v>
      </c>
      <c r="B360" s="6" t="str">
        <f t="shared" si="75"/>
        <v>FC_H_1__08</v>
      </c>
      <c r="C360" s="6" t="str">
        <f t="shared" si="76"/>
        <v>FC_2023</v>
      </c>
      <c r="D360" s="7" t="s">
        <v>23</v>
      </c>
      <c r="E360" s="18">
        <v>45109</v>
      </c>
      <c r="F360" s="7">
        <v>2023</v>
      </c>
      <c r="G360" s="7" t="s">
        <v>262</v>
      </c>
      <c r="H360" s="7" t="s">
        <v>306</v>
      </c>
      <c r="I360" s="7">
        <v>8</v>
      </c>
      <c r="J360" s="7" t="s">
        <v>229</v>
      </c>
      <c r="K360" s="7">
        <v>1</v>
      </c>
      <c r="L360" s="7"/>
      <c r="M360" s="7"/>
      <c r="N360" s="7" t="s">
        <v>299</v>
      </c>
      <c r="O360" s="11">
        <f t="shared" si="70"/>
        <v>100</v>
      </c>
      <c r="P360" s="9">
        <v>81</v>
      </c>
      <c r="U360" s="9">
        <v>1</v>
      </c>
      <c r="V360" s="9">
        <v>1</v>
      </c>
      <c r="AF360" s="9">
        <v>1</v>
      </c>
      <c r="AG360" s="9">
        <v>13</v>
      </c>
      <c r="AH360" s="9">
        <v>3</v>
      </c>
      <c r="AS360" s="12">
        <v>17</v>
      </c>
      <c r="AT360" s="12">
        <v>31</v>
      </c>
      <c r="CJ360" s="14">
        <v>0.1</v>
      </c>
      <c r="CP360" s="14">
        <v>25</v>
      </c>
      <c r="CW360" s="14">
        <v>7</v>
      </c>
    </row>
    <row r="361" spans="1:154" x14ac:dyDescent="0.25">
      <c r="A361" s="6" t="str">
        <f t="shared" si="74"/>
        <v>FC_H_1__11_2023</v>
      </c>
      <c r="B361" s="6" t="str">
        <f t="shared" si="75"/>
        <v>FC_H_1__11</v>
      </c>
      <c r="C361" s="6" t="str">
        <f t="shared" si="76"/>
        <v>FC_2023</v>
      </c>
      <c r="D361" s="7" t="s">
        <v>23</v>
      </c>
      <c r="E361" s="18">
        <v>45109</v>
      </c>
      <c r="F361" s="7">
        <v>2023</v>
      </c>
      <c r="G361" s="7" t="s">
        <v>262</v>
      </c>
      <c r="H361" s="7" t="s">
        <v>306</v>
      </c>
      <c r="I361" s="7">
        <v>11</v>
      </c>
      <c r="J361" s="7" t="s">
        <v>229</v>
      </c>
      <c r="K361" s="7">
        <v>1</v>
      </c>
      <c r="L361" s="7"/>
      <c r="M361" s="7"/>
      <c r="N361" s="7" t="s">
        <v>299</v>
      </c>
      <c r="O361" s="11">
        <f t="shared" si="70"/>
        <v>100</v>
      </c>
      <c r="P361" s="9">
        <v>59</v>
      </c>
      <c r="U361" s="9">
        <v>22</v>
      </c>
      <c r="W361" s="9">
        <v>18</v>
      </c>
      <c r="AH361" s="9">
        <v>1</v>
      </c>
      <c r="AT361" s="12">
        <v>31</v>
      </c>
      <c r="CJ361" s="14">
        <v>1</v>
      </c>
      <c r="CU361" s="14">
        <v>2</v>
      </c>
      <c r="CW361" s="14">
        <v>3</v>
      </c>
    </row>
    <row r="366" spans="1:154" x14ac:dyDescent="0.25">
      <c r="AB366" s="9" t="s">
        <v>308</v>
      </c>
    </row>
  </sheetData>
  <autoFilter ref="A2:FU361">
    <sortState ref="A3:FT330">
      <sortCondition ref="A2:A48"/>
    </sortState>
  </autoFilter>
  <sortState columnSort="1" ref="CC1:EV330">
    <sortCondition descending="1" sortBy="cellColor" ref="CC2:EV2" dxfId="48"/>
  </sortState>
  <conditionalFormatting sqref="O3:O45 O152:O155 O103:O125 O128 O130 O132 O134:O135 O137:O150 O47:O52 O54:O99 O159:O1048576">
    <cfRule type="cellIs" dxfId="47" priority="47" operator="lessThan">
      <formula>100</formula>
    </cfRule>
    <cfRule type="cellIs" dxfId="46" priority="48" operator="greaterThan">
      <formula>100.4</formula>
    </cfRule>
  </conditionalFormatting>
  <conditionalFormatting sqref="A1:A45 A159:A1048576 A152:A155 A103:A125 A128 A130 A132 A134:A135 A137:A150 A47:A52 A54:A99">
    <cfRule type="duplicateValues" dxfId="45" priority="46"/>
  </conditionalFormatting>
  <conditionalFormatting sqref="O158">
    <cfRule type="cellIs" dxfId="44" priority="44" operator="lessThan">
      <formula>100</formula>
    </cfRule>
    <cfRule type="cellIs" dxfId="43" priority="45" operator="greaterThan">
      <formula>100.4</formula>
    </cfRule>
  </conditionalFormatting>
  <conditionalFormatting sqref="A158">
    <cfRule type="duplicateValues" dxfId="42" priority="43"/>
  </conditionalFormatting>
  <conditionalFormatting sqref="O157">
    <cfRule type="cellIs" dxfId="41" priority="41" operator="lessThan">
      <formula>100</formula>
    </cfRule>
    <cfRule type="cellIs" dxfId="40" priority="42" operator="greaterThan">
      <formula>100.4</formula>
    </cfRule>
  </conditionalFormatting>
  <conditionalFormatting sqref="A157">
    <cfRule type="duplicateValues" dxfId="39" priority="40"/>
  </conditionalFormatting>
  <conditionalFormatting sqref="O156">
    <cfRule type="cellIs" dxfId="38" priority="38" operator="lessThan">
      <formula>100</formula>
    </cfRule>
    <cfRule type="cellIs" dxfId="37" priority="39" operator="greaterThan">
      <formula>100.4</formula>
    </cfRule>
  </conditionalFormatting>
  <conditionalFormatting sqref="A156">
    <cfRule type="duplicateValues" dxfId="36" priority="37"/>
  </conditionalFormatting>
  <conditionalFormatting sqref="O151">
    <cfRule type="cellIs" dxfId="35" priority="35" operator="lessThan">
      <formula>100</formula>
    </cfRule>
    <cfRule type="cellIs" dxfId="34" priority="36" operator="greaterThan">
      <formula>100.4</formula>
    </cfRule>
  </conditionalFormatting>
  <conditionalFormatting sqref="A151">
    <cfRule type="duplicateValues" dxfId="33" priority="34"/>
  </conditionalFormatting>
  <conditionalFormatting sqref="O101">
    <cfRule type="cellIs" dxfId="32" priority="32" operator="lessThan">
      <formula>100</formula>
    </cfRule>
    <cfRule type="cellIs" dxfId="31" priority="33" operator="greaterThan">
      <formula>100.4</formula>
    </cfRule>
  </conditionalFormatting>
  <conditionalFormatting sqref="A101">
    <cfRule type="duplicateValues" dxfId="30" priority="31"/>
  </conditionalFormatting>
  <conditionalFormatting sqref="O102">
    <cfRule type="cellIs" dxfId="29" priority="29" operator="lessThan">
      <formula>100</formula>
    </cfRule>
    <cfRule type="cellIs" dxfId="28" priority="30" operator="greaterThan">
      <formula>100.4</formula>
    </cfRule>
  </conditionalFormatting>
  <conditionalFormatting sqref="A102">
    <cfRule type="duplicateValues" dxfId="27" priority="28"/>
  </conditionalFormatting>
  <conditionalFormatting sqref="O126">
    <cfRule type="cellIs" dxfId="26" priority="26" operator="lessThan">
      <formula>100</formula>
    </cfRule>
    <cfRule type="cellIs" dxfId="25" priority="27" operator="greaterThan">
      <formula>100.4</formula>
    </cfRule>
  </conditionalFormatting>
  <conditionalFormatting sqref="A126">
    <cfRule type="duplicateValues" dxfId="24" priority="25"/>
  </conditionalFormatting>
  <conditionalFormatting sqref="O127">
    <cfRule type="cellIs" dxfId="23" priority="23" operator="lessThan">
      <formula>100</formula>
    </cfRule>
    <cfRule type="cellIs" dxfId="22" priority="24" operator="greaterThan">
      <formula>100.4</formula>
    </cfRule>
  </conditionalFormatting>
  <conditionalFormatting sqref="A127">
    <cfRule type="duplicateValues" dxfId="21" priority="22"/>
  </conditionalFormatting>
  <conditionalFormatting sqref="O129">
    <cfRule type="cellIs" dxfId="20" priority="20" operator="lessThan">
      <formula>100</formula>
    </cfRule>
    <cfRule type="cellIs" dxfId="19" priority="21" operator="greaterThan">
      <formula>100.4</formula>
    </cfRule>
  </conditionalFormatting>
  <conditionalFormatting sqref="A129">
    <cfRule type="duplicateValues" dxfId="18" priority="19"/>
  </conditionalFormatting>
  <conditionalFormatting sqref="O100">
    <cfRule type="cellIs" dxfId="17" priority="17" operator="lessThan">
      <formula>100</formula>
    </cfRule>
    <cfRule type="cellIs" dxfId="16" priority="18" operator="greaterThan">
      <formula>100.4</formula>
    </cfRule>
  </conditionalFormatting>
  <conditionalFormatting sqref="A100">
    <cfRule type="duplicateValues" dxfId="15" priority="16"/>
  </conditionalFormatting>
  <conditionalFormatting sqref="O131">
    <cfRule type="cellIs" dxfId="14" priority="14" operator="lessThan">
      <formula>100</formula>
    </cfRule>
    <cfRule type="cellIs" dxfId="13" priority="15" operator="greaterThan">
      <formula>100.4</formula>
    </cfRule>
  </conditionalFormatting>
  <conditionalFormatting sqref="A131">
    <cfRule type="duplicateValues" dxfId="12" priority="13"/>
  </conditionalFormatting>
  <conditionalFormatting sqref="O133">
    <cfRule type="cellIs" dxfId="11" priority="11" operator="lessThan">
      <formula>100</formula>
    </cfRule>
    <cfRule type="cellIs" dxfId="10" priority="12" operator="greaterThan">
      <formula>100.4</formula>
    </cfRule>
  </conditionalFormatting>
  <conditionalFormatting sqref="A133">
    <cfRule type="duplicateValues" dxfId="9" priority="10"/>
  </conditionalFormatting>
  <conditionalFormatting sqref="O136">
    <cfRule type="cellIs" dxfId="8" priority="8" operator="lessThan">
      <formula>100</formula>
    </cfRule>
    <cfRule type="cellIs" dxfId="7" priority="9" operator="greaterThan">
      <formula>100.4</formula>
    </cfRule>
  </conditionalFormatting>
  <conditionalFormatting sqref="A136">
    <cfRule type="duplicateValues" dxfId="6" priority="7"/>
  </conditionalFormatting>
  <conditionalFormatting sqref="O46">
    <cfRule type="cellIs" dxfId="5" priority="5" operator="lessThan">
      <formula>100</formula>
    </cfRule>
    <cfRule type="cellIs" dxfId="4" priority="6" operator="greaterThan">
      <formula>100.4</formula>
    </cfRule>
  </conditionalFormatting>
  <conditionalFormatting sqref="A46">
    <cfRule type="duplicateValues" dxfId="3" priority="4"/>
  </conditionalFormatting>
  <conditionalFormatting sqref="O53">
    <cfRule type="cellIs" dxfId="2" priority="2" operator="lessThan">
      <formula>100</formula>
    </cfRule>
    <cfRule type="cellIs" dxfId="1" priority="3" operator="greaterThan">
      <formula>100.4</formula>
    </cfRule>
  </conditionalFormatting>
  <conditionalFormatting sqref="A53">
    <cfRule type="duplicat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Validation!$B$2:$B$17</xm:f>
          </x14:formula1>
          <xm:sqref>D3:D43</xm:sqref>
        </x14:dataValidation>
        <x14:dataValidation type="list" allowBlank="1" showInputMessage="1" showErrorMessage="1">
          <x14:formula1>
            <xm:f>Validation!$F$2:$F$11</xm:f>
          </x14:formula1>
          <xm:sqref>I3:I40</xm:sqref>
        </x14:dataValidation>
        <x14:dataValidation type="list" allowBlank="1" showInputMessage="1" showErrorMessage="1">
          <x14:formula1>
            <xm:f>Validation!$C$2:$C$4</xm:f>
          </x14:formula1>
          <xm:sqref>K3:K40</xm:sqref>
        </x14:dataValidation>
        <x14:dataValidation type="list" allowBlank="1" showInputMessage="1" showErrorMessage="1">
          <x14:formula1>
            <xm:f>Validation!$E$2:$E$3</xm:f>
          </x14:formula1>
          <xm:sqref>L3:L40</xm:sqref>
        </x14:dataValidation>
        <x14:dataValidation type="list" allowBlank="1" showInputMessage="1" showErrorMessage="1">
          <x14:formula1>
            <xm:f>Validation!$D$2:$D$5</xm:f>
          </x14:formula1>
          <xm:sqref>J3:J43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topLeftCell="A118" workbookViewId="0">
      <selection activeCell="C30" sqref="C30"/>
    </sheetView>
  </sheetViews>
  <sheetFormatPr defaultRowHeight="15" x14ac:dyDescent="0.25"/>
  <cols>
    <col min="1" max="1" width="18.85546875" customWidth="1"/>
    <col min="2" max="2" width="14.85546875" customWidth="1"/>
    <col min="3" max="3" width="34.42578125" bestFit="1" customWidth="1"/>
  </cols>
  <sheetData>
    <row r="1" spans="1:3" x14ac:dyDescent="0.25">
      <c r="A1" s="1" t="s">
        <v>196</v>
      </c>
      <c r="B1" s="1" t="s">
        <v>197</v>
      </c>
      <c r="C1" s="1" t="s">
        <v>199</v>
      </c>
    </row>
    <row r="2" spans="1:3" x14ac:dyDescent="0.25">
      <c r="A2" s="38" t="s">
        <v>112</v>
      </c>
      <c r="B2" s="38" t="s">
        <v>30</v>
      </c>
    </row>
    <row r="3" spans="1:3" x14ac:dyDescent="0.25">
      <c r="A3" s="38" t="s">
        <v>112</v>
      </c>
      <c r="B3" s="38" t="s">
        <v>31</v>
      </c>
    </row>
    <row r="4" spans="1:3" ht="30" x14ac:dyDescent="0.25">
      <c r="A4" s="38" t="s">
        <v>112</v>
      </c>
      <c r="B4" s="38" t="s">
        <v>32</v>
      </c>
    </row>
    <row r="5" spans="1:3" ht="30" x14ac:dyDescent="0.25">
      <c r="A5" s="38" t="s">
        <v>112</v>
      </c>
      <c r="B5" s="38" t="s">
        <v>115</v>
      </c>
    </row>
    <row r="6" spans="1:3" x14ac:dyDescent="0.25">
      <c r="A6" s="38" t="s">
        <v>112</v>
      </c>
      <c r="B6" s="38" t="s">
        <v>33</v>
      </c>
    </row>
    <row r="7" spans="1:3" ht="30" x14ac:dyDescent="0.25">
      <c r="A7" s="38" t="s">
        <v>112</v>
      </c>
      <c r="B7" s="38" t="s">
        <v>34</v>
      </c>
    </row>
    <row r="8" spans="1:3" ht="30" x14ac:dyDescent="0.25">
      <c r="A8" s="38" t="s">
        <v>112</v>
      </c>
      <c r="B8" s="38" t="s">
        <v>37</v>
      </c>
    </row>
    <row r="9" spans="1:3" ht="30" x14ac:dyDescent="0.25">
      <c r="A9" s="38" t="s">
        <v>112</v>
      </c>
      <c r="B9" s="38" t="s">
        <v>35</v>
      </c>
    </row>
    <row r="10" spans="1:3" ht="30" x14ac:dyDescent="0.25">
      <c r="A10" s="38" t="s">
        <v>112</v>
      </c>
      <c r="B10" s="38" t="s">
        <v>36</v>
      </c>
    </row>
    <row r="11" spans="1:3" ht="30" x14ac:dyDescent="0.25">
      <c r="A11" s="38" t="s">
        <v>112</v>
      </c>
      <c r="B11" s="38" t="s">
        <v>96</v>
      </c>
    </row>
    <row r="12" spans="1:3" ht="30" x14ac:dyDescent="0.25">
      <c r="A12" s="38" t="s">
        <v>112</v>
      </c>
      <c r="B12" s="38" t="s">
        <v>40</v>
      </c>
    </row>
    <row r="13" spans="1:3" ht="45" x14ac:dyDescent="0.25">
      <c r="A13" s="38" t="s">
        <v>112</v>
      </c>
      <c r="B13" s="38" t="s">
        <v>41</v>
      </c>
    </row>
    <row r="14" spans="1:3" ht="30" x14ac:dyDescent="0.25">
      <c r="A14" s="38" t="s">
        <v>112</v>
      </c>
      <c r="B14" s="38" t="s">
        <v>42</v>
      </c>
    </row>
    <row r="15" spans="1:3" ht="30" x14ac:dyDescent="0.25">
      <c r="A15" s="38" t="s">
        <v>112</v>
      </c>
      <c r="B15" s="38" t="s">
        <v>135</v>
      </c>
    </row>
    <row r="16" spans="1:3" ht="30" x14ac:dyDescent="0.25">
      <c r="A16" s="38" t="s">
        <v>112</v>
      </c>
      <c r="B16" s="38" t="s">
        <v>89</v>
      </c>
    </row>
    <row r="17" spans="1:3" ht="30" x14ac:dyDescent="0.25">
      <c r="A17" s="38" t="s">
        <v>112</v>
      </c>
      <c r="B17" s="38" t="s">
        <v>113</v>
      </c>
      <c r="C17" t="s">
        <v>198</v>
      </c>
    </row>
    <row r="18" spans="1:3" x14ac:dyDescent="0.25">
      <c r="A18" s="38" t="s">
        <v>112</v>
      </c>
      <c r="B18" s="38" t="s">
        <v>43</v>
      </c>
    </row>
    <row r="19" spans="1:3" x14ac:dyDescent="0.25">
      <c r="A19" s="38" t="s">
        <v>112</v>
      </c>
      <c r="B19" s="38" t="s">
        <v>44</v>
      </c>
    </row>
    <row r="20" spans="1:3" ht="45" x14ac:dyDescent="0.25">
      <c r="A20" s="38" t="s">
        <v>112</v>
      </c>
      <c r="B20" s="38" t="s">
        <v>114</v>
      </c>
    </row>
    <row r="21" spans="1:3" x14ac:dyDescent="0.25">
      <c r="A21" s="39" t="s">
        <v>112</v>
      </c>
      <c r="B21" s="39" t="s">
        <v>38</v>
      </c>
    </row>
    <row r="22" spans="1:3" x14ac:dyDescent="0.25">
      <c r="A22" s="39" t="s">
        <v>112</v>
      </c>
      <c r="B22" s="39" t="s">
        <v>116</v>
      </c>
    </row>
    <row r="23" spans="1:3" x14ac:dyDescent="0.25">
      <c r="A23" s="39" t="s">
        <v>112</v>
      </c>
      <c r="B23" s="39" t="s">
        <v>99</v>
      </c>
    </row>
    <row r="24" spans="1:3" x14ac:dyDescent="0.25">
      <c r="A24" s="39" t="s">
        <v>112</v>
      </c>
      <c r="B24" s="39" t="s">
        <v>79</v>
      </c>
    </row>
    <row r="25" spans="1:3" ht="30" x14ac:dyDescent="0.25">
      <c r="A25" s="39" t="s">
        <v>112</v>
      </c>
      <c r="B25" s="39" t="s">
        <v>122</v>
      </c>
    </row>
    <row r="26" spans="1:3" x14ac:dyDescent="0.25">
      <c r="A26" s="39" t="s">
        <v>112</v>
      </c>
      <c r="B26" s="39" t="s">
        <v>117</v>
      </c>
    </row>
    <row r="27" spans="1:3" ht="30" x14ac:dyDescent="0.25">
      <c r="A27" s="40" t="s">
        <v>118</v>
      </c>
      <c r="B27" s="40" t="s">
        <v>119</v>
      </c>
      <c r="C27" t="s">
        <v>201</v>
      </c>
    </row>
    <row r="28" spans="1:3" ht="30" x14ac:dyDescent="0.25">
      <c r="A28" s="41" t="s">
        <v>131</v>
      </c>
      <c r="B28" s="41" t="s">
        <v>121</v>
      </c>
    </row>
    <row r="29" spans="1:3" ht="30" x14ac:dyDescent="0.25">
      <c r="A29" s="41" t="s">
        <v>131</v>
      </c>
      <c r="B29" s="41" t="s">
        <v>60</v>
      </c>
    </row>
    <row r="30" spans="1:3" ht="30" x14ac:dyDescent="0.25">
      <c r="A30" s="41" t="s">
        <v>131</v>
      </c>
      <c r="B30" s="41" t="s">
        <v>123</v>
      </c>
    </row>
    <row r="31" spans="1:3" x14ac:dyDescent="0.25">
      <c r="A31" s="41" t="s">
        <v>131</v>
      </c>
      <c r="B31" s="41" t="s">
        <v>124</v>
      </c>
    </row>
    <row r="32" spans="1:3" ht="30" x14ac:dyDescent="0.25">
      <c r="A32" s="41" t="s">
        <v>131</v>
      </c>
      <c r="B32" s="41" t="s">
        <v>125</v>
      </c>
      <c r="C32" t="s">
        <v>202</v>
      </c>
    </row>
    <row r="33" spans="1:3" ht="30" x14ac:dyDescent="0.25">
      <c r="A33" s="41" t="s">
        <v>131</v>
      </c>
      <c r="B33" s="41" t="s">
        <v>126</v>
      </c>
      <c r="C33" s="2" t="s">
        <v>202</v>
      </c>
    </row>
    <row r="34" spans="1:3" ht="30" x14ac:dyDescent="0.25">
      <c r="A34" s="41" t="s">
        <v>131</v>
      </c>
      <c r="B34" s="41" t="s">
        <v>64</v>
      </c>
    </row>
    <row r="35" spans="1:3" ht="30" x14ac:dyDescent="0.25">
      <c r="A35" s="41" t="s">
        <v>131</v>
      </c>
      <c r="B35" s="41" t="s">
        <v>127</v>
      </c>
    </row>
    <row r="36" spans="1:3" x14ac:dyDescent="0.25">
      <c r="A36" s="41" t="s">
        <v>131</v>
      </c>
      <c r="B36" s="41" t="s">
        <v>206</v>
      </c>
    </row>
    <row r="37" spans="1:3" x14ac:dyDescent="0.25">
      <c r="A37" s="41" t="s">
        <v>131</v>
      </c>
      <c r="B37" s="41" t="s">
        <v>128</v>
      </c>
    </row>
    <row r="38" spans="1:3" ht="45" x14ac:dyDescent="0.25">
      <c r="A38" s="41" t="s">
        <v>131</v>
      </c>
      <c r="B38" s="41" t="s">
        <v>67</v>
      </c>
    </row>
    <row r="39" spans="1:3" x14ac:dyDescent="0.25">
      <c r="A39" s="41" t="s">
        <v>131</v>
      </c>
      <c r="B39" s="41" t="s">
        <v>68</v>
      </c>
    </row>
    <row r="40" spans="1:3" x14ac:dyDescent="0.25">
      <c r="A40" s="41" t="s">
        <v>131</v>
      </c>
      <c r="B40" s="41" t="s">
        <v>94</v>
      </c>
    </row>
    <row r="41" spans="1:3" x14ac:dyDescent="0.25">
      <c r="A41" s="41" t="s">
        <v>131</v>
      </c>
      <c r="B41" s="41" t="s">
        <v>129</v>
      </c>
    </row>
    <row r="42" spans="1:3" ht="45" x14ac:dyDescent="0.25">
      <c r="A42" s="41" t="s">
        <v>131</v>
      </c>
      <c r="B42" s="41" t="s">
        <v>130</v>
      </c>
    </row>
    <row r="43" spans="1:3" x14ac:dyDescent="0.25">
      <c r="A43" s="42" t="s">
        <v>131</v>
      </c>
      <c r="B43" s="42" t="s">
        <v>101</v>
      </c>
    </row>
    <row r="44" spans="1:3" x14ac:dyDescent="0.25">
      <c r="A44" s="42" t="s">
        <v>131</v>
      </c>
      <c r="B44" s="42" t="s">
        <v>69</v>
      </c>
    </row>
    <row r="45" spans="1:3" ht="30" x14ac:dyDescent="0.25">
      <c r="A45" s="42" t="s">
        <v>131</v>
      </c>
      <c r="B45" s="42" t="s">
        <v>97</v>
      </c>
    </row>
    <row r="46" spans="1:3" ht="30" x14ac:dyDescent="0.25">
      <c r="A46" s="42" t="s">
        <v>131</v>
      </c>
      <c r="B46" s="42" t="s">
        <v>74</v>
      </c>
    </row>
    <row r="47" spans="1:3" x14ac:dyDescent="0.25">
      <c r="A47" s="42" t="s">
        <v>131</v>
      </c>
      <c r="B47" s="42" t="s">
        <v>73</v>
      </c>
    </row>
    <row r="48" spans="1:3" x14ac:dyDescent="0.25">
      <c r="A48" s="42" t="s">
        <v>131</v>
      </c>
      <c r="B48" s="42" t="s">
        <v>61</v>
      </c>
    </row>
    <row r="49" spans="1:2" x14ac:dyDescent="0.25">
      <c r="A49" s="42" t="s">
        <v>131</v>
      </c>
      <c r="B49" s="42" t="s">
        <v>103</v>
      </c>
    </row>
    <row r="50" spans="1:2" x14ac:dyDescent="0.25">
      <c r="A50" s="42" t="s">
        <v>131</v>
      </c>
      <c r="B50" s="42" t="s">
        <v>66</v>
      </c>
    </row>
    <row r="51" spans="1:2" x14ac:dyDescent="0.25">
      <c r="A51" s="42" t="s">
        <v>131</v>
      </c>
      <c r="B51" s="42" t="s">
        <v>136</v>
      </c>
    </row>
    <row r="52" spans="1:2" x14ac:dyDescent="0.25">
      <c r="A52" s="42" t="s">
        <v>131</v>
      </c>
      <c r="B52" s="42" t="s">
        <v>137</v>
      </c>
    </row>
    <row r="53" spans="1:2" x14ac:dyDescent="0.25">
      <c r="A53" s="42" t="s">
        <v>131</v>
      </c>
      <c r="B53" s="42" t="s">
        <v>76</v>
      </c>
    </row>
    <row r="54" spans="1:2" x14ac:dyDescent="0.25">
      <c r="A54" s="42" t="s">
        <v>131</v>
      </c>
      <c r="B54" s="42" t="s">
        <v>139</v>
      </c>
    </row>
    <row r="55" spans="1:2" x14ac:dyDescent="0.25">
      <c r="A55" s="42" t="s">
        <v>131</v>
      </c>
      <c r="B55" s="42" t="s">
        <v>138</v>
      </c>
    </row>
    <row r="56" spans="1:2" ht="30" x14ac:dyDescent="0.25">
      <c r="A56" s="42" t="s">
        <v>131</v>
      </c>
      <c r="B56" s="42" t="s">
        <v>140</v>
      </c>
    </row>
    <row r="57" spans="1:2" x14ac:dyDescent="0.25">
      <c r="A57" s="42" t="s">
        <v>131</v>
      </c>
      <c r="B57" s="42" t="s">
        <v>77</v>
      </c>
    </row>
    <row r="58" spans="1:2" x14ac:dyDescent="0.25">
      <c r="A58" s="42" t="s">
        <v>131</v>
      </c>
      <c r="B58" s="42" t="s">
        <v>75</v>
      </c>
    </row>
    <row r="59" spans="1:2" x14ac:dyDescent="0.25">
      <c r="A59" s="42" t="s">
        <v>131</v>
      </c>
      <c r="B59" s="42" t="s">
        <v>62</v>
      </c>
    </row>
    <row r="60" spans="1:2" x14ac:dyDescent="0.25">
      <c r="A60" s="42" t="s">
        <v>131</v>
      </c>
      <c r="B60" s="42" t="s">
        <v>71</v>
      </c>
    </row>
    <row r="61" spans="1:2" x14ac:dyDescent="0.25">
      <c r="A61" s="42" t="s">
        <v>131</v>
      </c>
      <c r="B61" s="42" t="s">
        <v>78</v>
      </c>
    </row>
    <row r="62" spans="1:2" x14ac:dyDescent="0.25">
      <c r="A62" s="42" t="s">
        <v>131</v>
      </c>
      <c r="B62" s="42" t="s">
        <v>72</v>
      </c>
    </row>
    <row r="63" spans="1:2" ht="30" x14ac:dyDescent="0.25">
      <c r="A63" s="42" t="s">
        <v>131</v>
      </c>
      <c r="B63" s="42" t="s">
        <v>65</v>
      </c>
    </row>
    <row r="64" spans="1:2" ht="30" x14ac:dyDescent="0.25">
      <c r="A64" s="42" t="s">
        <v>131</v>
      </c>
      <c r="B64" s="42" t="s">
        <v>63</v>
      </c>
    </row>
    <row r="65" spans="1:2" x14ac:dyDescent="0.25">
      <c r="A65" s="42" t="s">
        <v>131</v>
      </c>
      <c r="B65" s="42" t="s">
        <v>70</v>
      </c>
    </row>
    <row r="66" spans="1:2" ht="30" x14ac:dyDescent="0.25">
      <c r="A66" s="43" t="s">
        <v>120</v>
      </c>
      <c r="B66" s="43" t="s">
        <v>100</v>
      </c>
    </row>
    <row r="67" spans="1:2" ht="30" x14ac:dyDescent="0.25">
      <c r="A67" s="43" t="s">
        <v>120</v>
      </c>
      <c r="B67" s="43" t="s">
        <v>95</v>
      </c>
    </row>
    <row r="68" spans="1:2" ht="30" x14ac:dyDescent="0.25">
      <c r="A68" s="43" t="s">
        <v>120</v>
      </c>
      <c r="B68" s="43" t="s">
        <v>142</v>
      </c>
    </row>
    <row r="69" spans="1:2" ht="30" x14ac:dyDescent="0.25">
      <c r="A69" s="43" t="s">
        <v>120</v>
      </c>
      <c r="B69" s="43" t="s">
        <v>143</v>
      </c>
    </row>
    <row r="70" spans="1:2" ht="30" x14ac:dyDescent="0.25">
      <c r="A70" s="43" t="s">
        <v>120</v>
      </c>
      <c r="B70" s="43" t="s">
        <v>162</v>
      </c>
    </row>
    <row r="71" spans="1:2" ht="30" x14ac:dyDescent="0.25">
      <c r="A71" s="43" t="s">
        <v>120</v>
      </c>
      <c r="B71" s="43" t="s">
        <v>144</v>
      </c>
    </row>
    <row r="72" spans="1:2" ht="45" x14ac:dyDescent="0.25">
      <c r="A72" s="43" t="s">
        <v>120</v>
      </c>
      <c r="B72" s="43" t="s">
        <v>104</v>
      </c>
    </row>
    <row r="73" spans="1:2" ht="30" x14ac:dyDescent="0.25">
      <c r="A73" s="43" t="s">
        <v>120</v>
      </c>
      <c r="B73" s="43" t="s">
        <v>105</v>
      </c>
    </row>
    <row r="74" spans="1:2" ht="30" x14ac:dyDescent="0.25">
      <c r="A74" s="43" t="s">
        <v>120</v>
      </c>
      <c r="B74" s="43" t="s">
        <v>145</v>
      </c>
    </row>
    <row r="75" spans="1:2" ht="30" x14ac:dyDescent="0.25">
      <c r="A75" s="43" t="s">
        <v>120</v>
      </c>
      <c r="B75" s="43" t="s">
        <v>147</v>
      </c>
    </row>
    <row r="76" spans="1:2" ht="30" x14ac:dyDescent="0.25">
      <c r="A76" s="43" t="s">
        <v>120</v>
      </c>
      <c r="B76" s="43" t="s">
        <v>88</v>
      </c>
    </row>
    <row r="77" spans="1:2" ht="30" x14ac:dyDescent="0.25">
      <c r="A77" s="43" t="s">
        <v>120</v>
      </c>
      <c r="B77" s="43" t="s">
        <v>146</v>
      </c>
    </row>
    <row r="78" spans="1:2" x14ac:dyDescent="0.25">
      <c r="A78" s="43" t="s">
        <v>120</v>
      </c>
      <c r="B78" s="43" t="s">
        <v>90</v>
      </c>
    </row>
    <row r="79" spans="1:2" ht="30" x14ac:dyDescent="0.25">
      <c r="A79" s="43" t="s">
        <v>120</v>
      </c>
      <c r="B79" s="43" t="s">
        <v>148</v>
      </c>
    </row>
    <row r="80" spans="1:2" ht="30" x14ac:dyDescent="0.25">
      <c r="A80" s="43" t="s">
        <v>120</v>
      </c>
      <c r="B80" s="43" t="s">
        <v>86</v>
      </c>
    </row>
    <row r="81" spans="1:2" ht="30" x14ac:dyDescent="0.25">
      <c r="A81" s="43" t="s">
        <v>120</v>
      </c>
      <c r="B81" s="43" t="s">
        <v>98</v>
      </c>
    </row>
    <row r="82" spans="1:2" ht="30" x14ac:dyDescent="0.25">
      <c r="A82" s="43" t="s">
        <v>120</v>
      </c>
      <c r="B82" s="43" t="s">
        <v>45</v>
      </c>
    </row>
    <row r="83" spans="1:2" ht="30" x14ac:dyDescent="0.25">
      <c r="A83" s="43" t="s">
        <v>120</v>
      </c>
      <c r="B83" s="43" t="s">
        <v>87</v>
      </c>
    </row>
    <row r="84" spans="1:2" ht="30" x14ac:dyDescent="0.25">
      <c r="A84" s="43" t="s">
        <v>120</v>
      </c>
      <c r="B84" s="43" t="s">
        <v>149</v>
      </c>
    </row>
    <row r="85" spans="1:2" ht="30" x14ac:dyDescent="0.25">
      <c r="A85" s="43" t="s">
        <v>120</v>
      </c>
      <c r="B85" s="43" t="s">
        <v>50</v>
      </c>
    </row>
    <row r="86" spans="1:2" ht="30" x14ac:dyDescent="0.25">
      <c r="A86" s="43" t="s">
        <v>120</v>
      </c>
      <c r="B86" s="43" t="s">
        <v>51</v>
      </c>
    </row>
    <row r="87" spans="1:2" ht="30" x14ac:dyDescent="0.25">
      <c r="A87" s="43" t="s">
        <v>120</v>
      </c>
      <c r="B87" s="43" t="s">
        <v>49</v>
      </c>
    </row>
    <row r="88" spans="1:2" ht="30" x14ac:dyDescent="0.25">
      <c r="A88" s="43" t="s">
        <v>120</v>
      </c>
      <c r="B88" s="43" t="s">
        <v>150</v>
      </c>
    </row>
    <row r="89" spans="1:2" ht="30" x14ac:dyDescent="0.25">
      <c r="A89" s="43" t="s">
        <v>120</v>
      </c>
      <c r="B89" s="43" t="s">
        <v>52</v>
      </c>
    </row>
    <row r="90" spans="1:2" ht="30" x14ac:dyDescent="0.25">
      <c r="A90" s="43" t="s">
        <v>120</v>
      </c>
      <c r="B90" s="43" t="s">
        <v>151</v>
      </c>
    </row>
    <row r="91" spans="1:2" ht="30" x14ac:dyDescent="0.25">
      <c r="A91" s="43" t="s">
        <v>120</v>
      </c>
      <c r="B91" s="43" t="s">
        <v>53</v>
      </c>
    </row>
    <row r="92" spans="1:2" ht="30" x14ac:dyDescent="0.25">
      <c r="A92" s="43" t="s">
        <v>120</v>
      </c>
      <c r="B92" s="43" t="s">
        <v>46</v>
      </c>
    </row>
    <row r="93" spans="1:2" ht="30" x14ac:dyDescent="0.25">
      <c r="A93" s="43" t="s">
        <v>120</v>
      </c>
      <c r="B93" s="43" t="s">
        <v>48</v>
      </c>
    </row>
    <row r="94" spans="1:2" ht="30" x14ac:dyDescent="0.25">
      <c r="A94" s="43" t="s">
        <v>120</v>
      </c>
      <c r="B94" s="43" t="s">
        <v>152</v>
      </c>
    </row>
    <row r="95" spans="1:2" ht="30" x14ac:dyDescent="0.25">
      <c r="A95" s="43" t="s">
        <v>120</v>
      </c>
      <c r="B95" s="43" t="s">
        <v>153</v>
      </c>
    </row>
    <row r="96" spans="1:2" ht="30" x14ac:dyDescent="0.25">
      <c r="A96" s="43" t="s">
        <v>120</v>
      </c>
      <c r="B96" s="43" t="s">
        <v>155</v>
      </c>
    </row>
    <row r="97" spans="1:2" s="2" customFormat="1" x14ac:dyDescent="0.25">
      <c r="A97" s="43" t="s">
        <v>120</v>
      </c>
      <c r="B97" s="43" t="s">
        <v>156</v>
      </c>
    </row>
    <row r="98" spans="1:2" s="2" customFormat="1" ht="30" x14ac:dyDescent="0.25">
      <c r="A98" s="43" t="s">
        <v>120</v>
      </c>
      <c r="B98" s="43" t="s">
        <v>154</v>
      </c>
    </row>
    <row r="99" spans="1:2" ht="30" x14ac:dyDescent="0.25">
      <c r="A99" s="43" t="s">
        <v>120</v>
      </c>
      <c r="B99" s="43" t="s">
        <v>157</v>
      </c>
    </row>
    <row r="100" spans="1:2" x14ac:dyDescent="0.25">
      <c r="A100" s="43" t="s">
        <v>120</v>
      </c>
      <c r="B100" s="43" t="s">
        <v>58</v>
      </c>
    </row>
    <row r="101" spans="1:2" ht="30" x14ac:dyDescent="0.25">
      <c r="A101" s="44" t="s">
        <v>120</v>
      </c>
      <c r="B101" s="44" t="s">
        <v>158</v>
      </c>
    </row>
    <row r="102" spans="1:2" ht="30" x14ac:dyDescent="0.25">
      <c r="A102" s="44" t="s">
        <v>120</v>
      </c>
      <c r="B102" s="44" t="s">
        <v>159</v>
      </c>
    </row>
    <row r="103" spans="1:2" ht="30" x14ac:dyDescent="0.25">
      <c r="A103" s="44" t="s">
        <v>120</v>
      </c>
      <c r="B103" s="44" t="s">
        <v>160</v>
      </c>
    </row>
    <row r="104" spans="1:2" ht="30" x14ac:dyDescent="0.25">
      <c r="A104" s="44" t="s">
        <v>120</v>
      </c>
      <c r="B104" s="44" t="s">
        <v>172</v>
      </c>
    </row>
    <row r="105" spans="1:2" x14ac:dyDescent="0.25">
      <c r="A105" s="44" t="s">
        <v>120</v>
      </c>
      <c r="B105" s="44" t="s">
        <v>54</v>
      </c>
    </row>
    <row r="106" spans="1:2" ht="30" x14ac:dyDescent="0.25">
      <c r="A106" s="44" t="s">
        <v>120</v>
      </c>
      <c r="B106" s="44" t="s">
        <v>173</v>
      </c>
    </row>
    <row r="107" spans="1:2" ht="30" x14ac:dyDescent="0.25">
      <c r="A107" s="44" t="s">
        <v>120</v>
      </c>
      <c r="B107" s="44" t="s">
        <v>161</v>
      </c>
    </row>
    <row r="108" spans="1:2" ht="30" x14ac:dyDescent="0.25">
      <c r="A108" s="44" t="s">
        <v>120</v>
      </c>
      <c r="B108" s="44" t="s">
        <v>55</v>
      </c>
    </row>
    <row r="109" spans="1:2" x14ac:dyDescent="0.25">
      <c r="A109" s="44" t="s">
        <v>120</v>
      </c>
      <c r="B109" s="44" t="s">
        <v>164</v>
      </c>
    </row>
    <row r="110" spans="1:2" ht="30" x14ac:dyDescent="0.25">
      <c r="A110" s="44" t="s">
        <v>120</v>
      </c>
      <c r="B110" s="44" t="s">
        <v>163</v>
      </c>
    </row>
    <row r="111" spans="1:2" ht="30" x14ac:dyDescent="0.25">
      <c r="A111" s="44" t="s">
        <v>120</v>
      </c>
      <c r="B111" s="44" t="s">
        <v>47</v>
      </c>
    </row>
    <row r="112" spans="1:2" ht="30" x14ac:dyDescent="0.25">
      <c r="A112" s="44" t="s">
        <v>120</v>
      </c>
      <c r="B112" s="44" t="s">
        <v>165</v>
      </c>
    </row>
    <row r="113" spans="1:2" x14ac:dyDescent="0.25">
      <c r="A113" s="44" t="s">
        <v>120</v>
      </c>
      <c r="B113" s="44" t="s">
        <v>174</v>
      </c>
    </row>
    <row r="114" spans="1:2" ht="30" x14ac:dyDescent="0.25">
      <c r="A114" s="44" t="s">
        <v>120</v>
      </c>
      <c r="B114" s="44" t="s">
        <v>56</v>
      </c>
    </row>
    <row r="115" spans="1:2" x14ac:dyDescent="0.25">
      <c r="A115" s="44" t="s">
        <v>120</v>
      </c>
      <c r="B115" s="44" t="s">
        <v>166</v>
      </c>
    </row>
    <row r="116" spans="1:2" ht="30" x14ac:dyDescent="0.25">
      <c r="A116" s="44" t="s">
        <v>120</v>
      </c>
      <c r="B116" s="44" t="s">
        <v>59</v>
      </c>
    </row>
    <row r="117" spans="1:2" ht="30" x14ac:dyDescent="0.25">
      <c r="A117" s="44" t="s">
        <v>120</v>
      </c>
      <c r="B117" s="44" t="s">
        <v>167</v>
      </c>
    </row>
    <row r="118" spans="1:2" x14ac:dyDescent="0.25">
      <c r="A118" s="44" t="s">
        <v>120</v>
      </c>
      <c r="B118" s="44" t="s">
        <v>168</v>
      </c>
    </row>
    <row r="119" spans="1:2" ht="30" x14ac:dyDescent="0.25">
      <c r="A119" s="44" t="s">
        <v>120</v>
      </c>
      <c r="B119" s="44" t="s">
        <v>169</v>
      </c>
    </row>
    <row r="120" spans="1:2" ht="30" x14ac:dyDescent="0.25">
      <c r="A120" s="44" t="s">
        <v>120</v>
      </c>
      <c r="B120" s="44" t="s">
        <v>170</v>
      </c>
    </row>
    <row r="121" spans="1:2" x14ac:dyDescent="0.25">
      <c r="A121" s="44" t="s">
        <v>120</v>
      </c>
      <c r="B121" s="44" t="s">
        <v>171</v>
      </c>
    </row>
    <row r="122" spans="1:2" ht="30" x14ac:dyDescent="0.25">
      <c r="A122" s="44" t="s">
        <v>120</v>
      </c>
      <c r="B122" s="44" t="s">
        <v>57</v>
      </c>
    </row>
    <row r="123" spans="1:2" ht="45" x14ac:dyDescent="0.25">
      <c r="A123" s="45" t="s">
        <v>141</v>
      </c>
      <c r="B123" s="46" t="s">
        <v>183</v>
      </c>
    </row>
    <row r="124" spans="1:2" ht="45" x14ac:dyDescent="0.25">
      <c r="A124" s="45" t="s">
        <v>141</v>
      </c>
      <c r="B124" s="46" t="s">
        <v>175</v>
      </c>
    </row>
    <row r="125" spans="1:2" ht="30" x14ac:dyDescent="0.25">
      <c r="A125" s="45" t="s">
        <v>141</v>
      </c>
      <c r="B125" s="46" t="s">
        <v>176</v>
      </c>
    </row>
    <row r="126" spans="1:2" ht="45" x14ac:dyDescent="0.25">
      <c r="A126" s="45" t="s">
        <v>141</v>
      </c>
      <c r="B126" s="47" t="s">
        <v>187</v>
      </c>
    </row>
    <row r="127" spans="1:2" ht="45" x14ac:dyDescent="0.25">
      <c r="A127" s="45" t="s">
        <v>141</v>
      </c>
      <c r="B127" s="47" t="s">
        <v>186</v>
      </c>
    </row>
    <row r="128" spans="1:2" s="2" customFormat="1" ht="45" x14ac:dyDescent="0.25">
      <c r="A128" s="45" t="s">
        <v>141</v>
      </c>
      <c r="B128" s="47" t="s">
        <v>239</v>
      </c>
    </row>
    <row r="129" spans="1:2" ht="45" x14ac:dyDescent="0.25">
      <c r="A129" s="45" t="s">
        <v>141</v>
      </c>
      <c r="B129" s="46" t="s">
        <v>179</v>
      </c>
    </row>
    <row r="130" spans="1:2" ht="45" x14ac:dyDescent="0.25">
      <c r="A130" s="45" t="s">
        <v>141</v>
      </c>
      <c r="B130" s="46" t="s">
        <v>180</v>
      </c>
    </row>
    <row r="131" spans="1:2" ht="45" x14ac:dyDescent="0.25">
      <c r="A131" s="45" t="s">
        <v>141</v>
      </c>
      <c r="B131" s="47" t="s">
        <v>188</v>
      </c>
    </row>
    <row r="132" spans="1:2" ht="45" x14ac:dyDescent="0.25">
      <c r="A132" s="45" t="s">
        <v>141</v>
      </c>
      <c r="B132" s="47" t="s">
        <v>185</v>
      </c>
    </row>
    <row r="133" spans="1:2" ht="45" x14ac:dyDescent="0.25">
      <c r="A133" s="45" t="s">
        <v>141</v>
      </c>
      <c r="B133" s="46" t="s">
        <v>177</v>
      </c>
    </row>
    <row r="134" spans="1:2" ht="30" x14ac:dyDescent="0.25">
      <c r="A134" s="45" t="s">
        <v>141</v>
      </c>
      <c r="B134" s="47" t="s">
        <v>184</v>
      </c>
    </row>
    <row r="135" spans="1:2" ht="30" x14ac:dyDescent="0.25">
      <c r="A135" s="45" t="s">
        <v>141</v>
      </c>
      <c r="B135" s="45" t="s">
        <v>189</v>
      </c>
    </row>
    <row r="136" spans="1:2" ht="45" x14ac:dyDescent="0.25">
      <c r="A136" s="45" t="s">
        <v>141</v>
      </c>
      <c r="B136" s="46" t="s">
        <v>178</v>
      </c>
    </row>
    <row r="137" spans="1:2" ht="30" x14ac:dyDescent="0.25">
      <c r="A137" s="45" t="s">
        <v>141</v>
      </c>
      <c r="B137" s="47" t="s">
        <v>181</v>
      </c>
    </row>
    <row r="138" spans="1:2" ht="45" x14ac:dyDescent="0.25">
      <c r="A138" s="45" t="s">
        <v>141</v>
      </c>
      <c r="B138" s="47" t="s">
        <v>182</v>
      </c>
    </row>
    <row r="139" spans="1:2" ht="45" x14ac:dyDescent="0.25">
      <c r="A139" s="48" t="s">
        <v>195</v>
      </c>
      <c r="B139" s="49" t="s">
        <v>191</v>
      </c>
    </row>
    <row r="140" spans="1:2" ht="30" x14ac:dyDescent="0.25">
      <c r="A140" s="48" t="s">
        <v>195</v>
      </c>
      <c r="B140" s="49" t="s">
        <v>91</v>
      </c>
    </row>
    <row r="141" spans="1:2" ht="30" x14ac:dyDescent="0.25">
      <c r="A141" s="48" t="s">
        <v>195</v>
      </c>
      <c r="B141" s="49" t="s">
        <v>193</v>
      </c>
    </row>
    <row r="142" spans="1:2" ht="30" x14ac:dyDescent="0.25">
      <c r="A142" s="48" t="s">
        <v>195</v>
      </c>
      <c r="B142" s="49" t="s">
        <v>190</v>
      </c>
    </row>
    <row r="143" spans="1:2" ht="30" x14ac:dyDescent="0.25">
      <c r="A143" s="48" t="s">
        <v>195</v>
      </c>
      <c r="B143" s="49" t="s">
        <v>92</v>
      </c>
    </row>
    <row r="144" spans="1:2" ht="45" x14ac:dyDescent="0.25">
      <c r="A144" s="48" t="s">
        <v>195</v>
      </c>
      <c r="B144" s="49" t="s">
        <v>192</v>
      </c>
    </row>
    <row r="145" spans="1:2" ht="30" x14ac:dyDescent="0.25">
      <c r="A145" s="48" t="s">
        <v>195</v>
      </c>
      <c r="B145" s="49" t="s">
        <v>194</v>
      </c>
    </row>
    <row r="146" spans="1:2" ht="30" x14ac:dyDescent="0.25">
      <c r="A146" s="48" t="s">
        <v>195</v>
      </c>
      <c r="B146" s="49" t="s">
        <v>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D33" sqref="D33"/>
    </sheetView>
  </sheetViews>
  <sheetFormatPr defaultRowHeight="15" x14ac:dyDescent="0.25"/>
  <cols>
    <col min="1" max="1" width="27" style="2" customWidth="1"/>
    <col min="2" max="2" width="11.7109375" customWidth="1"/>
  </cols>
  <sheetData>
    <row r="1" spans="1:6" s="1" customFormat="1" x14ac:dyDescent="0.25">
      <c r="A1" s="1" t="s">
        <v>82</v>
      </c>
      <c r="B1" s="1" t="s">
        <v>83</v>
      </c>
      <c r="C1" s="1" t="s">
        <v>17</v>
      </c>
      <c r="D1" s="1" t="s">
        <v>0</v>
      </c>
      <c r="E1" s="1" t="s">
        <v>1</v>
      </c>
      <c r="F1" s="1" t="s">
        <v>203</v>
      </c>
    </row>
    <row r="2" spans="1:6" x14ac:dyDescent="0.25">
      <c r="A2" s="2" t="s">
        <v>3</v>
      </c>
      <c r="B2" s="2" t="s">
        <v>18</v>
      </c>
      <c r="C2">
        <v>1</v>
      </c>
      <c r="D2" t="s">
        <v>230</v>
      </c>
      <c r="E2" t="s">
        <v>204</v>
      </c>
      <c r="F2">
        <v>1</v>
      </c>
    </row>
    <row r="3" spans="1:6" x14ac:dyDescent="0.25">
      <c r="A3" s="2" t="s">
        <v>236</v>
      </c>
      <c r="B3" s="2" t="s">
        <v>235</v>
      </c>
      <c r="C3">
        <v>2</v>
      </c>
      <c r="D3" t="s">
        <v>231</v>
      </c>
      <c r="E3" t="s">
        <v>205</v>
      </c>
      <c r="F3">
        <v>2</v>
      </c>
    </row>
    <row r="4" spans="1:6" x14ac:dyDescent="0.25">
      <c r="A4" s="2" t="s">
        <v>8</v>
      </c>
      <c r="B4" s="2" t="s">
        <v>19</v>
      </c>
      <c r="C4">
        <v>3</v>
      </c>
      <c r="D4" t="s">
        <v>229</v>
      </c>
      <c r="F4">
        <v>3</v>
      </c>
    </row>
    <row r="5" spans="1:6" x14ac:dyDescent="0.25">
      <c r="A5" s="2" t="s">
        <v>9</v>
      </c>
      <c r="B5" s="2" t="s">
        <v>20</v>
      </c>
      <c r="D5" t="s">
        <v>238</v>
      </c>
      <c r="F5" s="2">
        <v>4</v>
      </c>
    </row>
    <row r="6" spans="1:6" x14ac:dyDescent="0.25">
      <c r="A6" s="2" t="s">
        <v>11</v>
      </c>
      <c r="B6" s="2" t="s">
        <v>21</v>
      </c>
      <c r="F6" s="2">
        <v>5</v>
      </c>
    </row>
    <row r="7" spans="1:6" x14ac:dyDescent="0.25">
      <c r="A7" s="2" t="s">
        <v>12</v>
      </c>
      <c r="B7" s="2" t="s">
        <v>22</v>
      </c>
      <c r="F7" s="2">
        <v>6</v>
      </c>
    </row>
    <row r="8" spans="1:6" s="2" customFormat="1" x14ac:dyDescent="0.25">
      <c r="A8" s="2" t="s">
        <v>84</v>
      </c>
      <c r="B8" s="2" t="s">
        <v>85</v>
      </c>
      <c r="F8" s="2">
        <v>7</v>
      </c>
    </row>
    <row r="9" spans="1:6" x14ac:dyDescent="0.25">
      <c r="A9" s="2" t="s">
        <v>2</v>
      </c>
      <c r="B9" s="2" t="s">
        <v>23</v>
      </c>
      <c r="F9" s="2">
        <v>8</v>
      </c>
    </row>
    <row r="10" spans="1:6" x14ac:dyDescent="0.25">
      <c r="A10" s="2" t="s">
        <v>13</v>
      </c>
      <c r="B10" s="2" t="s">
        <v>80</v>
      </c>
      <c r="F10" s="2">
        <v>9</v>
      </c>
    </row>
    <row r="11" spans="1:6" x14ac:dyDescent="0.25">
      <c r="A11" s="2" t="s">
        <v>4</v>
      </c>
      <c r="B11" s="2" t="s">
        <v>24</v>
      </c>
      <c r="F11" s="2">
        <v>10</v>
      </c>
    </row>
    <row r="12" spans="1:6" s="2" customFormat="1" x14ac:dyDescent="0.25">
      <c r="A12" s="2" t="s">
        <v>14</v>
      </c>
      <c r="B12" s="2" t="s">
        <v>25</v>
      </c>
      <c r="F12" s="2">
        <v>11</v>
      </c>
    </row>
    <row r="13" spans="1:6" x14ac:dyDescent="0.25">
      <c r="A13" s="2" t="s">
        <v>15</v>
      </c>
      <c r="B13" s="2" t="s">
        <v>26</v>
      </c>
      <c r="F13" s="2">
        <v>12</v>
      </c>
    </row>
    <row r="14" spans="1:6" x14ac:dyDescent="0.25">
      <c r="A14" s="2" t="s">
        <v>10</v>
      </c>
      <c r="B14" s="2" t="s">
        <v>27</v>
      </c>
      <c r="F14" s="2">
        <v>13</v>
      </c>
    </row>
    <row r="15" spans="1:6" x14ac:dyDescent="0.25">
      <c r="A15" s="2" t="s">
        <v>6</v>
      </c>
      <c r="B15" s="2" t="s">
        <v>28</v>
      </c>
      <c r="F15" s="2">
        <v>14</v>
      </c>
    </row>
    <row r="16" spans="1:6" x14ac:dyDescent="0.25">
      <c r="A16" s="2" t="s">
        <v>7</v>
      </c>
      <c r="B16" s="2" t="s">
        <v>81</v>
      </c>
      <c r="F16" s="2">
        <v>15</v>
      </c>
    </row>
    <row r="17" spans="1:6" x14ac:dyDescent="0.25">
      <c r="A17" s="2" t="s">
        <v>5</v>
      </c>
      <c r="B17" s="2" t="s">
        <v>29</v>
      </c>
      <c r="F17" s="2">
        <v>16</v>
      </c>
    </row>
    <row r="18" spans="1:6" x14ac:dyDescent="0.25">
      <c r="B18" s="2"/>
      <c r="F18" s="2">
        <v>17</v>
      </c>
    </row>
    <row r="19" spans="1:6" x14ac:dyDescent="0.25">
      <c r="B19" s="2"/>
      <c r="F19" s="2">
        <v>18</v>
      </c>
    </row>
    <row r="20" spans="1:6" x14ac:dyDescent="0.25">
      <c r="F20" s="2">
        <v>19</v>
      </c>
    </row>
    <row r="21" spans="1:6" x14ac:dyDescent="0.25">
      <c r="F21" s="2">
        <v>20</v>
      </c>
    </row>
    <row r="22" spans="1:6" x14ac:dyDescent="0.25">
      <c r="F22" s="2">
        <v>21</v>
      </c>
    </row>
    <row r="23" spans="1:6" x14ac:dyDescent="0.25">
      <c r="F23" s="2">
        <v>22</v>
      </c>
    </row>
    <row r="24" spans="1:6" x14ac:dyDescent="0.25">
      <c r="F24" s="2">
        <v>23</v>
      </c>
    </row>
    <row r="25" spans="1:6" x14ac:dyDescent="0.25">
      <c r="F25" s="2">
        <v>24</v>
      </c>
    </row>
    <row r="26" spans="1:6" x14ac:dyDescent="0.25">
      <c r="F26" s="2">
        <v>25</v>
      </c>
    </row>
    <row r="27" spans="1:6" x14ac:dyDescent="0.25">
      <c r="F27" s="2">
        <v>26</v>
      </c>
    </row>
    <row r="28" spans="1:6" x14ac:dyDescent="0.25">
      <c r="F28" s="2">
        <v>27</v>
      </c>
    </row>
    <row r="29" spans="1:6" x14ac:dyDescent="0.25">
      <c r="F29" s="2">
        <v>28</v>
      </c>
    </row>
    <row r="30" spans="1:6" x14ac:dyDescent="0.25">
      <c r="F30" s="2">
        <v>29</v>
      </c>
    </row>
    <row r="31" spans="1:6" x14ac:dyDescent="0.25">
      <c r="F31" s="2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15" sqref="C15"/>
    </sheetView>
  </sheetViews>
  <sheetFormatPr defaultRowHeight="15" x14ac:dyDescent="0.25"/>
  <cols>
    <col min="1" max="1" width="20.42578125" style="52" bestFit="1" customWidth="1"/>
    <col min="2" max="2" width="22.140625" style="52" bestFit="1" customWidth="1"/>
    <col min="3" max="3" width="67.42578125" style="62" customWidth="1"/>
    <col min="4" max="4" width="34.85546875" customWidth="1"/>
  </cols>
  <sheetData>
    <row r="1" spans="1:4" s="1" customFormat="1" x14ac:dyDescent="0.25">
      <c r="A1" s="64" t="s">
        <v>196</v>
      </c>
      <c r="B1" s="64" t="s">
        <v>207</v>
      </c>
      <c r="C1" s="65" t="s">
        <v>208</v>
      </c>
      <c r="D1" s="66" t="s">
        <v>220</v>
      </c>
    </row>
    <row r="2" spans="1:4" ht="45" x14ac:dyDescent="0.25">
      <c r="A2" s="50" t="s">
        <v>118</v>
      </c>
      <c r="B2" s="50" t="s">
        <v>200</v>
      </c>
      <c r="C2" s="63" t="s">
        <v>234</v>
      </c>
      <c r="D2" s="17" t="s">
        <v>232</v>
      </c>
    </row>
    <row r="3" spans="1:4" x14ac:dyDescent="0.25">
      <c r="A3" s="50" t="s">
        <v>118</v>
      </c>
      <c r="B3" s="50" t="s">
        <v>106</v>
      </c>
      <c r="C3" s="63" t="s">
        <v>210</v>
      </c>
      <c r="D3" s="17" t="s">
        <v>233</v>
      </c>
    </row>
    <row r="4" spans="1:4" x14ac:dyDescent="0.25">
      <c r="A4" s="50" t="s">
        <v>118</v>
      </c>
      <c r="B4" s="50" t="s">
        <v>107</v>
      </c>
      <c r="C4" s="63" t="s">
        <v>211</v>
      </c>
      <c r="D4" s="17" t="s">
        <v>226</v>
      </c>
    </row>
    <row r="5" spans="1:4" x14ac:dyDescent="0.25">
      <c r="A5" s="51" t="s">
        <v>111</v>
      </c>
      <c r="B5" s="51" t="s">
        <v>108</v>
      </c>
      <c r="C5" s="63" t="s">
        <v>212</v>
      </c>
      <c r="D5" s="17"/>
    </row>
    <row r="6" spans="1:4" x14ac:dyDescent="0.25">
      <c r="A6" s="51" t="s">
        <v>111</v>
      </c>
      <c r="B6" s="8" t="s">
        <v>16</v>
      </c>
      <c r="C6" s="63" t="s">
        <v>213</v>
      </c>
      <c r="D6" s="17"/>
    </row>
    <row r="7" spans="1:4" x14ac:dyDescent="0.25">
      <c r="A7" s="51" t="s">
        <v>111</v>
      </c>
      <c r="B7" s="51" t="s">
        <v>109</v>
      </c>
      <c r="C7" s="63" t="s">
        <v>214</v>
      </c>
      <c r="D7" s="17"/>
    </row>
    <row r="8" spans="1:4" x14ac:dyDescent="0.25">
      <c r="A8" s="51" t="s">
        <v>111</v>
      </c>
      <c r="B8" s="51" t="s">
        <v>102</v>
      </c>
      <c r="C8" s="63" t="s">
        <v>215</v>
      </c>
      <c r="D8" s="17"/>
    </row>
    <row r="9" spans="1:4" x14ac:dyDescent="0.25">
      <c r="A9" s="51" t="s">
        <v>111</v>
      </c>
      <c r="B9" s="51" t="s">
        <v>132</v>
      </c>
      <c r="C9" s="63" t="s">
        <v>216</v>
      </c>
      <c r="D9" s="17"/>
    </row>
    <row r="10" spans="1:4" ht="30" x14ac:dyDescent="0.25">
      <c r="A10" s="51" t="s">
        <v>111</v>
      </c>
      <c r="B10" s="51" t="s">
        <v>110</v>
      </c>
      <c r="C10" s="63" t="s">
        <v>224</v>
      </c>
      <c r="D10" s="17"/>
    </row>
    <row r="11" spans="1:4" ht="30" x14ac:dyDescent="0.25">
      <c r="A11" s="51" t="s">
        <v>111</v>
      </c>
      <c r="B11" s="51" t="s">
        <v>0</v>
      </c>
      <c r="C11" s="63" t="s">
        <v>241</v>
      </c>
      <c r="D11" s="17"/>
    </row>
    <row r="12" spans="1:4" ht="30" x14ac:dyDescent="0.25">
      <c r="A12" s="51" t="s">
        <v>111</v>
      </c>
      <c r="B12" s="51" t="s">
        <v>17</v>
      </c>
      <c r="C12" s="63" t="s">
        <v>227</v>
      </c>
      <c r="D12" s="17"/>
    </row>
    <row r="13" spans="1:4" ht="30" x14ac:dyDescent="0.25">
      <c r="A13" s="51" t="s">
        <v>111</v>
      </c>
      <c r="B13" s="51" t="s">
        <v>1</v>
      </c>
      <c r="C13" s="63" t="s">
        <v>240</v>
      </c>
      <c r="D13" s="17"/>
    </row>
    <row r="14" spans="1:4" x14ac:dyDescent="0.25">
      <c r="A14" s="51" t="s">
        <v>111</v>
      </c>
      <c r="B14" s="51" t="s">
        <v>134</v>
      </c>
      <c r="C14" s="63" t="s">
        <v>217</v>
      </c>
      <c r="D14" s="17"/>
    </row>
    <row r="15" spans="1:4" x14ac:dyDescent="0.25">
      <c r="A15" s="51" t="s">
        <v>111</v>
      </c>
      <c r="B15" s="51" t="s">
        <v>133</v>
      </c>
      <c r="C15" s="63" t="s">
        <v>218</v>
      </c>
      <c r="D15" s="17"/>
    </row>
    <row r="16" spans="1:4" ht="60" x14ac:dyDescent="0.25">
      <c r="A16" s="50" t="s">
        <v>118</v>
      </c>
      <c r="B16" s="50" t="s">
        <v>119</v>
      </c>
      <c r="C16" s="63" t="s">
        <v>225</v>
      </c>
      <c r="D16" s="17" t="s">
        <v>228</v>
      </c>
    </row>
    <row r="17" spans="1:4" x14ac:dyDescent="0.25">
      <c r="A17" s="53" t="s">
        <v>112</v>
      </c>
      <c r="B17" s="61" t="s">
        <v>209</v>
      </c>
      <c r="C17" s="63" t="s">
        <v>219</v>
      </c>
      <c r="D17" s="17" t="s">
        <v>221</v>
      </c>
    </row>
    <row r="18" spans="1:4" x14ac:dyDescent="0.25">
      <c r="A18" s="54" t="s">
        <v>112</v>
      </c>
      <c r="B18" s="61" t="s">
        <v>209</v>
      </c>
      <c r="C18" s="63" t="s">
        <v>219</v>
      </c>
      <c r="D18" s="17" t="s">
        <v>222</v>
      </c>
    </row>
    <row r="19" spans="1:4" x14ac:dyDescent="0.25">
      <c r="A19" s="55" t="s">
        <v>131</v>
      </c>
      <c r="B19" s="61" t="s">
        <v>209</v>
      </c>
      <c r="C19" s="63" t="s">
        <v>223</v>
      </c>
      <c r="D19" s="17" t="s">
        <v>221</v>
      </c>
    </row>
    <row r="20" spans="1:4" x14ac:dyDescent="0.25">
      <c r="A20" s="56" t="s">
        <v>131</v>
      </c>
      <c r="B20" s="61" t="s">
        <v>209</v>
      </c>
      <c r="C20" s="63" t="s">
        <v>223</v>
      </c>
      <c r="D20" s="17" t="s">
        <v>222</v>
      </c>
    </row>
    <row r="21" spans="1:4" x14ac:dyDescent="0.25">
      <c r="A21" s="57" t="s">
        <v>120</v>
      </c>
      <c r="B21" s="61" t="s">
        <v>209</v>
      </c>
      <c r="C21" s="63"/>
      <c r="D21" s="17" t="s">
        <v>221</v>
      </c>
    </row>
    <row r="22" spans="1:4" x14ac:dyDescent="0.25">
      <c r="A22" s="58" t="s">
        <v>120</v>
      </c>
      <c r="B22" s="61" t="s">
        <v>209</v>
      </c>
      <c r="C22" s="63"/>
      <c r="D22" s="17" t="s">
        <v>222</v>
      </c>
    </row>
    <row r="23" spans="1:4" x14ac:dyDescent="0.25">
      <c r="A23" s="59" t="s">
        <v>141</v>
      </c>
      <c r="B23" s="61" t="s">
        <v>209</v>
      </c>
      <c r="C23" s="63"/>
      <c r="D23" s="17"/>
    </row>
    <row r="24" spans="1:4" x14ac:dyDescent="0.25">
      <c r="A24" s="60" t="s">
        <v>195</v>
      </c>
      <c r="B24" s="61" t="s">
        <v>209</v>
      </c>
      <c r="C24" s="63"/>
      <c r="D24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Community Surveys</vt:lpstr>
      <vt:lpstr>TaxonList</vt:lpstr>
      <vt:lpstr>Validation</vt:lpstr>
      <vt:lpstr>MetaData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Poirson, Brittany Nicole</dc:creator>
  <cp:lastModifiedBy>Vinton, Audrey</cp:lastModifiedBy>
  <dcterms:created xsi:type="dcterms:W3CDTF">2019-03-01T19:59:35Z</dcterms:created>
  <dcterms:modified xsi:type="dcterms:W3CDTF">2025-02-04T20:46:24Z</dcterms:modified>
</cp:coreProperties>
</file>