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delaneyjoy/Git/UrchinSurveys/Data/"/>
    </mc:Choice>
  </mc:AlternateContent>
  <xr:revisionPtr revIDLastSave="0" documentId="13_ncr:1_{87997C14-06FA-1542-8210-91F8ED8C40D1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WorkingUrchinSurveyData" sheetId="1" r:id="rId1"/>
  </sheets>
  <definedNames>
    <definedName name="_xlnm._FilterDatabase" localSheetId="0" hidden="1">WorkingUrchinSurveyData!$A$1:$BR$760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24" i="1" l="1"/>
  <c r="A77" i="1"/>
  <c r="BQ6" i="1"/>
  <c r="BR6" i="1" s="1"/>
  <c r="BQ8" i="1"/>
  <c r="BR8" i="1" s="1"/>
  <c r="BQ9" i="1"/>
  <c r="BR9" i="1" s="1"/>
  <c r="BQ11" i="1"/>
  <c r="BR11" i="1" s="1"/>
  <c r="BQ13" i="1"/>
  <c r="BR13" i="1" s="1"/>
  <c r="BQ14" i="1"/>
  <c r="BR14" i="1" s="1"/>
  <c r="BQ15" i="1"/>
  <c r="BR15" i="1" s="1"/>
  <c r="BQ16" i="1"/>
  <c r="BR16" i="1" s="1"/>
  <c r="BQ17" i="1"/>
  <c r="BR17" i="1" s="1"/>
  <c r="BQ18" i="1"/>
  <c r="BR18" i="1" s="1"/>
  <c r="BQ19" i="1"/>
  <c r="BR19" i="1" s="1"/>
  <c r="BQ20" i="1"/>
  <c r="BR20" i="1" s="1"/>
  <c r="BQ22" i="1"/>
  <c r="BR22" i="1" s="1"/>
  <c r="BQ23" i="1"/>
  <c r="BR23" i="1" s="1"/>
  <c r="BQ24" i="1"/>
  <c r="BR24" i="1" s="1"/>
  <c r="BQ25" i="1"/>
  <c r="BR25" i="1" s="1"/>
  <c r="BQ26" i="1"/>
  <c r="BR26" i="1" s="1"/>
  <c r="BQ27" i="1"/>
  <c r="BR27" i="1" s="1"/>
  <c r="BQ28" i="1"/>
  <c r="BR28" i="1" s="1"/>
  <c r="BQ29" i="1"/>
  <c r="BR29" i="1" s="1"/>
  <c r="BQ30" i="1"/>
  <c r="BR30" i="1" s="1"/>
  <c r="BQ31" i="1"/>
  <c r="BR31" i="1" s="1"/>
  <c r="BQ32" i="1"/>
  <c r="BR32" i="1" s="1"/>
  <c r="BQ33" i="1"/>
  <c r="BR33" i="1" s="1"/>
  <c r="BQ34" i="1"/>
  <c r="BR34" i="1" s="1"/>
  <c r="BQ35" i="1"/>
  <c r="BR35" i="1" s="1"/>
  <c r="BQ36" i="1"/>
  <c r="BR36" i="1" s="1"/>
  <c r="BQ37" i="1"/>
  <c r="BR37" i="1" s="1"/>
  <c r="BQ38" i="1"/>
  <c r="BR38" i="1" s="1"/>
  <c r="BQ39" i="1"/>
  <c r="BR39" i="1" s="1"/>
  <c r="BQ40" i="1"/>
  <c r="BR40" i="1" s="1"/>
  <c r="BQ41" i="1"/>
  <c r="BR41" i="1" s="1"/>
  <c r="BQ42" i="1"/>
  <c r="BR42" i="1" s="1"/>
  <c r="BQ43" i="1"/>
  <c r="BR43" i="1" s="1"/>
  <c r="BQ44" i="1"/>
  <c r="BR44" i="1" s="1"/>
  <c r="BQ45" i="1"/>
  <c r="BR45" i="1" s="1"/>
  <c r="BQ46" i="1"/>
  <c r="BR46" i="1" s="1"/>
  <c r="BQ47" i="1"/>
  <c r="BR47" i="1" s="1"/>
  <c r="BQ48" i="1"/>
  <c r="BR48" i="1" s="1"/>
  <c r="BQ50" i="1"/>
  <c r="BR50" i="1" s="1"/>
  <c r="BQ51" i="1"/>
  <c r="BR51" i="1" s="1"/>
  <c r="BQ52" i="1"/>
  <c r="BR52" i="1" s="1"/>
  <c r="BQ53" i="1"/>
  <c r="BR53" i="1" s="1"/>
  <c r="BQ54" i="1"/>
  <c r="BR54" i="1" s="1"/>
  <c r="BQ55" i="1"/>
  <c r="BR55" i="1" s="1"/>
  <c r="BQ56" i="1"/>
  <c r="BR56" i="1" s="1"/>
  <c r="BQ57" i="1"/>
  <c r="BR57" i="1" s="1"/>
  <c r="BQ58" i="1"/>
  <c r="BR58" i="1" s="1"/>
  <c r="BQ59" i="1"/>
  <c r="BR59" i="1" s="1"/>
  <c r="BQ60" i="1"/>
  <c r="BR60" i="1" s="1"/>
  <c r="BQ61" i="1"/>
  <c r="BR61" i="1" s="1"/>
  <c r="BQ62" i="1"/>
  <c r="BR62" i="1" s="1"/>
  <c r="BQ63" i="1"/>
  <c r="BR63" i="1" s="1"/>
  <c r="BQ64" i="1"/>
  <c r="BR64" i="1" s="1"/>
  <c r="BQ65" i="1"/>
  <c r="BR65" i="1" s="1"/>
  <c r="BQ66" i="1"/>
  <c r="BR66" i="1" s="1"/>
  <c r="BQ67" i="1"/>
  <c r="BR67" i="1" s="1"/>
  <c r="BQ68" i="1"/>
  <c r="BR68" i="1" s="1"/>
  <c r="BQ69" i="1"/>
  <c r="BR69" i="1" s="1"/>
  <c r="BQ70" i="1"/>
  <c r="BR70" i="1" s="1"/>
  <c r="BQ71" i="1"/>
  <c r="BR71" i="1" s="1"/>
  <c r="BQ72" i="1"/>
  <c r="BR72" i="1" s="1"/>
  <c r="BQ73" i="1"/>
  <c r="BR73" i="1" s="1"/>
  <c r="BQ75" i="1"/>
  <c r="BR75" i="1" s="1"/>
  <c r="BQ82" i="1"/>
  <c r="BR82" i="1" s="1"/>
  <c r="BQ83" i="1"/>
  <c r="BR83" i="1" s="1"/>
  <c r="BQ84" i="1"/>
  <c r="BR84" i="1" s="1"/>
  <c r="BQ85" i="1"/>
  <c r="BR85" i="1" s="1"/>
  <c r="BQ86" i="1"/>
  <c r="BR86" i="1" s="1"/>
  <c r="BQ87" i="1"/>
  <c r="BR87" i="1" s="1"/>
  <c r="BQ88" i="1"/>
  <c r="BR88" i="1" s="1"/>
  <c r="BQ90" i="1"/>
  <c r="BR90" i="1" s="1"/>
  <c r="BQ91" i="1"/>
  <c r="BR91" i="1" s="1"/>
  <c r="BQ93" i="1"/>
  <c r="BR93" i="1" s="1"/>
  <c r="BQ94" i="1"/>
  <c r="BR94" i="1" s="1"/>
  <c r="BQ95" i="1"/>
  <c r="BR95" i="1" s="1"/>
  <c r="BQ96" i="1"/>
  <c r="BR96" i="1" s="1"/>
  <c r="BQ97" i="1"/>
  <c r="BR97" i="1" s="1"/>
  <c r="BQ98" i="1"/>
  <c r="BR98" i="1" s="1"/>
  <c r="BQ99" i="1"/>
  <c r="BR99" i="1" s="1"/>
  <c r="BQ100" i="1"/>
  <c r="BR100" i="1" s="1"/>
  <c r="BQ101" i="1"/>
  <c r="BR101" i="1" s="1"/>
  <c r="BQ104" i="1"/>
  <c r="BR104" i="1" s="1"/>
  <c r="BQ105" i="1"/>
  <c r="BR105" i="1" s="1"/>
  <c r="BQ106" i="1"/>
  <c r="BR106" i="1" s="1"/>
  <c r="BQ107" i="1"/>
  <c r="BR107" i="1" s="1"/>
  <c r="BQ108" i="1"/>
  <c r="BR108" i="1" s="1"/>
  <c r="BQ109" i="1"/>
  <c r="BR109" i="1" s="1"/>
  <c r="BQ112" i="1"/>
  <c r="BR112" i="1" s="1"/>
  <c r="BQ113" i="1"/>
  <c r="BR113" i="1" s="1"/>
  <c r="BQ114" i="1"/>
  <c r="BR114" i="1" s="1"/>
  <c r="BQ115" i="1"/>
  <c r="BR115" i="1" s="1"/>
  <c r="BQ116" i="1"/>
  <c r="BR116" i="1" s="1"/>
  <c r="BQ122" i="1"/>
  <c r="BR122" i="1" s="1"/>
  <c r="BQ123" i="1"/>
  <c r="BR123" i="1" s="1"/>
  <c r="BQ124" i="1"/>
  <c r="BR124" i="1" s="1"/>
  <c r="BQ125" i="1"/>
  <c r="BR125" i="1" s="1"/>
  <c r="BQ126" i="1"/>
  <c r="BR126" i="1" s="1"/>
  <c r="BQ127" i="1"/>
  <c r="BR127" i="1" s="1"/>
  <c r="BQ128" i="1"/>
  <c r="BR128" i="1" s="1"/>
  <c r="BQ129" i="1"/>
  <c r="BR129" i="1" s="1"/>
  <c r="BQ130" i="1"/>
  <c r="BR130" i="1" s="1"/>
  <c r="BQ131" i="1"/>
  <c r="BR131" i="1" s="1"/>
  <c r="BQ137" i="1"/>
  <c r="BR137" i="1" s="1"/>
  <c r="BQ138" i="1"/>
  <c r="BR138" i="1" s="1"/>
  <c r="BQ140" i="1"/>
  <c r="BR140" i="1" s="1"/>
  <c r="BQ141" i="1"/>
  <c r="BR141" i="1" s="1"/>
  <c r="BQ142" i="1"/>
  <c r="BR142" i="1" s="1"/>
  <c r="BQ145" i="1"/>
  <c r="BR145" i="1" s="1"/>
  <c r="BQ146" i="1"/>
  <c r="BR146" i="1" s="1"/>
  <c r="BQ147" i="1"/>
  <c r="BR147" i="1" s="1"/>
  <c r="BQ148" i="1"/>
  <c r="BR148" i="1" s="1"/>
  <c r="BQ149" i="1"/>
  <c r="BR149" i="1" s="1"/>
  <c r="BQ150" i="1"/>
  <c r="BR150" i="1" s="1"/>
  <c r="BQ151" i="1"/>
  <c r="BR151" i="1" s="1"/>
  <c r="BQ152" i="1"/>
  <c r="BR152" i="1" s="1"/>
  <c r="BQ153" i="1"/>
  <c r="BR153" i="1" s="1"/>
  <c r="BQ154" i="1"/>
  <c r="BR154" i="1" s="1"/>
  <c r="BQ155" i="1"/>
  <c r="BR155" i="1" s="1"/>
  <c r="BQ156" i="1"/>
  <c r="BR156" i="1" s="1"/>
  <c r="BQ157" i="1"/>
  <c r="BR157" i="1" s="1"/>
  <c r="BQ158" i="1"/>
  <c r="BR158" i="1" s="1"/>
  <c r="BQ159" i="1"/>
  <c r="BR159" i="1" s="1"/>
  <c r="BQ160" i="1"/>
  <c r="BR160" i="1" s="1"/>
  <c r="BQ161" i="1"/>
  <c r="BR161" i="1" s="1"/>
  <c r="BQ169" i="1"/>
  <c r="BR169" i="1" s="1"/>
  <c r="BQ172" i="1"/>
  <c r="BR172" i="1" s="1"/>
  <c r="BQ173" i="1"/>
  <c r="BR173" i="1" s="1"/>
  <c r="BQ174" i="1"/>
  <c r="BR174" i="1" s="1"/>
  <c r="BQ175" i="1"/>
  <c r="BR175" i="1" s="1"/>
  <c r="BQ176" i="1"/>
  <c r="BR176" i="1" s="1"/>
  <c r="BQ177" i="1"/>
  <c r="BR177" i="1" s="1"/>
  <c r="BQ178" i="1"/>
  <c r="BR178" i="1" s="1"/>
  <c r="BQ179" i="1"/>
  <c r="BR179" i="1" s="1"/>
  <c r="BQ180" i="1"/>
  <c r="BR180" i="1" s="1"/>
  <c r="BQ181" i="1"/>
  <c r="BR181" i="1" s="1"/>
  <c r="BQ182" i="1"/>
  <c r="BR182" i="1" s="1"/>
  <c r="BQ183" i="1"/>
  <c r="BR183" i="1" s="1"/>
  <c r="BQ184" i="1"/>
  <c r="BR184" i="1" s="1"/>
  <c r="BQ185" i="1"/>
  <c r="BR185" i="1" s="1"/>
  <c r="BQ187" i="1"/>
  <c r="BR187" i="1" s="1"/>
  <c r="BQ188" i="1"/>
  <c r="BR188" i="1" s="1"/>
  <c r="BQ189" i="1"/>
  <c r="BR189" i="1" s="1"/>
  <c r="BQ190" i="1"/>
  <c r="BR190" i="1" s="1"/>
  <c r="BQ191" i="1"/>
  <c r="BR191" i="1" s="1"/>
  <c r="BQ192" i="1"/>
  <c r="BR192" i="1" s="1"/>
  <c r="BQ193" i="1"/>
  <c r="BR193" i="1" s="1"/>
  <c r="BQ194" i="1"/>
  <c r="BR194" i="1" s="1"/>
  <c r="BQ195" i="1"/>
  <c r="BR195" i="1" s="1"/>
  <c r="BQ196" i="1"/>
  <c r="BR196" i="1" s="1"/>
  <c r="BQ202" i="1"/>
  <c r="BR202" i="1" s="1"/>
  <c r="BQ204" i="1"/>
  <c r="BR204" i="1" s="1"/>
  <c r="BQ205" i="1"/>
  <c r="BR205" i="1" s="1"/>
  <c r="BQ206" i="1"/>
  <c r="BR206" i="1" s="1"/>
  <c r="BQ207" i="1"/>
  <c r="BR207" i="1" s="1"/>
  <c r="BQ208" i="1"/>
  <c r="BR208" i="1" s="1"/>
  <c r="BQ209" i="1"/>
  <c r="BR209" i="1" s="1"/>
  <c r="BQ210" i="1"/>
  <c r="BR210" i="1" s="1"/>
  <c r="BQ211" i="1"/>
  <c r="BR211" i="1" s="1"/>
  <c r="BQ212" i="1"/>
  <c r="BR212" i="1" s="1"/>
  <c r="BQ213" i="1"/>
  <c r="BR213" i="1" s="1"/>
  <c r="BQ214" i="1"/>
  <c r="BR214" i="1" s="1"/>
  <c r="BQ215" i="1"/>
  <c r="BR215" i="1" s="1"/>
  <c r="BQ216" i="1"/>
  <c r="BR216" i="1" s="1"/>
  <c r="BQ217" i="1"/>
  <c r="BR217" i="1" s="1"/>
  <c r="BQ218" i="1"/>
  <c r="BR218" i="1" s="1"/>
  <c r="BQ219" i="1"/>
  <c r="BR219" i="1" s="1"/>
  <c r="BQ221" i="1"/>
  <c r="BR221" i="1" s="1"/>
  <c r="BQ222" i="1"/>
  <c r="BR222" i="1" s="1"/>
  <c r="BQ223" i="1"/>
  <c r="BR223" i="1" s="1"/>
  <c r="BQ224" i="1"/>
  <c r="BR224" i="1" s="1"/>
  <c r="BQ225" i="1"/>
  <c r="BR225" i="1" s="1"/>
  <c r="BQ226" i="1"/>
  <c r="BR226" i="1" s="1"/>
  <c r="BQ227" i="1"/>
  <c r="BR227" i="1" s="1"/>
  <c r="BQ228" i="1"/>
  <c r="BR228" i="1" s="1"/>
  <c r="BQ230" i="1"/>
  <c r="BR230" i="1" s="1"/>
  <c r="BQ231" i="1"/>
  <c r="BR231" i="1" s="1"/>
  <c r="BQ232" i="1"/>
  <c r="BR232" i="1" s="1"/>
  <c r="BQ233" i="1"/>
  <c r="BR233" i="1" s="1"/>
  <c r="BQ234" i="1"/>
  <c r="BR234" i="1" s="1"/>
  <c r="BQ235" i="1"/>
  <c r="BR235" i="1" s="1"/>
  <c r="BQ236" i="1"/>
  <c r="BR236" i="1" s="1"/>
  <c r="BQ237" i="1"/>
  <c r="BR237" i="1" s="1"/>
  <c r="BQ238" i="1"/>
  <c r="BR238" i="1" s="1"/>
  <c r="BQ240" i="1"/>
  <c r="BR240" i="1" s="1"/>
  <c r="BQ241" i="1"/>
  <c r="BR241" i="1" s="1"/>
  <c r="BQ242" i="1"/>
  <c r="BR242" i="1" s="1"/>
  <c r="BQ244" i="1"/>
  <c r="BR244" i="1" s="1"/>
  <c r="BQ273" i="1"/>
  <c r="BR273" i="1" s="1"/>
  <c r="BQ274" i="1"/>
  <c r="BR274" i="1" s="1"/>
  <c r="BQ276" i="1"/>
  <c r="BR276" i="1" s="1"/>
  <c r="BQ279" i="1"/>
  <c r="BR279" i="1" s="1"/>
  <c r="BQ281" i="1"/>
  <c r="BR281" i="1" s="1"/>
  <c r="BQ282" i="1"/>
  <c r="BR282" i="1" s="1"/>
  <c r="BQ283" i="1"/>
  <c r="BR283" i="1" s="1"/>
  <c r="BQ284" i="1"/>
  <c r="BR284" i="1" s="1"/>
  <c r="BQ285" i="1"/>
  <c r="BR285" i="1" s="1"/>
  <c r="BQ286" i="1"/>
  <c r="BR286" i="1" s="1"/>
  <c r="BQ288" i="1"/>
  <c r="BR288" i="1" s="1"/>
  <c r="BQ289" i="1"/>
  <c r="BR289" i="1" s="1"/>
  <c r="BQ290" i="1"/>
  <c r="BR290" i="1" s="1"/>
  <c r="BQ291" i="1"/>
  <c r="BR291" i="1" s="1"/>
  <c r="BQ292" i="1"/>
  <c r="BR292" i="1" s="1"/>
  <c r="BQ293" i="1"/>
  <c r="BR293" i="1" s="1"/>
  <c r="BQ294" i="1"/>
  <c r="BR294" i="1" s="1"/>
  <c r="BQ296" i="1"/>
  <c r="BR296" i="1" s="1"/>
  <c r="BQ297" i="1"/>
  <c r="BR297" i="1" s="1"/>
  <c r="BQ298" i="1"/>
  <c r="BR298" i="1" s="1"/>
  <c r="BQ299" i="1"/>
  <c r="BR299" i="1" s="1"/>
  <c r="BQ300" i="1"/>
  <c r="BR300" i="1" s="1"/>
  <c r="BQ301" i="1"/>
  <c r="BR301" i="1" s="1"/>
  <c r="BQ302" i="1"/>
  <c r="BR302" i="1" s="1"/>
  <c r="BQ303" i="1"/>
  <c r="BR303" i="1" s="1"/>
  <c r="BQ304" i="1"/>
  <c r="BR304" i="1" s="1"/>
  <c r="BQ305" i="1"/>
  <c r="BR305" i="1" s="1"/>
  <c r="BQ306" i="1"/>
  <c r="BR306" i="1" s="1"/>
  <c r="BQ307" i="1"/>
  <c r="BR307" i="1" s="1"/>
  <c r="BQ308" i="1"/>
  <c r="BR308" i="1" s="1"/>
  <c r="BQ309" i="1"/>
  <c r="BR309" i="1" s="1"/>
  <c r="BQ310" i="1"/>
  <c r="BR310" i="1" s="1"/>
  <c r="BQ311" i="1"/>
  <c r="BR311" i="1" s="1"/>
  <c r="BQ312" i="1"/>
  <c r="BR312" i="1" s="1"/>
  <c r="BQ313" i="1"/>
  <c r="BR313" i="1" s="1"/>
  <c r="BQ314" i="1"/>
  <c r="BR314" i="1" s="1"/>
  <c r="BQ315" i="1"/>
  <c r="BR315" i="1" s="1"/>
  <c r="BQ317" i="1"/>
  <c r="BR317" i="1" s="1"/>
  <c r="BQ318" i="1"/>
  <c r="BR318" i="1" s="1"/>
  <c r="BQ319" i="1"/>
  <c r="BR319" i="1" s="1"/>
  <c r="BQ320" i="1"/>
  <c r="BR320" i="1" s="1"/>
  <c r="BQ321" i="1"/>
  <c r="BR321" i="1" s="1"/>
  <c r="BQ322" i="1"/>
  <c r="BR322" i="1" s="1"/>
  <c r="BQ323" i="1"/>
  <c r="BR323" i="1" s="1"/>
  <c r="BQ324" i="1"/>
  <c r="BR324" i="1" s="1"/>
  <c r="BQ325" i="1"/>
  <c r="BR325" i="1" s="1"/>
  <c r="BQ326" i="1"/>
  <c r="BR326" i="1" s="1"/>
  <c r="BQ327" i="1"/>
  <c r="BR327" i="1" s="1"/>
  <c r="BQ328" i="1"/>
  <c r="BR328" i="1" s="1"/>
  <c r="BQ329" i="1"/>
  <c r="BR329" i="1" s="1"/>
  <c r="BQ330" i="1"/>
  <c r="BR330" i="1" s="1"/>
  <c r="BQ331" i="1"/>
  <c r="BR331" i="1" s="1"/>
  <c r="BQ333" i="1"/>
  <c r="BR333" i="1" s="1"/>
  <c r="BQ334" i="1"/>
  <c r="BR334" i="1" s="1"/>
  <c r="BQ335" i="1"/>
  <c r="BR335" i="1" s="1"/>
  <c r="BQ336" i="1"/>
  <c r="BR336" i="1" s="1"/>
  <c r="BQ337" i="1"/>
  <c r="BR337" i="1" s="1"/>
  <c r="BQ338" i="1"/>
  <c r="BR338" i="1" s="1"/>
  <c r="BQ339" i="1"/>
  <c r="BR339" i="1" s="1"/>
  <c r="BQ340" i="1"/>
  <c r="BR340" i="1" s="1"/>
  <c r="BQ341" i="1"/>
  <c r="BR341" i="1" s="1"/>
  <c r="BQ342" i="1"/>
  <c r="BR342" i="1" s="1"/>
  <c r="BQ343" i="1"/>
  <c r="BR343" i="1" s="1"/>
  <c r="BQ344" i="1"/>
  <c r="BR344" i="1" s="1"/>
  <c r="BQ345" i="1"/>
  <c r="BR345" i="1" s="1"/>
  <c r="BQ346" i="1"/>
  <c r="BR346" i="1" s="1"/>
  <c r="BQ347" i="1"/>
  <c r="BR347" i="1" s="1"/>
  <c r="BQ348" i="1"/>
  <c r="BR348" i="1" s="1"/>
  <c r="BQ349" i="1"/>
  <c r="BR349" i="1" s="1"/>
  <c r="BQ350" i="1"/>
  <c r="BR350" i="1" s="1"/>
  <c r="BQ351" i="1"/>
  <c r="BR351" i="1" s="1"/>
  <c r="BQ352" i="1"/>
  <c r="BR352" i="1" s="1"/>
  <c r="BQ353" i="1"/>
  <c r="BR353" i="1" s="1"/>
  <c r="BQ354" i="1"/>
  <c r="BR354" i="1" s="1"/>
  <c r="BQ355" i="1"/>
  <c r="BR355" i="1" s="1"/>
  <c r="BQ356" i="1"/>
  <c r="BR356" i="1" s="1"/>
  <c r="BQ357" i="1"/>
  <c r="BR357" i="1" s="1"/>
  <c r="BQ358" i="1"/>
  <c r="BR358" i="1" s="1"/>
  <c r="BQ359" i="1"/>
  <c r="BR359" i="1" s="1"/>
  <c r="BQ360" i="1"/>
  <c r="BR360" i="1" s="1"/>
  <c r="BQ361" i="1"/>
  <c r="BR361" i="1" s="1"/>
  <c r="BQ362" i="1"/>
  <c r="BR362" i="1" s="1"/>
  <c r="BQ363" i="1"/>
  <c r="BR363" i="1" s="1"/>
  <c r="BQ364" i="1"/>
  <c r="BR364" i="1" s="1"/>
  <c r="BQ365" i="1"/>
  <c r="BR365" i="1" s="1"/>
  <c r="BQ366" i="1"/>
  <c r="BR366" i="1" s="1"/>
  <c r="BQ367" i="1"/>
  <c r="BR367" i="1" s="1"/>
  <c r="BQ368" i="1"/>
  <c r="BR368" i="1" s="1"/>
  <c r="BQ369" i="1"/>
  <c r="BR369" i="1" s="1"/>
  <c r="BQ370" i="1"/>
  <c r="BR370" i="1" s="1"/>
  <c r="BQ371" i="1"/>
  <c r="BR371" i="1" s="1"/>
  <c r="BQ372" i="1"/>
  <c r="BR372" i="1" s="1"/>
  <c r="BQ373" i="1"/>
  <c r="BR373" i="1" s="1"/>
  <c r="BQ374" i="1"/>
  <c r="BR374" i="1" s="1"/>
  <c r="BQ375" i="1"/>
  <c r="BR375" i="1" s="1"/>
  <c r="BQ376" i="1"/>
  <c r="BR376" i="1" s="1"/>
  <c r="BQ377" i="1"/>
  <c r="BR377" i="1" s="1"/>
  <c r="BQ378" i="1"/>
  <c r="BR378" i="1" s="1"/>
  <c r="BQ379" i="1"/>
  <c r="BR379" i="1" s="1"/>
  <c r="BQ380" i="1"/>
  <c r="BR380" i="1" s="1"/>
  <c r="BQ381" i="1"/>
  <c r="BR381" i="1" s="1"/>
  <c r="BQ382" i="1"/>
  <c r="BR382" i="1" s="1"/>
  <c r="BQ383" i="1"/>
  <c r="BR383" i="1" s="1"/>
  <c r="BQ384" i="1"/>
  <c r="BR384" i="1" s="1"/>
  <c r="BQ385" i="1"/>
  <c r="BR385" i="1" s="1"/>
  <c r="BQ386" i="1"/>
  <c r="BR386" i="1" s="1"/>
  <c r="BQ387" i="1"/>
  <c r="BR387" i="1" s="1"/>
  <c r="BQ388" i="1"/>
  <c r="BR388" i="1" s="1"/>
  <c r="BQ389" i="1"/>
  <c r="BR389" i="1" s="1"/>
  <c r="BQ390" i="1"/>
  <c r="BR390" i="1" s="1"/>
  <c r="BQ391" i="1"/>
  <c r="BR391" i="1" s="1"/>
  <c r="BQ392" i="1"/>
  <c r="BR392" i="1" s="1"/>
  <c r="BQ393" i="1"/>
  <c r="BR393" i="1" s="1"/>
  <c r="BQ394" i="1"/>
  <c r="BR394" i="1" s="1"/>
  <c r="BQ395" i="1"/>
  <c r="BR395" i="1" s="1"/>
  <c r="BQ396" i="1"/>
  <c r="BR396" i="1" s="1"/>
  <c r="BQ397" i="1"/>
  <c r="BR397" i="1" s="1"/>
  <c r="BQ398" i="1"/>
  <c r="BR398" i="1" s="1"/>
  <c r="BQ399" i="1"/>
  <c r="BR399" i="1" s="1"/>
  <c r="BQ400" i="1"/>
  <c r="BR400" i="1" s="1"/>
  <c r="BQ401" i="1"/>
  <c r="BR401" i="1" s="1"/>
  <c r="BQ402" i="1"/>
  <c r="BR402" i="1" s="1"/>
  <c r="BQ403" i="1"/>
  <c r="BR403" i="1" s="1"/>
  <c r="BQ404" i="1"/>
  <c r="BR404" i="1" s="1"/>
  <c r="BQ405" i="1"/>
  <c r="BR405" i="1" s="1"/>
  <c r="BQ406" i="1"/>
  <c r="BR406" i="1" s="1"/>
  <c r="BQ407" i="1"/>
  <c r="BR407" i="1" s="1"/>
  <c r="BQ408" i="1"/>
  <c r="BR408" i="1" s="1"/>
  <c r="BQ409" i="1"/>
  <c r="BR409" i="1" s="1"/>
  <c r="BQ410" i="1"/>
  <c r="BR410" i="1" s="1"/>
  <c r="BQ411" i="1"/>
  <c r="BR411" i="1" s="1"/>
  <c r="BQ412" i="1"/>
  <c r="BR412" i="1" s="1"/>
  <c r="BQ413" i="1"/>
  <c r="BR413" i="1" s="1"/>
  <c r="BQ414" i="1"/>
  <c r="BR414" i="1" s="1"/>
  <c r="BQ415" i="1"/>
  <c r="BR415" i="1" s="1"/>
  <c r="BQ416" i="1"/>
  <c r="BR416" i="1" s="1"/>
  <c r="BQ422" i="1"/>
  <c r="BR422" i="1" s="1"/>
  <c r="BQ423" i="1"/>
  <c r="BR423" i="1" s="1"/>
  <c r="BQ424" i="1"/>
  <c r="BR424" i="1" s="1"/>
  <c r="BQ425" i="1"/>
  <c r="BR425" i="1" s="1"/>
  <c r="BQ426" i="1"/>
  <c r="BR426" i="1" s="1"/>
  <c r="BQ428" i="1"/>
  <c r="BR428" i="1" s="1"/>
  <c r="BQ429" i="1"/>
  <c r="BR429" i="1" s="1"/>
  <c r="BQ430" i="1"/>
  <c r="BR430" i="1" s="1"/>
  <c r="BQ431" i="1"/>
  <c r="BR431" i="1" s="1"/>
  <c r="BQ432" i="1"/>
  <c r="BR432" i="1" s="1"/>
  <c r="BQ433" i="1"/>
  <c r="BR433" i="1" s="1"/>
  <c r="BQ434" i="1"/>
  <c r="BR434" i="1" s="1"/>
  <c r="BQ435" i="1"/>
  <c r="BR435" i="1" s="1"/>
  <c r="BQ436" i="1"/>
  <c r="BR436" i="1" s="1"/>
  <c r="BQ437" i="1"/>
  <c r="BR437" i="1" s="1"/>
  <c r="BQ438" i="1"/>
  <c r="BR438" i="1" s="1"/>
  <c r="BQ439" i="1"/>
  <c r="BR439" i="1" s="1"/>
  <c r="BQ440" i="1"/>
  <c r="BR440" i="1" s="1"/>
  <c r="BQ441" i="1"/>
  <c r="BR441" i="1" s="1"/>
  <c r="BQ442" i="1"/>
  <c r="BR442" i="1" s="1"/>
  <c r="BQ443" i="1"/>
  <c r="BR443" i="1" s="1"/>
  <c r="BQ444" i="1"/>
  <c r="BR444" i="1" s="1"/>
  <c r="BQ445" i="1"/>
  <c r="BR445" i="1" s="1"/>
  <c r="BQ446" i="1"/>
  <c r="BR446" i="1" s="1"/>
  <c r="BQ447" i="1"/>
  <c r="BR447" i="1" s="1"/>
  <c r="BQ448" i="1"/>
  <c r="BR448" i="1" s="1"/>
  <c r="BQ450" i="1"/>
  <c r="BR450" i="1" s="1"/>
  <c r="BQ451" i="1"/>
  <c r="BR451" i="1" s="1"/>
  <c r="BQ452" i="1"/>
  <c r="BR452" i="1" s="1"/>
  <c r="BQ454" i="1"/>
  <c r="BR454" i="1" s="1"/>
  <c r="BQ456" i="1"/>
  <c r="BR456" i="1" s="1"/>
  <c r="BQ457" i="1"/>
  <c r="BR457" i="1" s="1"/>
  <c r="BQ458" i="1"/>
  <c r="BR458" i="1" s="1"/>
  <c r="BQ459" i="1"/>
  <c r="BR459" i="1" s="1"/>
  <c r="BQ460" i="1"/>
  <c r="BR460" i="1" s="1"/>
  <c r="BQ461" i="1"/>
  <c r="BR461" i="1" s="1"/>
  <c r="BQ462" i="1"/>
  <c r="BR462" i="1" s="1"/>
  <c r="BQ463" i="1"/>
  <c r="BR463" i="1" s="1"/>
  <c r="BQ464" i="1"/>
  <c r="BR464" i="1" s="1"/>
  <c r="BQ465" i="1"/>
  <c r="BR465" i="1" s="1"/>
  <c r="BQ466" i="1"/>
  <c r="BR466" i="1" s="1"/>
  <c r="BQ467" i="1"/>
  <c r="BR467" i="1" s="1"/>
  <c r="BQ468" i="1"/>
  <c r="BR468" i="1" s="1"/>
  <c r="BQ469" i="1"/>
  <c r="BR469" i="1" s="1"/>
  <c r="BQ470" i="1"/>
  <c r="BR470" i="1" s="1"/>
  <c r="BQ471" i="1"/>
  <c r="BR471" i="1" s="1"/>
  <c r="BQ472" i="1"/>
  <c r="BR472" i="1" s="1"/>
  <c r="BQ473" i="1"/>
  <c r="BR473" i="1" s="1"/>
  <c r="BQ474" i="1"/>
  <c r="BR474" i="1" s="1"/>
  <c r="BQ475" i="1"/>
  <c r="BR475" i="1" s="1"/>
  <c r="BQ476" i="1"/>
  <c r="BR476" i="1" s="1"/>
  <c r="BQ477" i="1"/>
  <c r="BR477" i="1" s="1"/>
  <c r="BQ478" i="1"/>
  <c r="BR478" i="1" s="1"/>
  <c r="BQ479" i="1"/>
  <c r="BR479" i="1" s="1"/>
  <c r="BQ480" i="1"/>
  <c r="BR480" i="1" s="1"/>
  <c r="BQ481" i="1"/>
  <c r="BR481" i="1" s="1"/>
  <c r="BQ483" i="1"/>
  <c r="BR483" i="1" s="1"/>
  <c r="BQ484" i="1"/>
  <c r="BR484" i="1" s="1"/>
  <c r="BQ485" i="1"/>
  <c r="BR485" i="1" s="1"/>
  <c r="BQ486" i="1"/>
  <c r="BR486" i="1" s="1"/>
  <c r="BQ487" i="1"/>
  <c r="BR487" i="1" s="1"/>
  <c r="BQ488" i="1"/>
  <c r="BR488" i="1" s="1"/>
  <c r="BQ489" i="1"/>
  <c r="BR489" i="1" s="1"/>
  <c r="BQ492" i="1"/>
  <c r="BR492" i="1" s="1"/>
  <c r="BQ493" i="1"/>
  <c r="BR493" i="1" s="1"/>
  <c r="BQ496" i="1"/>
  <c r="BR496" i="1" s="1"/>
  <c r="BQ497" i="1"/>
  <c r="BR497" i="1" s="1"/>
  <c r="BQ498" i="1"/>
  <c r="BR498" i="1" s="1"/>
  <c r="BQ499" i="1"/>
  <c r="BR499" i="1" s="1"/>
  <c r="BQ500" i="1"/>
  <c r="BR500" i="1" s="1"/>
  <c r="BQ501" i="1"/>
  <c r="BR501" i="1" s="1"/>
  <c r="BQ502" i="1"/>
  <c r="BR502" i="1" s="1"/>
  <c r="BQ503" i="1"/>
  <c r="BR503" i="1" s="1"/>
  <c r="BQ504" i="1"/>
  <c r="BR504" i="1" s="1"/>
  <c r="BQ505" i="1"/>
  <c r="BR505" i="1" s="1"/>
  <c r="BQ506" i="1"/>
  <c r="BR506" i="1" s="1"/>
  <c r="BQ508" i="1"/>
  <c r="BR508" i="1" s="1"/>
  <c r="BQ509" i="1"/>
  <c r="BR509" i="1" s="1"/>
  <c r="BQ510" i="1"/>
  <c r="BR510" i="1" s="1"/>
  <c r="BQ517" i="1"/>
  <c r="BR517" i="1" s="1"/>
  <c r="BQ524" i="1"/>
  <c r="BR524" i="1" s="1"/>
  <c r="BQ525" i="1"/>
  <c r="BR525" i="1" s="1"/>
  <c r="BQ526" i="1"/>
  <c r="BR526" i="1" s="1"/>
  <c r="BQ527" i="1"/>
  <c r="BR527" i="1" s="1"/>
  <c r="BQ530" i="1"/>
  <c r="BR530" i="1" s="1"/>
  <c r="BQ533" i="1"/>
  <c r="BR533" i="1" s="1"/>
  <c r="BQ536" i="1"/>
  <c r="BR536" i="1" s="1"/>
  <c r="BQ537" i="1"/>
  <c r="BR537" i="1" s="1"/>
  <c r="BQ538" i="1"/>
  <c r="BR538" i="1" s="1"/>
  <c r="BQ539" i="1"/>
  <c r="BR539" i="1" s="1"/>
  <c r="BQ540" i="1"/>
  <c r="BR540" i="1" s="1"/>
  <c r="BQ541" i="1"/>
  <c r="BR541" i="1" s="1"/>
  <c r="BQ544" i="1"/>
  <c r="BR544" i="1" s="1"/>
  <c r="BQ545" i="1"/>
  <c r="BR545" i="1" s="1"/>
  <c r="BQ547" i="1"/>
  <c r="BR547" i="1" s="1"/>
  <c r="BQ548" i="1"/>
  <c r="BR548" i="1" s="1"/>
  <c r="BQ549" i="1"/>
  <c r="BR549" i="1" s="1"/>
  <c r="BQ550" i="1"/>
  <c r="BR550" i="1" s="1"/>
  <c r="BQ551" i="1"/>
  <c r="BR551" i="1" s="1"/>
  <c r="BQ552" i="1"/>
  <c r="BR552" i="1" s="1"/>
  <c r="BQ553" i="1"/>
  <c r="BR553" i="1" s="1"/>
  <c r="BQ554" i="1"/>
  <c r="BR554" i="1" s="1"/>
  <c r="BQ555" i="1"/>
  <c r="BR555" i="1" s="1"/>
  <c r="BQ556" i="1"/>
  <c r="BR556" i="1" s="1"/>
  <c r="BQ557" i="1"/>
  <c r="BR557" i="1" s="1"/>
  <c r="BQ558" i="1"/>
  <c r="BR558" i="1" s="1"/>
  <c r="BQ559" i="1"/>
  <c r="BR559" i="1" s="1"/>
  <c r="BQ560" i="1"/>
  <c r="BR560" i="1" s="1"/>
  <c r="BQ561" i="1"/>
  <c r="BR561" i="1" s="1"/>
  <c r="BQ562" i="1"/>
  <c r="BR562" i="1" s="1"/>
  <c r="BQ563" i="1"/>
  <c r="BR563" i="1" s="1"/>
  <c r="BQ564" i="1"/>
  <c r="BR564" i="1" s="1"/>
  <c r="BQ565" i="1"/>
  <c r="BR565" i="1" s="1"/>
  <c r="BQ566" i="1"/>
  <c r="BR566" i="1" s="1"/>
  <c r="BQ567" i="1"/>
  <c r="BR567" i="1" s="1"/>
  <c r="BQ568" i="1"/>
  <c r="BR568" i="1" s="1"/>
  <c r="BQ569" i="1"/>
  <c r="BR569" i="1" s="1"/>
  <c r="BQ571" i="1"/>
  <c r="BR571" i="1" s="1"/>
  <c r="BQ572" i="1"/>
  <c r="BR572" i="1" s="1"/>
  <c r="BQ573" i="1"/>
  <c r="BR573" i="1" s="1"/>
  <c r="BQ574" i="1"/>
  <c r="BR574" i="1" s="1"/>
  <c r="BQ575" i="1"/>
  <c r="BR575" i="1" s="1"/>
  <c r="BQ576" i="1"/>
  <c r="BR576" i="1" s="1"/>
  <c r="BQ577" i="1"/>
  <c r="BR577" i="1" s="1"/>
  <c r="BQ578" i="1"/>
  <c r="BR578" i="1" s="1"/>
  <c r="BQ579" i="1"/>
  <c r="BR579" i="1" s="1"/>
  <c r="BQ580" i="1"/>
  <c r="BR580" i="1" s="1"/>
  <c r="BQ581" i="1"/>
  <c r="BR581" i="1" s="1"/>
  <c r="BQ582" i="1"/>
  <c r="BR582" i="1" s="1"/>
  <c r="BQ583" i="1"/>
  <c r="BR583" i="1" s="1"/>
  <c r="BQ584" i="1"/>
  <c r="BR584" i="1" s="1"/>
  <c r="BQ585" i="1"/>
  <c r="BR585" i="1" s="1"/>
  <c r="BQ586" i="1"/>
  <c r="BR586" i="1" s="1"/>
  <c r="BQ587" i="1"/>
  <c r="BR587" i="1" s="1"/>
  <c r="BQ588" i="1"/>
  <c r="BR588" i="1" s="1"/>
  <c r="BQ589" i="1"/>
  <c r="BR589" i="1" s="1"/>
  <c r="BQ590" i="1"/>
  <c r="BR590" i="1" s="1"/>
  <c r="BQ591" i="1"/>
  <c r="BR591" i="1" s="1"/>
  <c r="BQ592" i="1"/>
  <c r="BR592" i="1" s="1"/>
  <c r="BQ593" i="1"/>
  <c r="BR593" i="1" s="1"/>
  <c r="BQ594" i="1"/>
  <c r="BR594" i="1" s="1"/>
  <c r="BQ596" i="1"/>
  <c r="BR596" i="1" s="1"/>
  <c r="BQ597" i="1"/>
  <c r="BR597" i="1" s="1"/>
  <c r="BQ598" i="1"/>
  <c r="BR598" i="1" s="1"/>
  <c r="BQ601" i="1"/>
  <c r="BR601" i="1" s="1"/>
  <c r="BQ602" i="1"/>
  <c r="BR602" i="1" s="1"/>
  <c r="BQ603" i="1"/>
  <c r="BR603" i="1" s="1"/>
  <c r="BQ606" i="1"/>
  <c r="BR606" i="1" s="1"/>
  <c r="BQ607" i="1"/>
  <c r="BR607" i="1" s="1"/>
  <c r="BQ608" i="1"/>
  <c r="BR608" i="1" s="1"/>
  <c r="BQ610" i="1"/>
  <c r="BR610" i="1" s="1"/>
  <c r="BQ611" i="1"/>
  <c r="BR611" i="1" s="1"/>
  <c r="BQ612" i="1"/>
  <c r="BR612" i="1" s="1"/>
  <c r="BQ613" i="1"/>
  <c r="BR613" i="1" s="1"/>
  <c r="BQ614" i="1"/>
  <c r="BR614" i="1" s="1"/>
  <c r="BQ615" i="1"/>
  <c r="BR615" i="1" s="1"/>
  <c r="BQ616" i="1"/>
  <c r="BR616" i="1" s="1"/>
  <c r="BQ625" i="1"/>
  <c r="BR625" i="1" s="1"/>
  <c r="BQ626" i="1"/>
  <c r="BR626" i="1" s="1"/>
  <c r="BQ627" i="1"/>
  <c r="BR627" i="1" s="1"/>
  <c r="BQ628" i="1"/>
  <c r="BR628" i="1" s="1"/>
  <c r="BQ629" i="1"/>
  <c r="BR629" i="1" s="1"/>
  <c r="BQ630" i="1"/>
  <c r="BR630" i="1" s="1"/>
  <c r="BQ631" i="1"/>
  <c r="BR631" i="1" s="1"/>
  <c r="BQ632" i="1"/>
  <c r="BR632" i="1" s="1"/>
  <c r="BQ633" i="1"/>
  <c r="BR633" i="1" s="1"/>
  <c r="BQ634" i="1"/>
  <c r="BR634" i="1" s="1"/>
  <c r="BQ635" i="1"/>
  <c r="BR635" i="1" s="1"/>
  <c r="BQ636" i="1"/>
  <c r="BR636" i="1" s="1"/>
  <c r="BQ637" i="1"/>
  <c r="BR637" i="1" s="1"/>
  <c r="BQ638" i="1"/>
  <c r="BR638" i="1" s="1"/>
  <c r="BQ639" i="1"/>
  <c r="BR639" i="1" s="1"/>
  <c r="BQ640" i="1"/>
  <c r="BR640" i="1" s="1"/>
  <c r="BQ641" i="1"/>
  <c r="BR641" i="1" s="1"/>
  <c r="BQ644" i="1"/>
  <c r="BR644" i="1" s="1"/>
  <c r="BQ645" i="1"/>
  <c r="BR645" i="1" s="1"/>
  <c r="BQ649" i="1"/>
  <c r="BR649" i="1" s="1"/>
  <c r="BQ650" i="1"/>
  <c r="BR650" i="1" s="1"/>
  <c r="BQ651" i="1"/>
  <c r="BR651" i="1" s="1"/>
  <c r="BQ652" i="1"/>
  <c r="BR652" i="1" s="1"/>
  <c r="BQ653" i="1"/>
  <c r="BR653" i="1" s="1"/>
  <c r="BQ654" i="1"/>
  <c r="BR654" i="1" s="1"/>
  <c r="BQ655" i="1"/>
  <c r="BR655" i="1" s="1"/>
  <c r="BQ662" i="1"/>
  <c r="BR662" i="1" s="1"/>
  <c r="BQ663" i="1"/>
  <c r="BR663" i="1" s="1"/>
  <c r="BQ664" i="1"/>
  <c r="BR664" i="1" s="1"/>
  <c r="BQ665" i="1"/>
  <c r="BR665" i="1" s="1"/>
  <c r="BQ666" i="1"/>
  <c r="BR666" i="1" s="1"/>
  <c r="BQ667" i="1"/>
  <c r="BR667" i="1" s="1"/>
  <c r="BQ668" i="1"/>
  <c r="BR668" i="1" s="1"/>
  <c r="BQ669" i="1"/>
  <c r="BR669" i="1" s="1"/>
  <c r="BQ671" i="1"/>
  <c r="BR671" i="1" s="1"/>
  <c r="BQ678" i="1"/>
  <c r="BR678" i="1" s="1"/>
  <c r="BQ679" i="1"/>
  <c r="BR679" i="1" s="1"/>
  <c r="BQ682" i="1"/>
  <c r="BR682" i="1" s="1"/>
  <c r="BQ683" i="1"/>
  <c r="BR683" i="1" s="1"/>
  <c r="BQ686" i="1"/>
  <c r="BR686" i="1" s="1"/>
  <c r="BQ687" i="1"/>
  <c r="BR687" i="1" s="1"/>
  <c r="BQ688" i="1"/>
  <c r="BR688" i="1" s="1"/>
  <c r="BQ689" i="1"/>
  <c r="BR689" i="1" s="1"/>
  <c r="BQ690" i="1"/>
  <c r="BR690" i="1" s="1"/>
  <c r="BQ692" i="1"/>
  <c r="BR692" i="1" s="1"/>
  <c r="BQ693" i="1"/>
  <c r="BR693" i="1" s="1"/>
  <c r="BQ694" i="1"/>
  <c r="BR694" i="1" s="1"/>
  <c r="BQ695" i="1"/>
  <c r="BR695" i="1" s="1"/>
  <c r="BQ696" i="1"/>
  <c r="BR696" i="1" s="1"/>
  <c r="BQ697" i="1"/>
  <c r="BR697" i="1" s="1"/>
  <c r="BQ698" i="1"/>
  <c r="BR698" i="1" s="1"/>
  <c r="BQ699" i="1"/>
  <c r="BR699" i="1" s="1"/>
  <c r="BQ703" i="1"/>
  <c r="BR703" i="1" s="1"/>
  <c r="BQ706" i="1"/>
  <c r="BR706" i="1" s="1"/>
  <c r="BQ708" i="1"/>
  <c r="BR708" i="1" s="1"/>
  <c r="BQ709" i="1"/>
  <c r="BR709" i="1" s="1"/>
  <c r="BQ710" i="1"/>
  <c r="BR710" i="1" s="1"/>
  <c r="BQ711" i="1"/>
  <c r="BR711" i="1" s="1"/>
  <c r="BQ714" i="1"/>
  <c r="BR714" i="1" s="1"/>
  <c r="BQ715" i="1"/>
  <c r="BR715" i="1" s="1"/>
  <c r="BQ716" i="1"/>
  <c r="BR716" i="1" s="1"/>
  <c r="BQ717" i="1"/>
  <c r="BR717" i="1" s="1"/>
  <c r="BQ718" i="1"/>
  <c r="BR718" i="1" s="1"/>
  <c r="BQ719" i="1"/>
  <c r="BR719" i="1" s="1"/>
  <c r="BQ720" i="1"/>
  <c r="BR720" i="1" s="1"/>
  <c r="BQ723" i="1"/>
  <c r="BR723" i="1" s="1"/>
  <c r="BQ724" i="1"/>
  <c r="BR724" i="1" s="1"/>
  <c r="BQ725" i="1"/>
  <c r="BR725" i="1" s="1"/>
  <c r="BQ726" i="1"/>
  <c r="BR726" i="1" s="1"/>
  <c r="BQ727" i="1"/>
  <c r="BR727" i="1" s="1"/>
  <c r="BQ728" i="1"/>
  <c r="BR728" i="1" s="1"/>
  <c r="BQ729" i="1"/>
  <c r="BR729" i="1" s="1"/>
  <c r="BQ730" i="1"/>
  <c r="BR730" i="1" s="1"/>
  <c r="BQ731" i="1"/>
  <c r="BR731" i="1" s="1"/>
  <c r="BQ733" i="1"/>
  <c r="BR733" i="1" s="1"/>
  <c r="BQ734" i="1"/>
  <c r="BR734" i="1" s="1"/>
  <c r="BQ736" i="1"/>
  <c r="BR736" i="1" s="1"/>
  <c r="BQ737" i="1"/>
  <c r="BR737" i="1" s="1"/>
  <c r="BQ738" i="1"/>
  <c r="BR738" i="1" s="1"/>
  <c r="BQ740" i="1"/>
  <c r="BR740" i="1" s="1"/>
  <c r="BQ741" i="1"/>
  <c r="BR741" i="1" s="1"/>
  <c r="BQ743" i="1"/>
  <c r="BR743" i="1" s="1"/>
  <c r="BQ744" i="1"/>
  <c r="BR744" i="1" s="1"/>
  <c r="BQ745" i="1"/>
  <c r="BR745" i="1" s="1"/>
  <c r="BQ746" i="1"/>
  <c r="BR746" i="1" s="1"/>
  <c r="BQ747" i="1"/>
  <c r="BR747" i="1" s="1"/>
  <c r="BQ748" i="1"/>
  <c r="BR748" i="1" s="1"/>
  <c r="BQ749" i="1"/>
  <c r="BR749" i="1" s="1"/>
  <c r="BQ750" i="1"/>
  <c r="BR750" i="1" s="1"/>
  <c r="BQ751" i="1"/>
  <c r="BR751" i="1" s="1"/>
  <c r="BQ752" i="1"/>
  <c r="BR752" i="1" s="1"/>
  <c r="BQ753" i="1"/>
  <c r="BR753" i="1" s="1"/>
  <c r="BQ754" i="1"/>
  <c r="BR754" i="1" s="1"/>
  <c r="BQ755" i="1"/>
  <c r="BR755" i="1" s="1"/>
  <c r="BQ756" i="1"/>
  <c r="BR756" i="1" s="1"/>
  <c r="BQ757" i="1"/>
  <c r="BR757" i="1" s="1"/>
  <c r="BQ758" i="1"/>
  <c r="BR758" i="1" s="1"/>
  <c r="BQ759" i="1"/>
  <c r="BR759" i="1" s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5" i="1"/>
  <c r="BO82" i="1"/>
  <c r="BO83" i="1"/>
  <c r="BO84" i="1"/>
  <c r="BO85" i="1"/>
  <c r="BO86" i="1"/>
  <c r="BO87" i="1"/>
  <c r="BO88" i="1"/>
  <c r="BO90" i="1"/>
  <c r="BO91" i="1"/>
  <c r="BO93" i="1"/>
  <c r="BO94" i="1"/>
  <c r="BO95" i="1"/>
  <c r="BO96" i="1"/>
  <c r="BO97" i="1"/>
  <c r="BO98" i="1"/>
  <c r="BO99" i="1"/>
  <c r="BO100" i="1"/>
  <c r="BO101" i="1"/>
  <c r="BO104" i="1"/>
  <c r="BO105" i="1"/>
  <c r="BO106" i="1"/>
  <c r="BO107" i="1"/>
  <c r="BO108" i="1"/>
  <c r="BO109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9" i="1"/>
  <c r="BO170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7" i="1"/>
  <c r="BO188" i="1"/>
  <c r="BO189" i="1"/>
  <c r="BO190" i="1"/>
  <c r="BO191" i="1"/>
  <c r="BO192" i="1"/>
  <c r="BO193" i="1"/>
  <c r="BO194" i="1"/>
  <c r="BO195" i="1"/>
  <c r="BO196" i="1"/>
  <c r="BO202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4" i="1"/>
  <c r="BO250" i="1"/>
  <c r="BO252" i="1"/>
  <c r="BO255" i="1"/>
  <c r="BO256" i="1"/>
  <c r="BO257" i="1"/>
  <c r="BO258" i="1"/>
  <c r="BO259" i="1"/>
  <c r="BO260" i="1"/>
  <c r="BO262" i="1"/>
  <c r="BO263" i="1"/>
  <c r="BO264" i="1"/>
  <c r="BO265" i="1"/>
  <c r="BO266" i="1"/>
  <c r="BO267" i="1"/>
  <c r="BO268" i="1"/>
  <c r="BO269" i="1"/>
  <c r="BO270" i="1"/>
  <c r="BO271" i="1"/>
  <c r="BO273" i="1"/>
  <c r="BO274" i="1"/>
  <c r="BO276" i="1"/>
  <c r="BO279" i="1"/>
  <c r="BO281" i="1"/>
  <c r="BO282" i="1"/>
  <c r="BO283" i="1"/>
  <c r="BO284" i="1"/>
  <c r="BO285" i="1"/>
  <c r="BO286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22" i="1"/>
  <c r="BO423" i="1"/>
  <c r="BO424" i="1"/>
  <c r="BO425" i="1"/>
  <c r="BO426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3" i="1"/>
  <c r="BO484" i="1"/>
  <c r="BO485" i="1"/>
  <c r="BO486" i="1"/>
  <c r="BO487" i="1"/>
  <c r="BO488" i="1"/>
  <c r="BO489" i="1"/>
  <c r="BO492" i="1"/>
  <c r="BO493" i="1"/>
  <c r="BO496" i="1"/>
  <c r="BO497" i="1"/>
  <c r="BO498" i="1"/>
  <c r="BO499" i="1"/>
  <c r="BO500" i="1"/>
  <c r="BO501" i="1"/>
  <c r="BO502" i="1"/>
  <c r="BO503" i="1"/>
  <c r="BO504" i="1"/>
  <c r="BO505" i="1"/>
  <c r="BO506" i="1"/>
  <c r="BO508" i="1"/>
  <c r="BO509" i="1"/>
  <c r="BO510" i="1"/>
  <c r="BO517" i="1"/>
  <c r="BO519" i="1"/>
  <c r="BO522" i="1"/>
  <c r="BO523" i="1"/>
  <c r="BO524" i="1"/>
  <c r="BO525" i="1"/>
  <c r="BO526" i="1"/>
  <c r="BO527" i="1"/>
  <c r="BO529" i="1"/>
  <c r="BO530" i="1"/>
  <c r="BO533" i="1"/>
  <c r="BO536" i="1"/>
  <c r="BO537" i="1"/>
  <c r="BO538" i="1"/>
  <c r="BO539" i="1"/>
  <c r="BO540" i="1"/>
  <c r="BO541" i="1"/>
  <c r="BO544" i="1"/>
  <c r="BO545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6" i="1"/>
  <c r="BO597" i="1"/>
  <c r="BO598" i="1"/>
  <c r="BO600" i="1"/>
  <c r="BO601" i="1"/>
  <c r="BO602" i="1"/>
  <c r="BO603" i="1"/>
  <c r="BO604" i="1"/>
  <c r="BO606" i="1"/>
  <c r="BO607" i="1"/>
  <c r="BO608" i="1"/>
  <c r="BO610" i="1"/>
  <c r="BO611" i="1"/>
  <c r="BO612" i="1"/>
  <c r="BO613" i="1"/>
  <c r="BO614" i="1"/>
  <c r="BO615" i="1"/>
  <c r="BO616" i="1"/>
  <c r="BO619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4" i="1"/>
  <c r="BO645" i="1"/>
  <c r="BO646" i="1"/>
  <c r="BO649" i="1"/>
  <c r="BO650" i="1"/>
  <c r="BO651" i="1"/>
  <c r="BO652" i="1"/>
  <c r="BO653" i="1"/>
  <c r="BO654" i="1"/>
  <c r="BO655" i="1"/>
  <c r="BO662" i="1"/>
  <c r="BO663" i="1"/>
  <c r="BO664" i="1"/>
  <c r="BO665" i="1"/>
  <c r="BO666" i="1"/>
  <c r="BO667" i="1"/>
  <c r="BO668" i="1"/>
  <c r="BO669" i="1"/>
  <c r="BO671" i="1"/>
  <c r="BO678" i="1"/>
  <c r="BO679" i="1"/>
  <c r="BO682" i="1"/>
  <c r="BO683" i="1"/>
  <c r="BO686" i="1"/>
  <c r="BO687" i="1"/>
  <c r="BO688" i="1"/>
  <c r="BO689" i="1"/>
  <c r="BO690" i="1"/>
  <c r="BO692" i="1"/>
  <c r="BO693" i="1"/>
  <c r="BO694" i="1"/>
  <c r="BO695" i="1"/>
  <c r="BO696" i="1"/>
  <c r="BO697" i="1"/>
  <c r="BO698" i="1"/>
  <c r="BO699" i="1"/>
  <c r="BO703" i="1"/>
  <c r="BO706" i="1"/>
  <c r="BO708" i="1"/>
  <c r="BO709" i="1"/>
  <c r="BO710" i="1"/>
  <c r="BO711" i="1"/>
  <c r="BO714" i="1"/>
  <c r="BO715" i="1"/>
  <c r="BO716" i="1"/>
  <c r="BO717" i="1"/>
  <c r="BO718" i="1"/>
  <c r="BO719" i="1"/>
  <c r="BO720" i="1"/>
  <c r="BO723" i="1"/>
  <c r="BO724" i="1"/>
  <c r="BO725" i="1"/>
  <c r="BO726" i="1"/>
  <c r="BO727" i="1"/>
  <c r="BO728" i="1"/>
  <c r="BO729" i="1"/>
  <c r="BO730" i="1"/>
  <c r="BO731" i="1"/>
  <c r="BO732" i="1"/>
  <c r="BO733" i="1"/>
  <c r="BO734" i="1"/>
  <c r="BO736" i="1"/>
  <c r="BO737" i="1"/>
  <c r="BO738" i="1"/>
  <c r="BO740" i="1"/>
  <c r="BO741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Q252" i="1"/>
  <c r="BR252" i="1" s="1"/>
  <c r="BQ255" i="1"/>
  <c r="BR255" i="1" s="1"/>
  <c r="BQ256" i="1"/>
  <c r="BR256" i="1" s="1"/>
  <c r="BQ257" i="1"/>
  <c r="BR257" i="1" s="1"/>
  <c r="BQ258" i="1"/>
  <c r="BR258" i="1" s="1"/>
  <c r="BQ259" i="1"/>
  <c r="BR259" i="1" s="1"/>
  <c r="BQ260" i="1"/>
  <c r="BR260" i="1" s="1"/>
  <c r="BQ262" i="1"/>
  <c r="BR262" i="1" s="1"/>
  <c r="BQ263" i="1"/>
  <c r="BR263" i="1" s="1"/>
  <c r="BQ264" i="1"/>
  <c r="BR264" i="1" s="1"/>
  <c r="BQ265" i="1"/>
  <c r="BR265" i="1" s="1"/>
  <c r="BQ266" i="1"/>
  <c r="BR266" i="1" s="1"/>
  <c r="BQ267" i="1"/>
  <c r="BR267" i="1" s="1"/>
  <c r="BQ268" i="1"/>
  <c r="BR268" i="1" s="1"/>
  <c r="BQ269" i="1"/>
  <c r="BR269" i="1" s="1"/>
  <c r="BQ270" i="1"/>
  <c r="BR270" i="1" s="1"/>
  <c r="BQ271" i="1"/>
  <c r="BR271" i="1" s="1"/>
  <c r="BQ2" i="1"/>
  <c r="BR2" i="1" s="1"/>
  <c r="BQ3" i="1"/>
  <c r="BR3" i="1" s="1"/>
  <c r="BO2" i="1"/>
  <c r="BO3" i="1"/>
  <c r="BO6" i="1"/>
  <c r="BO8" i="1"/>
  <c r="BO9" i="1"/>
  <c r="BO11" i="1"/>
  <c r="BO31" i="1"/>
  <c r="BO30" i="1"/>
  <c r="BO29" i="1"/>
  <c r="BO28" i="1"/>
  <c r="BO27" i="1"/>
  <c r="BO26" i="1"/>
  <c r="BO25" i="1"/>
  <c r="BO24" i="1"/>
  <c r="BO23" i="1"/>
  <c r="BO22" i="1"/>
  <c r="BO20" i="1"/>
  <c r="BO19" i="1"/>
  <c r="BO18" i="1"/>
  <c r="BO17" i="1"/>
  <c r="BO16" i="1"/>
  <c r="BO15" i="1"/>
  <c r="BO14" i="1"/>
  <c r="BO13" i="1"/>
  <c r="AF13" i="1"/>
  <c r="AQ305" i="1"/>
  <c r="BM4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2" i="1"/>
  <c r="AQ745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621" i="1"/>
  <c r="A9" i="1"/>
  <c r="A3" i="1"/>
  <c r="A4" i="1"/>
  <c r="A5" i="1"/>
  <c r="A6" i="1"/>
  <c r="A7" i="1"/>
  <c r="A8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2" i="1"/>
  <c r="BM3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AR759" i="1"/>
  <c r="AR758" i="1"/>
  <c r="AQ758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60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9" i="1"/>
  <c r="AQ760" i="1"/>
  <c r="AR701" i="1"/>
  <c r="AQ701" i="1"/>
  <c r="AQ683" i="1"/>
  <c r="AR683" i="1"/>
  <c r="AQ672" i="1"/>
  <c r="AR672" i="1"/>
  <c r="AQ673" i="1"/>
  <c r="AR673" i="1"/>
  <c r="AQ674" i="1"/>
  <c r="AR674" i="1"/>
  <c r="AQ675" i="1"/>
  <c r="AR675" i="1"/>
  <c r="AQ676" i="1"/>
  <c r="AR676" i="1"/>
  <c r="AQ677" i="1"/>
  <c r="AR677" i="1"/>
  <c r="AQ678" i="1"/>
  <c r="AR678" i="1"/>
  <c r="AQ679" i="1"/>
  <c r="AR679" i="1"/>
  <c r="AQ680" i="1"/>
  <c r="AR680" i="1"/>
  <c r="AQ681" i="1"/>
  <c r="AR681" i="1"/>
  <c r="AQ682" i="1"/>
  <c r="AR682" i="1"/>
  <c r="AQ684" i="1"/>
  <c r="AR684" i="1"/>
  <c r="AQ685" i="1"/>
  <c r="AR685" i="1"/>
  <c r="AQ686" i="1"/>
  <c r="AR686" i="1"/>
  <c r="AQ687" i="1"/>
  <c r="AR687" i="1"/>
  <c r="AQ688" i="1"/>
  <c r="AR688" i="1"/>
  <c r="AQ689" i="1"/>
  <c r="AR689" i="1"/>
  <c r="AQ690" i="1"/>
  <c r="AR690" i="1"/>
  <c r="AQ691" i="1"/>
  <c r="AR691" i="1"/>
  <c r="AQ692" i="1"/>
  <c r="AR692" i="1"/>
  <c r="AQ693" i="1"/>
  <c r="AR693" i="1"/>
  <c r="AQ694" i="1"/>
  <c r="AR694" i="1"/>
  <c r="AQ695" i="1"/>
  <c r="AR695" i="1"/>
  <c r="AQ696" i="1"/>
  <c r="AR696" i="1"/>
  <c r="AQ697" i="1"/>
  <c r="AR697" i="1"/>
  <c r="AQ698" i="1"/>
  <c r="AR698" i="1"/>
  <c r="AQ699" i="1"/>
  <c r="AR699" i="1"/>
  <c r="AQ700" i="1"/>
  <c r="AR700" i="1"/>
  <c r="AQ657" i="1"/>
  <c r="AR657" i="1"/>
  <c r="AR658" i="1"/>
  <c r="AQ658" i="1"/>
  <c r="AR659" i="1"/>
  <c r="AQ659" i="1"/>
  <c r="AQ655" i="1"/>
  <c r="AQ656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R655" i="1"/>
  <c r="AR656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R625" i="1"/>
  <c r="AR626" i="1"/>
  <c r="AR627" i="1"/>
  <c r="AR628" i="1"/>
  <c r="AR629" i="1"/>
  <c r="AR617" i="1"/>
  <c r="AR618" i="1"/>
  <c r="AR619" i="1"/>
  <c r="AR620" i="1"/>
  <c r="AR621" i="1"/>
  <c r="AR622" i="1"/>
  <c r="AR623" i="1"/>
  <c r="AR624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43" i="1"/>
  <c r="U344" i="1"/>
  <c r="U345" i="1"/>
  <c r="U346" i="1"/>
  <c r="U347" i="1"/>
  <c r="U348" i="1"/>
  <c r="U349" i="1"/>
  <c r="U350" i="1"/>
  <c r="U342" i="1"/>
  <c r="U311" i="1"/>
  <c r="U312" i="1"/>
  <c r="U313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292" i="1"/>
  <c r="U251" i="1"/>
  <c r="U252" i="1"/>
  <c r="U241" i="1"/>
  <c r="U242" i="1"/>
  <c r="U243" i="1"/>
  <c r="U244" i="1"/>
  <c r="U245" i="1"/>
  <c r="U246" i="1"/>
  <c r="U247" i="1"/>
  <c r="U248" i="1"/>
  <c r="U249" i="1"/>
  <c r="U250" i="1"/>
  <c r="U237" i="1"/>
  <c r="U238" i="1"/>
  <c r="U239" i="1"/>
  <c r="U240" i="1"/>
  <c r="U231" i="1"/>
  <c r="U232" i="1"/>
  <c r="U233" i="1"/>
  <c r="U234" i="1"/>
  <c r="U235" i="1"/>
  <c r="U236" i="1"/>
  <c r="U227" i="1"/>
  <c r="U228" i="1"/>
  <c r="U229" i="1"/>
  <c r="U230" i="1"/>
  <c r="U226" i="1"/>
  <c r="U217" i="1"/>
  <c r="U218" i="1"/>
  <c r="U219" i="1"/>
  <c r="U220" i="1"/>
  <c r="U221" i="1"/>
  <c r="U216" i="1"/>
  <c r="U215" i="1"/>
  <c r="U214" i="1"/>
  <c r="U213" i="1"/>
  <c r="U212" i="1"/>
  <c r="U211" i="1"/>
  <c r="U210" i="1"/>
  <c r="U209" i="1"/>
  <c r="U208" i="1"/>
  <c r="AR592" i="1"/>
  <c r="AQ448" i="1"/>
  <c r="AQ447" i="1"/>
  <c r="AR447" i="1"/>
  <c r="AQ587" i="1"/>
  <c r="AQ588" i="1"/>
  <c r="AQ589" i="1"/>
  <c r="AQ590" i="1"/>
  <c r="AQ591" i="1"/>
  <c r="AQ592" i="1"/>
  <c r="AQ593" i="1"/>
  <c r="AQ594" i="1"/>
  <c r="AQ595" i="1"/>
  <c r="AQ596" i="1"/>
  <c r="AR264" i="1"/>
  <c r="AR19" i="1"/>
  <c r="AR587" i="1"/>
  <c r="AR588" i="1"/>
  <c r="AR589" i="1"/>
  <c r="AR590" i="1"/>
  <c r="AR591" i="1"/>
  <c r="AR593" i="1"/>
  <c r="AR594" i="1"/>
  <c r="AR595" i="1"/>
  <c r="AR59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Q451" i="1"/>
  <c r="AQ449" i="1"/>
  <c r="AQ450" i="1"/>
  <c r="AQ452" i="1"/>
  <c r="AQ453" i="1"/>
  <c r="AQ454" i="1"/>
  <c r="AQ455" i="1"/>
  <c r="AQ456" i="1"/>
  <c r="AQ457" i="1"/>
  <c r="AQ459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451" i="1"/>
  <c r="AR448" i="1"/>
  <c r="AR449" i="1"/>
  <c r="AR450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305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3" i="1"/>
  <c r="AR3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2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381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61" i="1"/>
  <c r="AQ362" i="1"/>
  <c r="AQ363" i="1"/>
  <c r="AQ364" i="1"/>
  <c r="AQ351" i="1"/>
  <c r="AQ352" i="1"/>
  <c r="AQ353" i="1"/>
  <c r="AQ354" i="1"/>
  <c r="AQ355" i="1"/>
  <c r="AQ356" i="1"/>
  <c r="AQ357" i="1"/>
  <c r="AQ358" i="1"/>
  <c r="AQ359" i="1"/>
  <c r="AQ360" i="1"/>
  <c r="AQ365" i="1"/>
  <c r="AQ366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196" i="1"/>
  <c r="AF195" i="1"/>
  <c r="AF194" i="1"/>
  <c r="AF193" i="1"/>
  <c r="AF192" i="1"/>
  <c r="AF191" i="1"/>
  <c r="O191" i="1"/>
  <c r="AF190" i="1"/>
  <c r="O190" i="1"/>
  <c r="AF189" i="1"/>
  <c r="O189" i="1"/>
  <c r="AF188" i="1"/>
  <c r="O188" i="1"/>
  <c r="AF187" i="1"/>
  <c r="O187" i="1"/>
  <c r="AF186" i="1"/>
  <c r="O186" i="1"/>
  <c r="AF185" i="1"/>
  <c r="O185" i="1"/>
  <c r="AF184" i="1"/>
  <c r="O184" i="1"/>
  <c r="AF183" i="1"/>
  <c r="O183" i="1"/>
  <c r="AF182" i="1"/>
  <c r="AF181" i="1"/>
  <c r="AF180" i="1"/>
  <c r="AF179" i="1"/>
  <c r="AF178" i="1"/>
  <c r="AF177" i="1"/>
  <c r="AF176" i="1"/>
  <c r="AF175" i="1"/>
  <c r="AF174" i="1"/>
  <c r="AF173" i="1"/>
  <c r="AF17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31" i="1"/>
  <c r="AF130" i="1"/>
  <c r="AF129" i="1"/>
  <c r="AF128" i="1"/>
  <c r="AF127" i="1"/>
  <c r="AF126" i="1"/>
  <c r="AF123" i="1"/>
  <c r="AF122" i="1"/>
  <c r="AF121" i="1"/>
  <c r="AF120" i="1"/>
  <c r="AF119" i="1"/>
  <c r="AF118" i="1"/>
  <c r="AF117" i="1"/>
  <c r="AF116" i="1"/>
  <c r="AF115" i="1"/>
  <c r="AF114" i="1"/>
  <c r="AF113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71" i="1"/>
  <c r="AF70" i="1"/>
  <c r="AF69" i="1"/>
  <c r="AF68" i="1"/>
  <c r="AF6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2" i="1"/>
</calcChain>
</file>

<file path=xl/sharedStrings.xml><?xml version="1.0" encoding="utf-8"?>
<sst xmlns="http://schemas.openxmlformats.org/spreadsheetml/2006/main" count="9467" uniqueCount="100">
  <si>
    <t>Call_Number</t>
  </si>
  <si>
    <t>SiteCode</t>
  </si>
  <si>
    <t>Latitude</t>
  </si>
  <si>
    <t>Longitude</t>
  </si>
  <si>
    <t>Date</t>
  </si>
  <si>
    <t>Year</t>
  </si>
  <si>
    <t>Cape</t>
  </si>
  <si>
    <t>Zone</t>
  </si>
  <si>
    <t>Transect</t>
  </si>
  <si>
    <t>Quadrat</t>
  </si>
  <si>
    <t>PittedUrchins</t>
  </si>
  <si>
    <t>CreviceUrchins</t>
  </si>
  <si>
    <t>OpenUrchins</t>
  </si>
  <si>
    <t>JuvenileUrchins</t>
  </si>
  <si>
    <t>PittedJuveniles</t>
  </si>
  <si>
    <t>RecruitUrchins</t>
  </si>
  <si>
    <t>RedUrchins</t>
  </si>
  <si>
    <t>EmptyPits</t>
  </si>
  <si>
    <t>PitsPresent</t>
  </si>
  <si>
    <t>UrchinSize1</t>
  </si>
  <si>
    <t>UrchinSize2</t>
  </si>
  <si>
    <t>UrchinSize3</t>
  </si>
  <si>
    <t>UrchinSize4</t>
  </si>
  <si>
    <t>UrchinSize5</t>
  </si>
  <si>
    <t>Attached phyllospadix drift</t>
  </si>
  <si>
    <t>TotalAttachedDrift</t>
  </si>
  <si>
    <t>Egregia</t>
  </si>
  <si>
    <t>Hedophyllum</t>
  </si>
  <si>
    <t>Mastocarpus</t>
  </si>
  <si>
    <t>Laminaria</t>
  </si>
  <si>
    <t>Alaria</t>
  </si>
  <si>
    <t>Mazzaella</t>
  </si>
  <si>
    <t>Costaria</t>
  </si>
  <si>
    <t>Nereocystis</t>
  </si>
  <si>
    <t>Pyropia</t>
  </si>
  <si>
    <t>Lessoniopsis</t>
  </si>
  <si>
    <t>Fucus</t>
  </si>
  <si>
    <t>Stephanocystis</t>
  </si>
  <si>
    <t xml:space="preserve">Desmerestia </t>
  </si>
  <si>
    <t>Diatom</t>
  </si>
  <si>
    <t>SB</t>
  </si>
  <si>
    <t>CA</t>
  </si>
  <si>
    <t>AZ</t>
  </si>
  <si>
    <t>FB</t>
  </si>
  <si>
    <t>NA</t>
  </si>
  <si>
    <t>UPZ</t>
  </si>
  <si>
    <t>VB</t>
  </si>
  <si>
    <t>VD</t>
  </si>
  <si>
    <t>NPZ</t>
  </si>
  <si>
    <t>YB</t>
  </si>
  <si>
    <t>CP</t>
  </si>
  <si>
    <t>FD</t>
  </si>
  <si>
    <t>SH</t>
  </si>
  <si>
    <t>TP</t>
  </si>
  <si>
    <t>SC</t>
  </si>
  <si>
    <t> </t>
  </si>
  <si>
    <t>CB</t>
  </si>
  <si>
    <t>CD</t>
  </si>
  <si>
    <t>CC</t>
  </si>
  <si>
    <t>RP</t>
  </si>
  <si>
    <t>CMS</t>
  </si>
  <si>
    <t>CM</t>
  </si>
  <si>
    <t>CMN</t>
  </si>
  <si>
    <t>FC</t>
  </si>
  <si>
    <t>CF</t>
  </si>
  <si>
    <t>WC</t>
  </si>
  <si>
    <t>SO</t>
  </si>
  <si>
    <t>BB</t>
  </si>
  <si>
    <t>TotalAdultUrchins</t>
  </si>
  <si>
    <t>UrchinCover</t>
  </si>
  <si>
    <t>AlgaeHoldfasts</t>
  </si>
  <si>
    <t>UnderstoryAlgae</t>
  </si>
  <si>
    <t>PhyllospadixRhizomes</t>
  </si>
  <si>
    <t>CorallineCrusts</t>
  </si>
  <si>
    <t>RedBrownCrusts</t>
  </si>
  <si>
    <t>SessileInverts</t>
  </si>
  <si>
    <t>SandCobble</t>
  </si>
  <si>
    <t>BareRock</t>
  </si>
  <si>
    <t>AvailableBareRock</t>
  </si>
  <si>
    <t>TotalPrimaryCover</t>
  </si>
  <si>
    <t>Phyllospadix</t>
  </si>
  <si>
    <t xml:space="preserve">Chondracanthus </t>
  </si>
  <si>
    <t>UnknownRecruits</t>
  </si>
  <si>
    <t>WB</t>
  </si>
  <si>
    <t>DD</t>
  </si>
  <si>
    <t>WD</t>
  </si>
  <si>
    <t>Erhythophyllum</t>
  </si>
  <si>
    <t>OtherRed</t>
  </si>
  <si>
    <t>TotalCanopy</t>
  </si>
  <si>
    <t>CanopyAll</t>
  </si>
  <si>
    <t>DB</t>
  </si>
  <si>
    <t>OldSubstrateType</t>
  </si>
  <si>
    <t>AttachedRedDrift</t>
  </si>
  <si>
    <t>AttachedBrownDrift</t>
  </si>
  <si>
    <t>AttachedGreenDrift</t>
  </si>
  <si>
    <t>AttachedOtherDrift</t>
  </si>
  <si>
    <t>Emphemerals</t>
  </si>
  <si>
    <t>Nw Understory</t>
  </si>
  <si>
    <t>Match?</t>
  </si>
  <si>
    <t>NewEphm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</si>
</sst>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name val="Arimo"/>
    </font>
    <font>
      <sz val="10"/>
      <name val="Cambria"/>
      <family val="1"/>
    </font>
    <font>
      <sz val="8"/>
      <name val="Cambria"/>
      <family val="1"/>
    </font>
    <font>
      <b/>
      <sz val="10"/>
      <name val="Arimo"/>
    </font>
    <font>
      <sz val="10"/>
      <color rgb="FFF3F3FF"/>
      <name val="Arimo"/>
    </font>
    <font>
      <b/>
      <sz val="10"/>
      <color rgb="FFFF0000"/>
      <name val="Arimo"/>
    </font>
    <font>
      <sz val="11"/>
      <color rgb="FF00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8D5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8D5F2"/>
        <bgColor rgb="FF000000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textRotation="90"/>
    </xf>
    <xf numFmtId="14" fontId="0" fillId="0" borderId="1" xfId="0" applyNumberFormat="1" applyBorder="1" applyAlignment="1">
      <alignment textRotation="90"/>
    </xf>
    <xf numFmtId="0" fontId="2" fillId="0" borderId="1" xfId="0" applyFont="1" applyBorder="1" applyAlignment="1">
      <alignment horizontal="center" textRotation="90"/>
    </xf>
    <xf numFmtId="1" fontId="2" fillId="5" borderId="1" xfId="0" applyNumberFormat="1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1" fillId="0" borderId="0" xfId="0" applyFont="1"/>
    <xf numFmtId="15" fontId="1" fillId="2" borderId="0" xfId="0" applyNumberFormat="1" applyFont="1" applyFill="1"/>
    <xf numFmtId="14" fontId="0" fillId="0" borderId="0" xfId="0" applyNumberFormat="1"/>
    <xf numFmtId="1" fontId="1" fillId="0" borderId="0" xfId="0" applyNumberFormat="1" applyFont="1"/>
    <xf numFmtId="0" fontId="1" fillId="0" borderId="0" xfId="0" applyFont="1" applyAlignment="1">
      <alignment horizontal="right"/>
    </xf>
    <xf numFmtId="1" fontId="1" fillId="5" borderId="0" xfId="0" applyNumberFormat="1" applyFont="1" applyFill="1"/>
    <xf numFmtId="1" fontId="4" fillId="0" borderId="0" xfId="0" applyNumberFormat="1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1" fontId="2" fillId="7" borderId="1" xfId="0" applyNumberFormat="1" applyFont="1" applyFill="1" applyBorder="1" applyAlignment="1">
      <alignment horizontal="center" textRotation="90"/>
    </xf>
    <xf numFmtId="0" fontId="5" fillId="7" borderId="0" xfId="0" applyFont="1" applyFill="1"/>
    <xf numFmtId="1" fontId="1" fillId="0" borderId="0" xfId="0" applyNumberFormat="1" applyFont="1" applyAlignment="1">
      <alignment horizontal="right"/>
    </xf>
    <xf numFmtId="1" fontId="1" fillId="8" borderId="0" xfId="0" applyNumberFormat="1" applyFont="1" applyFill="1"/>
    <xf numFmtId="0" fontId="0" fillId="8" borderId="0" xfId="0" applyFill="1"/>
    <xf numFmtId="1" fontId="2" fillId="9" borderId="1" xfId="0" applyNumberFormat="1" applyFont="1" applyFill="1" applyBorder="1" applyAlignment="1">
      <alignment horizontal="center" textRotation="90"/>
    </xf>
    <xf numFmtId="0" fontId="1" fillId="10" borderId="1" xfId="0" applyFont="1" applyFill="1" applyBorder="1" applyAlignment="1">
      <alignment textRotation="90"/>
    </xf>
    <xf numFmtId="1" fontId="6" fillId="0" borderId="0" xfId="0" applyNumberFormat="1" applyFont="1" applyAlignment="1">
      <alignment horizontal="right"/>
    </xf>
    <xf numFmtId="14" fontId="0" fillId="3" borderId="0" xfId="0" applyNumberFormat="1" applyFill="1"/>
    <xf numFmtId="1" fontId="4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1" fontId="6" fillId="3" borderId="0" xfId="0" applyNumberFormat="1" applyFont="1" applyFill="1" applyAlignment="1">
      <alignment horizontal="right"/>
    </xf>
    <xf numFmtId="0" fontId="0" fillId="11" borderId="0" xfId="0" applyFill="1"/>
    <xf numFmtId="1" fontId="4" fillId="9" borderId="0" xfId="0" applyNumberFormat="1" applyFont="1" applyFill="1" applyAlignment="1">
      <alignment horizontal="right"/>
    </xf>
    <xf numFmtId="1" fontId="1" fillId="9" borderId="0" xfId="0" applyNumberFormat="1" applyFont="1" applyFill="1" applyAlignment="1">
      <alignment horizontal="right"/>
    </xf>
    <xf numFmtId="0" fontId="0" fillId="9" borderId="0" xfId="0" applyFill="1"/>
    <xf numFmtId="0" fontId="3" fillId="12" borderId="1" xfId="0" applyFont="1" applyFill="1" applyBorder="1" applyAlignment="1">
      <alignment horizontal="center" textRotation="90"/>
    </xf>
    <xf numFmtId="0" fontId="2" fillId="13" borderId="1" xfId="0" applyFont="1" applyFill="1" applyBorder="1" applyAlignment="1">
      <alignment horizontal="center" textRotation="90"/>
    </xf>
    <xf numFmtId="0" fontId="2" fillId="14" borderId="1" xfId="0" applyFont="1" applyFill="1" applyBorder="1" applyAlignment="1">
      <alignment horizontal="center" textRotation="90"/>
    </xf>
    <xf numFmtId="0" fontId="3" fillId="15" borderId="1" xfId="0" applyFont="1" applyFill="1" applyBorder="1" applyAlignment="1">
      <alignment horizontal="center" textRotation="90"/>
    </xf>
    <xf numFmtId="0" fontId="2" fillId="13" borderId="2" xfId="0" applyFont="1" applyFill="1" applyBorder="1" applyAlignment="1">
      <alignment horizontal="center" textRotation="90"/>
    </xf>
    <xf numFmtId="0" fontId="2" fillId="16" borderId="1" xfId="0" applyFont="1" applyFill="1" applyBorder="1" applyAlignment="1">
      <alignment horizontal="center" textRotation="90"/>
    </xf>
    <xf numFmtId="0" fontId="7" fillId="17" borderId="0" xfId="0" applyFont="1" applyFill="1"/>
    <xf numFmtId="0" fontId="7" fillId="0" borderId="0" xfId="0" applyFont="1"/>
    <xf numFmtId="15" fontId="1" fillId="4" borderId="0" xfId="0" applyNumberFormat="1" applyFont="1" applyFill="1"/>
    <xf numFmtId="0" fontId="2" fillId="18" borderId="1" xfId="0" applyFont="1" applyFill="1" applyBorder="1" applyAlignment="1">
      <alignment horizontal="center" textRotation="90"/>
    </xf>
    <xf numFmtId="0" fontId="2" fillId="13" borderId="3" xfId="0" applyFont="1" applyFill="1" applyBorder="1" applyAlignment="1">
      <alignment horizontal="center" textRotation="90"/>
    </xf>
    <xf numFmtId="0" fontId="2" fillId="13" borderId="0" xfId="0" applyFont="1" applyFill="1" applyAlignment="1">
      <alignment horizontal="center" textRotation="90"/>
    </xf>
    <xf numFmtId="0" fontId="0" fillId="0" borderId="0" xfId="0" applyFill="1"/>
  </cellXfs>
  <cellStyles count="1">
    <cellStyle name="Normal" xfId="0" builtinId="0"/>
  </cellStyles>
  <dxfs count="7">
    <dxf>
      <fill>
        <patternFill patternType="solid">
          <fgColor rgb="FFF4C7C3"/>
          <bgColor rgb="FFF4C7C3"/>
        </patternFill>
      </fill>
    </dxf>
    <dxf>
      <fill>
        <patternFill patternType="solid">
          <bgColor theme="7" tint="0.79998168889431442"/>
        </patternFill>
      </fill>
    </dxf>
    <dxf>
      <font>
        <color rgb="FF9C0006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42092"/>
      <color rgb="FFE8D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R760"/>
  <sheetViews>
    <sheetView tabSelected="1" zoomScale="125" zoomScaleNormal="140" workbookViewId="0">
      <pane xSplit="2" ySplit="1" topLeftCell="V49" activePane="bottomRight" state="frozen"/>
      <selection pane="topRight"/>
      <selection pane="bottomLeft"/>
      <selection pane="bottomRight" activeCell="AN119" sqref="AN119"/>
    </sheetView>
  </sheetViews>
  <sheetFormatPr baseColWidth="10" defaultColWidth="8.83203125" defaultRowHeight="15"/>
  <cols>
    <col min="1" max="1" width="17.33203125" bestFit="1" customWidth="1"/>
    <col min="2" max="2" width="5.33203125" customWidth="1"/>
    <col min="5" max="5" width="7.1640625" style="8" bestFit="1" customWidth="1"/>
    <col min="6" max="6" width="5.5" bestFit="1" customWidth="1"/>
    <col min="7" max="7" width="3.83203125" customWidth="1"/>
    <col min="8" max="8" width="4.6640625" bestFit="1" customWidth="1"/>
    <col min="9" max="9" width="2.5" bestFit="1" customWidth="1"/>
    <col min="10" max="10" width="3.1640625" bestFit="1" customWidth="1"/>
    <col min="11" max="11" width="5.83203125" bestFit="1" customWidth="1"/>
    <col min="12" max="15" width="3.33203125" style="23" bestFit="1" customWidth="1"/>
    <col min="16" max="16" width="3.6640625" style="23" bestFit="1" customWidth="1"/>
    <col min="17" max="18" width="3.6640625" style="23" customWidth="1"/>
    <col min="19" max="19" width="2.5" style="23" customWidth="1"/>
    <col min="20" max="20" width="5.1640625" style="23" bestFit="1" customWidth="1"/>
    <col min="21" max="21" width="6.83203125" style="23" bestFit="1" customWidth="1"/>
    <col min="22" max="25" width="4.5" style="18" customWidth="1"/>
    <col min="26" max="26" width="4" style="18" customWidth="1"/>
    <col min="27" max="32" width="3.6640625" customWidth="1"/>
    <col min="33" max="33" width="4.33203125" style="34" customWidth="1"/>
    <col min="34" max="34" width="4.1640625" customWidth="1"/>
    <col min="35" max="35" width="4.5" bestFit="1" customWidth="1"/>
    <col min="36" max="42" width="4.1640625" bestFit="1" customWidth="1"/>
    <col min="43" max="43" width="8.1640625" bestFit="1" customWidth="1"/>
    <col min="44" max="44" width="4.33203125" bestFit="1" customWidth="1"/>
    <col min="45" max="45" width="4.5" bestFit="1" customWidth="1"/>
    <col min="46" max="48" width="4.1640625" bestFit="1" customWidth="1"/>
    <col min="49" max="49" width="3.33203125" bestFit="1" customWidth="1"/>
    <col min="50" max="50" width="4.5" bestFit="1" customWidth="1"/>
    <col min="51" max="51" width="4.1640625" bestFit="1" customWidth="1"/>
    <col min="52" max="52" width="4.5" bestFit="1" customWidth="1"/>
    <col min="53" max="53" width="3.33203125" bestFit="1" customWidth="1"/>
    <col min="54" max="54" width="4.1640625" customWidth="1"/>
    <col min="55" max="55" width="4.5" bestFit="1" customWidth="1"/>
    <col min="56" max="56" width="4.1640625" bestFit="1" customWidth="1"/>
    <col min="57" max="62" width="4.1640625" customWidth="1"/>
    <col min="63" max="63" width="3.33203125" bestFit="1" customWidth="1"/>
    <col min="64" max="64" width="5.1640625" bestFit="1" customWidth="1"/>
    <col min="65" max="65" width="5.6640625" bestFit="1" customWidth="1"/>
    <col min="66" max="66" width="4.5" bestFit="1" customWidth="1"/>
    <col min="68" max="68" width="4.1640625" bestFit="1" customWidth="1"/>
  </cols>
  <sheetData>
    <row r="1" spans="1:70" ht="127" thickBot="1">
      <c r="A1" s="2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91</v>
      </c>
      <c r="L1" s="24" t="s">
        <v>68</v>
      </c>
      <c r="M1" s="24" t="s">
        <v>10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4" t="s">
        <v>92</v>
      </c>
      <c r="AB1" s="4" t="s">
        <v>93</v>
      </c>
      <c r="AC1" s="4" t="s">
        <v>94</v>
      </c>
      <c r="AD1" s="4" t="s">
        <v>24</v>
      </c>
      <c r="AE1" s="4" t="s">
        <v>95</v>
      </c>
      <c r="AF1" s="4" t="s">
        <v>25</v>
      </c>
      <c r="AG1" s="35" t="s">
        <v>69</v>
      </c>
      <c r="AH1" s="3" t="s">
        <v>70</v>
      </c>
      <c r="AI1" s="3" t="s">
        <v>71</v>
      </c>
      <c r="AJ1" s="3" t="s">
        <v>96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76</v>
      </c>
      <c r="AP1" s="3" t="s">
        <v>77</v>
      </c>
      <c r="AQ1" s="5" t="s">
        <v>78</v>
      </c>
      <c r="AR1" s="38" t="s">
        <v>79</v>
      </c>
      <c r="AS1" s="36" t="s">
        <v>26</v>
      </c>
      <c r="AT1" s="36" t="s">
        <v>27</v>
      </c>
      <c r="AU1" s="37" t="s">
        <v>28</v>
      </c>
      <c r="AV1" s="36" t="s">
        <v>29</v>
      </c>
      <c r="AW1" s="36" t="s">
        <v>30</v>
      </c>
      <c r="AX1" s="36" t="s">
        <v>31</v>
      </c>
      <c r="AY1" s="36" t="s">
        <v>32</v>
      </c>
      <c r="AZ1" s="36" t="s">
        <v>80</v>
      </c>
      <c r="BA1" s="36" t="s">
        <v>33</v>
      </c>
      <c r="BB1" s="44" t="s">
        <v>34</v>
      </c>
      <c r="BC1" s="36" t="s">
        <v>35</v>
      </c>
      <c r="BD1" s="36" t="s">
        <v>36</v>
      </c>
      <c r="BE1" s="36" t="s">
        <v>37</v>
      </c>
      <c r="BF1" s="36" t="s">
        <v>38</v>
      </c>
      <c r="BG1" s="37" t="s">
        <v>87</v>
      </c>
      <c r="BH1" s="37" t="s">
        <v>86</v>
      </c>
      <c r="BI1" s="37" t="s">
        <v>81</v>
      </c>
      <c r="BJ1" s="36" t="s">
        <v>82</v>
      </c>
      <c r="BK1" s="40" t="s">
        <v>39</v>
      </c>
      <c r="BL1" s="36" t="s">
        <v>88</v>
      </c>
      <c r="BM1" s="39" t="s">
        <v>89</v>
      </c>
      <c r="BN1" s="3" t="s">
        <v>71</v>
      </c>
      <c r="BO1" s="45" t="s">
        <v>97</v>
      </c>
      <c r="BP1" s="3" t="s">
        <v>96</v>
      </c>
      <c r="BQ1" s="46" t="s">
        <v>99</v>
      </c>
      <c r="BR1" s="46" t="s">
        <v>98</v>
      </c>
    </row>
    <row r="2" spans="1:70" hidden="1">
      <c r="A2" s="7" t="str">
        <f t="shared" ref="A2:A65" si="0">_xlfn.CONCAT(B2,"_",F2, "_",H2, "_",I2,"_",J2)</f>
        <v>SB_2024_AZ_1_1</v>
      </c>
      <c r="B2" t="s">
        <v>40</v>
      </c>
      <c r="C2">
        <v>43.3339</v>
      </c>
      <c r="D2">
        <v>-124.3767</v>
      </c>
      <c r="E2" s="8">
        <v>45438</v>
      </c>
      <c r="F2">
        <v>2024</v>
      </c>
      <c r="G2" t="s">
        <v>41</v>
      </c>
      <c r="H2" s="10" t="s">
        <v>42</v>
      </c>
      <c r="I2" s="10">
        <v>1</v>
      </c>
      <c r="J2" s="10">
        <v>1</v>
      </c>
      <c r="K2" s="9" t="s">
        <v>43</v>
      </c>
      <c r="L2" s="22">
        <v>10</v>
      </c>
      <c r="M2" s="22">
        <v>10</v>
      </c>
      <c r="N2" s="22">
        <v>0</v>
      </c>
      <c r="O2" s="22">
        <v>0</v>
      </c>
      <c r="P2" s="22">
        <v>0</v>
      </c>
      <c r="Q2" s="22" t="s">
        <v>44</v>
      </c>
      <c r="R2" s="22" t="s">
        <v>44</v>
      </c>
      <c r="S2" s="22">
        <v>0</v>
      </c>
      <c r="T2" s="22">
        <v>1</v>
      </c>
      <c r="U2" s="22">
        <v>11</v>
      </c>
      <c r="V2" s="18" t="s">
        <v>44</v>
      </c>
      <c r="W2" s="18" t="s">
        <v>44</v>
      </c>
      <c r="X2" s="18" t="s">
        <v>44</v>
      </c>
      <c r="Y2" s="18" t="s">
        <v>44</v>
      </c>
      <c r="Z2" s="18" t="s">
        <v>44</v>
      </c>
      <c r="AA2" s="11" t="s">
        <v>44</v>
      </c>
      <c r="AB2" s="11" t="s">
        <v>44</v>
      </c>
      <c r="AC2" s="11" t="s">
        <v>44</v>
      </c>
      <c r="AD2" s="11" t="s">
        <v>44</v>
      </c>
      <c r="AE2" s="11" t="s">
        <v>44</v>
      </c>
      <c r="AF2" s="11" t="s">
        <v>44</v>
      </c>
      <c r="AG2" s="32"/>
      <c r="AH2" s="6">
        <v>8</v>
      </c>
      <c r="AI2" s="6">
        <v>78</v>
      </c>
      <c r="AJ2" s="6">
        <v>4</v>
      </c>
      <c r="AK2" s="6">
        <v>0</v>
      </c>
      <c r="AL2" s="6">
        <v>2</v>
      </c>
      <c r="AM2" s="6">
        <v>0</v>
      </c>
      <c r="AN2" s="6">
        <v>0</v>
      </c>
      <c r="AO2" s="6">
        <v>0</v>
      </c>
      <c r="AP2" s="6">
        <v>12</v>
      </c>
      <c r="AQ2" s="21">
        <f t="shared" ref="AQ2:AQ65" si="1">AP2-AG2</f>
        <v>12</v>
      </c>
      <c r="AR2" s="12">
        <f>SUM(AH2:AP2)</f>
        <v>104</v>
      </c>
      <c r="AS2" s="6">
        <v>4</v>
      </c>
      <c r="AT2" s="6">
        <v>32</v>
      </c>
      <c r="AU2" s="6">
        <v>0</v>
      </c>
      <c r="AV2" s="6">
        <v>0</v>
      </c>
      <c r="AW2" s="6">
        <v>2</v>
      </c>
      <c r="AX2" s="6">
        <v>8</v>
      </c>
      <c r="AY2" s="6">
        <v>2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f>SUM(AS2:AT2,AV2:AW2,AX2:BA2,BC2:BF2,BJ2)</f>
        <v>48</v>
      </c>
      <c r="BM2" s="6">
        <f>SUM(AS2:BJ2)</f>
        <v>48</v>
      </c>
      <c r="BN2" s="6">
        <v>78</v>
      </c>
      <c r="BO2">
        <f t="shared" ref="BO2:BO11" si="2">SUM(BN2,AU2,BG2,BH2,BI2)</f>
        <v>78</v>
      </c>
      <c r="BP2" s="6">
        <v>4</v>
      </c>
      <c r="BQ2">
        <f>SUM(BP2,BB2,BK2)</f>
        <v>4</v>
      </c>
      <c r="BR2">
        <f t="shared" ref="BR2:BR65" si="3">BQ2-BP2</f>
        <v>0</v>
      </c>
    </row>
    <row r="3" spans="1:70" hidden="1">
      <c r="A3" s="7" t="str">
        <f t="shared" si="0"/>
        <v>SB_2024_AZ_1_2</v>
      </c>
      <c r="B3" t="s">
        <v>40</v>
      </c>
      <c r="C3">
        <v>43.3339</v>
      </c>
      <c r="D3">
        <v>-124.3767</v>
      </c>
      <c r="E3" s="8">
        <v>45438</v>
      </c>
      <c r="F3">
        <v>2024</v>
      </c>
      <c r="G3" t="s">
        <v>41</v>
      </c>
      <c r="H3" s="10" t="s">
        <v>42</v>
      </c>
      <c r="I3" s="10">
        <v>1</v>
      </c>
      <c r="J3" s="10">
        <v>2</v>
      </c>
      <c r="K3" s="9" t="s">
        <v>43</v>
      </c>
      <c r="L3" s="22">
        <v>28</v>
      </c>
      <c r="M3" s="22">
        <v>28</v>
      </c>
      <c r="N3" s="22">
        <v>0</v>
      </c>
      <c r="O3" s="22">
        <v>0</v>
      </c>
      <c r="P3" s="22">
        <v>1</v>
      </c>
      <c r="Q3" s="22" t="s">
        <v>44</v>
      </c>
      <c r="R3" s="22" t="s">
        <v>44</v>
      </c>
      <c r="S3" s="22">
        <v>0</v>
      </c>
      <c r="T3" s="22">
        <v>2</v>
      </c>
      <c r="U3" s="22">
        <v>31</v>
      </c>
      <c r="V3" s="18" t="s">
        <v>44</v>
      </c>
      <c r="W3" s="18" t="s">
        <v>44</v>
      </c>
      <c r="X3" s="18" t="s">
        <v>44</v>
      </c>
      <c r="Y3" s="18" t="s">
        <v>44</v>
      </c>
      <c r="Z3" s="18" t="s">
        <v>44</v>
      </c>
      <c r="AA3" s="11" t="s">
        <v>44</v>
      </c>
      <c r="AB3" s="11" t="s">
        <v>44</v>
      </c>
      <c r="AC3" s="11" t="s">
        <v>44</v>
      </c>
      <c r="AD3" s="11" t="s">
        <v>44</v>
      </c>
      <c r="AE3" s="11" t="s">
        <v>44</v>
      </c>
      <c r="AF3" s="11" t="s">
        <v>44</v>
      </c>
      <c r="AG3" s="32">
        <v>19</v>
      </c>
      <c r="AH3" s="6">
        <v>0.1</v>
      </c>
      <c r="AI3" s="6">
        <v>63</v>
      </c>
      <c r="AJ3" s="6">
        <v>14</v>
      </c>
      <c r="AK3" s="6">
        <v>0</v>
      </c>
      <c r="AL3" s="6">
        <v>6</v>
      </c>
      <c r="AM3" s="6">
        <v>0</v>
      </c>
      <c r="AN3" s="6">
        <v>0</v>
      </c>
      <c r="AO3" s="6">
        <v>0</v>
      </c>
      <c r="AP3" s="6">
        <v>25</v>
      </c>
      <c r="AQ3" s="21">
        <f t="shared" si="1"/>
        <v>6</v>
      </c>
      <c r="AR3" s="12">
        <f>SUM(AH3:AP3)</f>
        <v>108.1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8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f t="shared" ref="BL3:BL66" si="4">SUM(AS3:AT3,AV3:AW3,AX3:BA3,BC3:BF3,BJ3)</f>
        <v>8</v>
      </c>
      <c r="BM3" s="6">
        <f t="shared" ref="BM3:BM65" si="5">SUM(AS3:BJ3)</f>
        <v>8</v>
      </c>
      <c r="BN3" s="6">
        <v>63</v>
      </c>
      <c r="BO3">
        <f t="shared" si="2"/>
        <v>63</v>
      </c>
      <c r="BP3" s="6">
        <v>14</v>
      </c>
      <c r="BQ3">
        <f>SUM(BP3,BB3,BK3)</f>
        <v>14</v>
      </c>
      <c r="BR3">
        <f t="shared" si="3"/>
        <v>0</v>
      </c>
    </row>
    <row r="4" spans="1:70" hidden="1">
      <c r="A4" s="7" t="str">
        <f t="shared" si="0"/>
        <v>SB_2024_AZ_1_3</v>
      </c>
      <c r="B4" t="s">
        <v>40</v>
      </c>
      <c r="C4">
        <v>43.3339</v>
      </c>
      <c r="D4">
        <v>-124.3767</v>
      </c>
      <c r="E4" s="8">
        <v>45438</v>
      </c>
      <c r="F4">
        <v>2024</v>
      </c>
      <c r="G4" t="s">
        <v>41</v>
      </c>
      <c r="H4" s="10" t="s">
        <v>42</v>
      </c>
      <c r="I4" s="10">
        <v>1</v>
      </c>
      <c r="J4" s="10">
        <v>3</v>
      </c>
      <c r="K4" s="9" t="s">
        <v>43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 t="s">
        <v>44</v>
      </c>
      <c r="R4" s="22" t="s">
        <v>44</v>
      </c>
      <c r="S4" s="22">
        <v>0</v>
      </c>
      <c r="T4" s="22">
        <v>0</v>
      </c>
      <c r="U4" s="22">
        <v>0</v>
      </c>
      <c r="V4" s="18" t="s">
        <v>44</v>
      </c>
      <c r="W4" s="18" t="s">
        <v>44</v>
      </c>
      <c r="X4" s="18" t="s">
        <v>44</v>
      </c>
      <c r="Y4" s="18" t="s">
        <v>44</v>
      </c>
      <c r="Z4" s="18" t="s">
        <v>44</v>
      </c>
      <c r="AA4" s="11" t="s">
        <v>44</v>
      </c>
      <c r="AB4" s="11" t="s">
        <v>44</v>
      </c>
      <c r="AC4" s="11" t="s">
        <v>44</v>
      </c>
      <c r="AD4" s="11" t="s">
        <v>44</v>
      </c>
      <c r="AE4" s="11" t="s">
        <v>44</v>
      </c>
      <c r="AF4" s="11" t="s">
        <v>44</v>
      </c>
      <c r="AG4" s="32">
        <v>0</v>
      </c>
      <c r="AH4" s="6">
        <v>2</v>
      </c>
      <c r="AI4" s="6">
        <v>96</v>
      </c>
      <c r="AJ4" s="6">
        <v>2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21">
        <f t="shared" si="1"/>
        <v>0</v>
      </c>
      <c r="AR4" s="12">
        <f t="shared" ref="AR4:AR66" si="6">SUM(AH4:AP4)</f>
        <v>100</v>
      </c>
      <c r="AS4" s="6">
        <v>16</v>
      </c>
      <c r="AT4" s="6">
        <v>7</v>
      </c>
      <c r="AU4" s="6">
        <v>5</v>
      </c>
      <c r="AV4" s="6">
        <v>0</v>
      </c>
      <c r="AW4" s="6">
        <v>0</v>
      </c>
      <c r="AX4" s="6">
        <v>53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7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f t="shared" si="4"/>
        <v>83</v>
      </c>
      <c r="BM4" s="6">
        <f>SUM(AS4:BJ4)</f>
        <v>88</v>
      </c>
      <c r="BN4" s="6"/>
      <c r="BP4" s="6"/>
    </row>
    <row r="5" spans="1:70" hidden="1">
      <c r="A5" s="7" t="str">
        <f t="shared" si="0"/>
        <v>SB_2024_AZ_1_4</v>
      </c>
      <c r="B5" t="s">
        <v>40</v>
      </c>
      <c r="C5">
        <v>43.3339</v>
      </c>
      <c r="D5">
        <v>-124.3767</v>
      </c>
      <c r="E5" s="8">
        <v>45438</v>
      </c>
      <c r="F5">
        <v>2024</v>
      </c>
      <c r="G5" t="s">
        <v>41</v>
      </c>
      <c r="H5" s="10" t="s">
        <v>42</v>
      </c>
      <c r="I5" s="10">
        <v>1</v>
      </c>
      <c r="J5" s="10">
        <v>4</v>
      </c>
      <c r="K5" s="9" t="s">
        <v>43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 t="s">
        <v>44</v>
      </c>
      <c r="R5" s="22" t="s">
        <v>44</v>
      </c>
      <c r="S5" s="22">
        <v>0</v>
      </c>
      <c r="T5" s="22">
        <v>1</v>
      </c>
      <c r="U5" s="22">
        <v>1</v>
      </c>
      <c r="V5" s="18" t="s">
        <v>44</v>
      </c>
      <c r="W5" s="18" t="s">
        <v>44</v>
      </c>
      <c r="X5" s="18" t="s">
        <v>44</v>
      </c>
      <c r="Y5" s="18" t="s">
        <v>44</v>
      </c>
      <c r="Z5" s="18" t="s">
        <v>44</v>
      </c>
      <c r="AA5" s="11" t="s">
        <v>44</v>
      </c>
      <c r="AB5" s="11" t="s">
        <v>44</v>
      </c>
      <c r="AC5" s="11" t="s">
        <v>44</v>
      </c>
      <c r="AD5" s="11" t="s">
        <v>44</v>
      </c>
      <c r="AE5" s="11" t="s">
        <v>44</v>
      </c>
      <c r="AF5" s="11" t="s">
        <v>44</v>
      </c>
      <c r="AG5" s="32">
        <v>0</v>
      </c>
      <c r="AH5" s="6">
        <v>4</v>
      </c>
      <c r="AI5" s="6">
        <v>84</v>
      </c>
      <c r="AJ5" s="6">
        <v>11</v>
      </c>
      <c r="AK5" s="6">
        <v>0</v>
      </c>
      <c r="AL5" s="6">
        <v>0</v>
      </c>
      <c r="AM5" s="6">
        <v>0</v>
      </c>
      <c r="AN5" s="6">
        <v>0.1</v>
      </c>
      <c r="AO5" s="6">
        <v>1</v>
      </c>
      <c r="AP5" s="6">
        <v>0</v>
      </c>
      <c r="AQ5" s="21">
        <f t="shared" si="1"/>
        <v>0</v>
      </c>
      <c r="AR5" s="12">
        <f t="shared" si="6"/>
        <v>100.1</v>
      </c>
      <c r="AS5" s="6">
        <v>2</v>
      </c>
      <c r="AT5" s="6">
        <v>16</v>
      </c>
      <c r="AU5" s="6">
        <v>5</v>
      </c>
      <c r="AV5" s="6">
        <v>0</v>
      </c>
      <c r="AW5" s="6">
        <v>0</v>
      </c>
      <c r="AX5" s="6">
        <v>33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f t="shared" si="4"/>
        <v>51</v>
      </c>
      <c r="BM5" s="6">
        <f t="shared" si="5"/>
        <v>56</v>
      </c>
      <c r="BN5" s="6"/>
      <c r="BP5" s="6"/>
    </row>
    <row r="6" spans="1:70" hidden="1">
      <c r="A6" s="7" t="str">
        <f t="shared" si="0"/>
        <v>SB_2024_AZ_1_5</v>
      </c>
      <c r="B6" t="s">
        <v>40</v>
      </c>
      <c r="C6">
        <v>43.3339</v>
      </c>
      <c r="D6">
        <v>-124.3767</v>
      </c>
      <c r="E6" s="8">
        <v>45438</v>
      </c>
      <c r="F6">
        <v>2024</v>
      </c>
      <c r="G6" t="s">
        <v>41</v>
      </c>
      <c r="H6" s="10" t="s">
        <v>42</v>
      </c>
      <c r="I6" s="10">
        <v>1</v>
      </c>
      <c r="J6" s="6">
        <v>5</v>
      </c>
      <c r="K6" s="9" t="s">
        <v>43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 t="s">
        <v>44</v>
      </c>
      <c r="R6" s="22" t="s">
        <v>44</v>
      </c>
      <c r="S6" s="22">
        <v>0</v>
      </c>
      <c r="T6" s="22">
        <v>0</v>
      </c>
      <c r="U6" s="22">
        <v>0</v>
      </c>
      <c r="V6" s="18" t="s">
        <v>44</v>
      </c>
      <c r="W6" s="18" t="s">
        <v>44</v>
      </c>
      <c r="X6" s="18" t="s">
        <v>44</v>
      </c>
      <c r="Y6" s="18" t="s">
        <v>44</v>
      </c>
      <c r="Z6" s="18" t="s">
        <v>44</v>
      </c>
      <c r="AA6" s="11" t="s">
        <v>44</v>
      </c>
      <c r="AB6" s="11" t="s">
        <v>44</v>
      </c>
      <c r="AC6" s="11" t="s">
        <v>44</v>
      </c>
      <c r="AD6" s="11" t="s">
        <v>44</v>
      </c>
      <c r="AE6" s="11" t="s">
        <v>44</v>
      </c>
      <c r="AF6" s="11" t="s">
        <v>44</v>
      </c>
      <c r="AG6" s="32">
        <v>0</v>
      </c>
      <c r="AH6" s="6">
        <v>2</v>
      </c>
      <c r="AI6" s="6">
        <v>67</v>
      </c>
      <c r="AJ6" s="6">
        <v>19</v>
      </c>
      <c r="AK6" s="9">
        <v>0</v>
      </c>
      <c r="AL6" s="9">
        <v>0</v>
      </c>
      <c r="AM6" s="9">
        <v>4</v>
      </c>
      <c r="AN6" s="9">
        <v>1</v>
      </c>
      <c r="AO6" s="9">
        <v>2</v>
      </c>
      <c r="AP6" s="6">
        <v>5</v>
      </c>
      <c r="AQ6" s="21">
        <f t="shared" si="1"/>
        <v>5</v>
      </c>
      <c r="AR6" s="12">
        <f t="shared" si="6"/>
        <v>100</v>
      </c>
      <c r="AS6" s="6">
        <v>0</v>
      </c>
      <c r="AT6" s="6">
        <v>6</v>
      </c>
      <c r="AU6" s="6">
        <v>0</v>
      </c>
      <c r="AV6" s="6">
        <v>0</v>
      </c>
      <c r="AW6" s="6">
        <v>0</v>
      </c>
      <c r="AX6" s="6">
        <v>5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2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f t="shared" si="4"/>
        <v>13</v>
      </c>
      <c r="BM6" s="6">
        <f t="shared" si="5"/>
        <v>13</v>
      </c>
      <c r="BN6" s="6">
        <v>67</v>
      </c>
      <c r="BO6">
        <f t="shared" si="2"/>
        <v>67</v>
      </c>
      <c r="BP6" s="6">
        <v>19</v>
      </c>
      <c r="BQ6">
        <f>SUM(BP6,BB6,BK6)</f>
        <v>19</v>
      </c>
      <c r="BR6">
        <f t="shared" si="3"/>
        <v>0</v>
      </c>
    </row>
    <row r="7" spans="1:70" hidden="1">
      <c r="A7" s="7" t="str">
        <f t="shared" si="0"/>
        <v>SB_2024_AZ_2_1</v>
      </c>
      <c r="B7" t="s">
        <v>40</v>
      </c>
      <c r="C7">
        <v>43.3339</v>
      </c>
      <c r="D7">
        <v>-124.3767</v>
      </c>
      <c r="E7" s="8">
        <v>45438</v>
      </c>
      <c r="F7">
        <v>2024</v>
      </c>
      <c r="G7" t="s">
        <v>41</v>
      </c>
      <c r="H7" s="10" t="s">
        <v>42</v>
      </c>
      <c r="I7" s="6">
        <v>2</v>
      </c>
      <c r="J7" s="6">
        <v>1</v>
      </c>
      <c r="K7" s="9" t="s">
        <v>46</v>
      </c>
      <c r="L7" s="22">
        <v>5</v>
      </c>
      <c r="M7" s="22">
        <v>5</v>
      </c>
      <c r="N7" s="22">
        <v>0</v>
      </c>
      <c r="O7" s="22">
        <v>0</v>
      </c>
      <c r="P7" s="22">
        <v>0</v>
      </c>
      <c r="Q7" s="22" t="s">
        <v>44</v>
      </c>
      <c r="R7" s="22" t="s">
        <v>44</v>
      </c>
      <c r="S7" s="22">
        <v>0</v>
      </c>
      <c r="T7" s="22">
        <v>6</v>
      </c>
      <c r="U7" s="22">
        <v>7</v>
      </c>
      <c r="V7" s="18" t="s">
        <v>44</v>
      </c>
      <c r="W7" s="18" t="s">
        <v>44</v>
      </c>
      <c r="X7" s="18" t="s">
        <v>44</v>
      </c>
      <c r="Y7" s="18" t="s">
        <v>44</v>
      </c>
      <c r="Z7" s="18" t="s">
        <v>44</v>
      </c>
      <c r="AA7" s="11" t="s">
        <v>44</v>
      </c>
      <c r="AB7" s="11" t="s">
        <v>44</v>
      </c>
      <c r="AC7" s="11" t="s">
        <v>44</v>
      </c>
      <c r="AD7" s="11" t="s">
        <v>44</v>
      </c>
      <c r="AE7" s="11" t="s">
        <v>44</v>
      </c>
      <c r="AF7" s="11" t="s">
        <v>44</v>
      </c>
      <c r="AG7" s="32">
        <v>3</v>
      </c>
      <c r="AH7" s="6">
        <v>2</v>
      </c>
      <c r="AI7" s="6">
        <v>87</v>
      </c>
      <c r="AJ7" s="6">
        <v>0</v>
      </c>
      <c r="AK7" s="9">
        <v>0</v>
      </c>
      <c r="AL7" s="9">
        <v>3</v>
      </c>
      <c r="AM7" s="9">
        <v>0</v>
      </c>
      <c r="AN7" s="9">
        <v>0.1</v>
      </c>
      <c r="AO7" s="9">
        <v>1</v>
      </c>
      <c r="AP7" s="6">
        <v>7</v>
      </c>
      <c r="AQ7" s="21">
        <f t="shared" si="1"/>
        <v>4</v>
      </c>
      <c r="AR7" s="12">
        <f t="shared" si="6"/>
        <v>100.1</v>
      </c>
      <c r="AS7" s="6">
        <v>0</v>
      </c>
      <c r="AT7" s="6">
        <v>22</v>
      </c>
      <c r="AU7" s="6">
        <v>2</v>
      </c>
      <c r="AV7" s="6">
        <v>0</v>
      </c>
      <c r="AW7" s="6">
        <v>0</v>
      </c>
      <c r="AX7" s="6">
        <v>9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 t="s">
        <v>44</v>
      </c>
      <c r="BF7" s="6" t="s">
        <v>44</v>
      </c>
      <c r="BG7" s="6" t="s">
        <v>44</v>
      </c>
      <c r="BH7" s="6" t="s">
        <v>44</v>
      </c>
      <c r="BI7" s="6" t="s">
        <v>44</v>
      </c>
      <c r="BJ7" s="6" t="s">
        <v>44</v>
      </c>
      <c r="BK7" s="6">
        <v>0</v>
      </c>
      <c r="BL7" s="6">
        <f t="shared" si="4"/>
        <v>31</v>
      </c>
      <c r="BM7" s="6">
        <f t="shared" si="5"/>
        <v>33</v>
      </c>
      <c r="BN7" s="6"/>
      <c r="BP7" s="6"/>
    </row>
    <row r="8" spans="1:70" hidden="1">
      <c r="A8" s="7" t="str">
        <f t="shared" si="0"/>
        <v>SB_2024_AZ_2_2</v>
      </c>
      <c r="B8" t="s">
        <v>40</v>
      </c>
      <c r="C8">
        <v>43.3339</v>
      </c>
      <c r="D8">
        <v>-124.3767</v>
      </c>
      <c r="E8" s="8">
        <v>45438</v>
      </c>
      <c r="F8">
        <v>2024</v>
      </c>
      <c r="G8" t="s">
        <v>41</v>
      </c>
      <c r="H8" s="10" t="s">
        <v>42</v>
      </c>
      <c r="I8" s="6">
        <v>2</v>
      </c>
      <c r="J8" s="6">
        <v>2</v>
      </c>
      <c r="K8" s="9" t="s">
        <v>46</v>
      </c>
      <c r="L8" s="22">
        <v>25</v>
      </c>
      <c r="M8" s="22">
        <v>25</v>
      </c>
      <c r="N8" s="22">
        <v>0</v>
      </c>
      <c r="O8" s="22">
        <v>0</v>
      </c>
      <c r="P8" s="22">
        <v>0</v>
      </c>
      <c r="Q8" s="22" t="s">
        <v>44</v>
      </c>
      <c r="R8" s="22" t="s">
        <v>44</v>
      </c>
      <c r="S8" s="22">
        <v>0</v>
      </c>
      <c r="T8" s="22">
        <v>4</v>
      </c>
      <c r="U8" s="22">
        <v>30</v>
      </c>
      <c r="V8" s="18" t="s">
        <v>44</v>
      </c>
      <c r="W8" s="18" t="s">
        <v>44</v>
      </c>
      <c r="X8" s="18" t="s">
        <v>44</v>
      </c>
      <c r="Y8" s="18" t="s">
        <v>44</v>
      </c>
      <c r="Z8" s="18" t="s">
        <v>44</v>
      </c>
      <c r="AA8" s="11" t="s">
        <v>44</v>
      </c>
      <c r="AB8" s="11" t="s">
        <v>44</v>
      </c>
      <c r="AC8" s="11" t="s">
        <v>44</v>
      </c>
      <c r="AD8" s="11" t="s">
        <v>44</v>
      </c>
      <c r="AE8" s="11" t="s">
        <v>44</v>
      </c>
      <c r="AF8" s="11" t="s">
        <v>44</v>
      </c>
      <c r="AG8" s="32"/>
      <c r="AH8" s="6">
        <v>0</v>
      </c>
      <c r="AI8" s="6">
        <v>33</v>
      </c>
      <c r="AJ8" s="6">
        <v>0</v>
      </c>
      <c r="AK8" s="9">
        <v>0</v>
      </c>
      <c r="AL8" s="9">
        <v>17</v>
      </c>
      <c r="AM8" s="9">
        <v>1</v>
      </c>
      <c r="AN8" s="9">
        <v>1</v>
      </c>
      <c r="AO8" s="9">
        <v>0</v>
      </c>
      <c r="AP8" s="6">
        <v>48</v>
      </c>
      <c r="AQ8" s="21">
        <f t="shared" si="1"/>
        <v>48</v>
      </c>
      <c r="AR8" s="12">
        <f t="shared" si="6"/>
        <v>100</v>
      </c>
      <c r="AS8">
        <v>14</v>
      </c>
      <c r="AT8" s="6">
        <v>0</v>
      </c>
      <c r="AU8" s="6">
        <v>0</v>
      </c>
      <c r="AV8" s="6">
        <v>0</v>
      </c>
      <c r="AW8" s="6">
        <v>0</v>
      </c>
      <c r="AX8">
        <v>6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 t="s">
        <v>44</v>
      </c>
      <c r="BF8" s="6" t="s">
        <v>44</v>
      </c>
      <c r="BG8" s="6" t="s">
        <v>44</v>
      </c>
      <c r="BH8" s="6" t="s">
        <v>44</v>
      </c>
      <c r="BI8" s="6" t="s">
        <v>44</v>
      </c>
      <c r="BJ8" s="6" t="s">
        <v>44</v>
      </c>
      <c r="BK8" s="6">
        <v>0</v>
      </c>
      <c r="BL8" s="6">
        <f t="shared" si="4"/>
        <v>20</v>
      </c>
      <c r="BM8" s="6">
        <f t="shared" si="5"/>
        <v>20</v>
      </c>
      <c r="BN8" s="6">
        <v>33</v>
      </c>
      <c r="BO8">
        <f t="shared" si="2"/>
        <v>33</v>
      </c>
      <c r="BP8" s="6">
        <v>0</v>
      </c>
      <c r="BQ8">
        <f>SUM(BP8,BB8,BK8)</f>
        <v>0</v>
      </c>
      <c r="BR8">
        <f t="shared" si="3"/>
        <v>0</v>
      </c>
    </row>
    <row r="9" spans="1:70" hidden="1">
      <c r="A9" s="7" t="str">
        <f t="shared" si="0"/>
        <v>SB_2024_AZ_2_3</v>
      </c>
      <c r="B9" t="s">
        <v>40</v>
      </c>
      <c r="C9">
        <v>43.3339</v>
      </c>
      <c r="D9">
        <v>-124.3767</v>
      </c>
      <c r="E9" s="8">
        <v>45438</v>
      </c>
      <c r="F9">
        <v>2024</v>
      </c>
      <c r="G9" t="s">
        <v>41</v>
      </c>
      <c r="H9" s="10" t="s">
        <v>42</v>
      </c>
      <c r="I9" s="6">
        <v>2</v>
      </c>
      <c r="J9" s="6">
        <v>3</v>
      </c>
      <c r="K9" s="9" t="s">
        <v>46</v>
      </c>
      <c r="L9" s="22">
        <v>11</v>
      </c>
      <c r="M9" s="22">
        <v>11</v>
      </c>
      <c r="N9" s="22">
        <v>0</v>
      </c>
      <c r="O9" s="22">
        <v>0</v>
      </c>
      <c r="P9" s="22">
        <v>0</v>
      </c>
      <c r="Q9" s="22" t="s">
        <v>44</v>
      </c>
      <c r="R9" s="22" t="s">
        <v>44</v>
      </c>
      <c r="S9" s="22">
        <v>0</v>
      </c>
      <c r="T9" s="22">
        <v>4</v>
      </c>
      <c r="U9" s="22">
        <v>15</v>
      </c>
      <c r="V9" s="18" t="s">
        <v>44</v>
      </c>
      <c r="W9" s="18" t="s">
        <v>44</v>
      </c>
      <c r="X9" s="18" t="s">
        <v>44</v>
      </c>
      <c r="Y9" s="18" t="s">
        <v>44</v>
      </c>
      <c r="Z9" s="18" t="s">
        <v>44</v>
      </c>
      <c r="AA9" s="11" t="s">
        <v>44</v>
      </c>
      <c r="AB9" s="11" t="s">
        <v>44</v>
      </c>
      <c r="AC9" s="11" t="s">
        <v>44</v>
      </c>
      <c r="AD9" s="11" t="s">
        <v>44</v>
      </c>
      <c r="AE9" s="11" t="s">
        <v>44</v>
      </c>
      <c r="AF9" s="11" t="s">
        <v>44</v>
      </c>
      <c r="AG9" s="32"/>
      <c r="AH9" s="6">
        <v>7</v>
      </c>
      <c r="AI9" s="6">
        <v>68</v>
      </c>
      <c r="AJ9" s="6">
        <v>0</v>
      </c>
      <c r="AK9" s="9">
        <v>0</v>
      </c>
      <c r="AL9" s="9">
        <v>9</v>
      </c>
      <c r="AM9" s="9">
        <v>2</v>
      </c>
      <c r="AN9" s="9">
        <v>0</v>
      </c>
      <c r="AO9" s="9">
        <v>0</v>
      </c>
      <c r="AP9" s="6">
        <v>14</v>
      </c>
      <c r="AQ9" s="21">
        <f t="shared" si="1"/>
        <v>14</v>
      </c>
      <c r="AR9" s="12">
        <f t="shared" si="6"/>
        <v>100</v>
      </c>
      <c r="AS9" s="6">
        <v>0</v>
      </c>
      <c r="AT9" s="6">
        <v>24</v>
      </c>
      <c r="AU9" s="6">
        <v>0</v>
      </c>
      <c r="AV9" s="6">
        <v>0</v>
      </c>
      <c r="AW9" s="6">
        <v>0</v>
      </c>
      <c r="AX9" s="6">
        <v>12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 t="s">
        <v>44</v>
      </c>
      <c r="BF9" s="6" t="s">
        <v>44</v>
      </c>
      <c r="BG9" s="6" t="s">
        <v>44</v>
      </c>
      <c r="BH9" s="6" t="s">
        <v>44</v>
      </c>
      <c r="BI9" s="6" t="s">
        <v>44</v>
      </c>
      <c r="BJ9" s="6" t="s">
        <v>44</v>
      </c>
      <c r="BK9" s="6">
        <v>0</v>
      </c>
      <c r="BL9" s="6">
        <f t="shared" si="4"/>
        <v>36</v>
      </c>
      <c r="BM9" s="6">
        <f t="shared" si="5"/>
        <v>36</v>
      </c>
      <c r="BN9" s="6">
        <v>68</v>
      </c>
      <c r="BO9">
        <f t="shared" si="2"/>
        <v>68</v>
      </c>
      <c r="BP9" s="6">
        <v>0</v>
      </c>
      <c r="BQ9">
        <f>SUM(BP9,BB9,BK9)</f>
        <v>0</v>
      </c>
      <c r="BR9">
        <f t="shared" si="3"/>
        <v>0</v>
      </c>
    </row>
    <row r="10" spans="1:70" hidden="1">
      <c r="A10" s="7" t="str">
        <f t="shared" si="0"/>
        <v>SB_2024_AZ_2_4</v>
      </c>
      <c r="B10" t="s">
        <v>40</v>
      </c>
      <c r="C10">
        <v>43.3339</v>
      </c>
      <c r="D10">
        <v>-124.3767</v>
      </c>
      <c r="E10" s="8">
        <v>45438</v>
      </c>
      <c r="F10">
        <v>2024</v>
      </c>
      <c r="G10" t="s">
        <v>41</v>
      </c>
      <c r="H10" s="10" t="s">
        <v>42</v>
      </c>
      <c r="I10" s="6">
        <v>2</v>
      </c>
      <c r="J10" s="6">
        <v>4</v>
      </c>
      <c r="K10" s="9" t="s">
        <v>46</v>
      </c>
      <c r="L10" s="22">
        <v>15</v>
      </c>
      <c r="M10" s="22">
        <v>15</v>
      </c>
      <c r="N10" s="22">
        <v>0</v>
      </c>
      <c r="O10" s="22">
        <v>0</v>
      </c>
      <c r="P10" s="22">
        <v>0</v>
      </c>
      <c r="Q10" s="22" t="s">
        <v>44</v>
      </c>
      <c r="R10" s="22" t="s">
        <v>44</v>
      </c>
      <c r="S10" s="22">
        <v>0</v>
      </c>
      <c r="T10" s="22">
        <v>10</v>
      </c>
      <c r="U10" s="22">
        <v>26</v>
      </c>
      <c r="V10" s="18" t="s">
        <v>44</v>
      </c>
      <c r="W10" s="18" t="s">
        <v>44</v>
      </c>
      <c r="X10" s="18" t="s">
        <v>44</v>
      </c>
      <c r="Y10" s="18" t="s">
        <v>44</v>
      </c>
      <c r="Z10" s="18" t="s">
        <v>44</v>
      </c>
      <c r="AA10" s="11" t="s">
        <v>44</v>
      </c>
      <c r="AB10" s="11" t="s">
        <v>44</v>
      </c>
      <c r="AC10" s="11" t="s">
        <v>44</v>
      </c>
      <c r="AD10" s="11" t="s">
        <v>44</v>
      </c>
      <c r="AE10" s="11" t="s">
        <v>44</v>
      </c>
      <c r="AF10" s="11" t="s">
        <v>44</v>
      </c>
      <c r="AG10" s="32">
        <v>16</v>
      </c>
      <c r="AH10" s="6">
        <v>4</v>
      </c>
      <c r="AI10" s="6">
        <v>46</v>
      </c>
      <c r="AJ10" s="6">
        <v>0</v>
      </c>
      <c r="AK10" s="9">
        <v>0</v>
      </c>
      <c r="AL10" s="9">
        <v>17</v>
      </c>
      <c r="AM10" s="9">
        <v>4</v>
      </c>
      <c r="AN10" s="9">
        <v>1</v>
      </c>
      <c r="AO10" s="9">
        <v>1</v>
      </c>
      <c r="AP10" s="6">
        <v>27</v>
      </c>
      <c r="AQ10" s="21">
        <f t="shared" si="1"/>
        <v>11</v>
      </c>
      <c r="AR10" s="12">
        <f t="shared" si="6"/>
        <v>100</v>
      </c>
      <c r="AS10" s="6">
        <v>3</v>
      </c>
      <c r="AT10" s="6">
        <v>10</v>
      </c>
      <c r="AU10" s="6">
        <v>0.1</v>
      </c>
      <c r="AV10" s="6">
        <v>0</v>
      </c>
      <c r="AW10" s="6">
        <v>0</v>
      </c>
      <c r="AX10" s="6">
        <v>16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 t="s">
        <v>44</v>
      </c>
      <c r="BF10" s="6" t="s">
        <v>44</v>
      </c>
      <c r="BG10" s="6" t="s">
        <v>44</v>
      </c>
      <c r="BH10" s="6" t="s">
        <v>44</v>
      </c>
      <c r="BI10" s="6" t="s">
        <v>44</v>
      </c>
      <c r="BJ10" s="6" t="s">
        <v>44</v>
      </c>
      <c r="BK10" s="6">
        <v>0</v>
      </c>
      <c r="BL10" s="6">
        <f t="shared" si="4"/>
        <v>29</v>
      </c>
      <c r="BM10" s="6">
        <f t="shared" si="5"/>
        <v>29.1</v>
      </c>
      <c r="BN10" s="6"/>
      <c r="BP10" s="6"/>
    </row>
    <row r="11" spans="1:70" hidden="1">
      <c r="A11" s="7" t="str">
        <f t="shared" si="0"/>
        <v>SB_2024_AZ_2_5</v>
      </c>
      <c r="B11" t="s">
        <v>40</v>
      </c>
      <c r="C11">
        <v>43.3339</v>
      </c>
      <c r="D11">
        <v>-124.3767</v>
      </c>
      <c r="E11" s="8">
        <v>45438</v>
      </c>
      <c r="F11">
        <v>2024</v>
      </c>
      <c r="G11" t="s">
        <v>41</v>
      </c>
      <c r="H11" s="10" t="s">
        <v>42</v>
      </c>
      <c r="I11" s="6">
        <v>2</v>
      </c>
      <c r="J11" s="6">
        <v>5</v>
      </c>
      <c r="K11" s="9" t="s">
        <v>46</v>
      </c>
      <c r="L11" s="22">
        <v>10</v>
      </c>
      <c r="M11" s="22">
        <v>10</v>
      </c>
      <c r="N11" s="22">
        <v>0</v>
      </c>
      <c r="O11" s="22">
        <v>0</v>
      </c>
      <c r="P11" s="22">
        <v>0</v>
      </c>
      <c r="Q11" s="22" t="s">
        <v>44</v>
      </c>
      <c r="R11" s="22" t="s">
        <v>44</v>
      </c>
      <c r="S11" s="22">
        <v>0</v>
      </c>
      <c r="T11" s="22">
        <v>5</v>
      </c>
      <c r="U11" s="22">
        <v>15</v>
      </c>
      <c r="V11" s="18" t="s">
        <v>44</v>
      </c>
      <c r="W11" s="18" t="s">
        <v>44</v>
      </c>
      <c r="X11" s="18" t="s">
        <v>44</v>
      </c>
      <c r="Y11" s="18" t="s">
        <v>44</v>
      </c>
      <c r="Z11" s="18" t="s">
        <v>44</v>
      </c>
      <c r="AA11" s="11" t="s">
        <v>44</v>
      </c>
      <c r="AB11" s="11" t="s">
        <v>44</v>
      </c>
      <c r="AC11" s="11" t="s">
        <v>44</v>
      </c>
      <c r="AD11" s="11" t="s">
        <v>44</v>
      </c>
      <c r="AE11" s="11" t="s">
        <v>44</v>
      </c>
      <c r="AF11" s="11" t="s">
        <v>44</v>
      </c>
      <c r="AG11" s="32"/>
      <c r="AH11" s="6">
        <v>10</v>
      </c>
      <c r="AI11" s="6">
        <v>59</v>
      </c>
      <c r="AJ11" s="6">
        <v>0</v>
      </c>
      <c r="AK11" s="9">
        <v>0</v>
      </c>
      <c r="AL11" s="9">
        <v>6</v>
      </c>
      <c r="AM11" s="9">
        <v>6</v>
      </c>
      <c r="AN11" s="9">
        <v>1</v>
      </c>
      <c r="AO11" s="9">
        <v>0</v>
      </c>
      <c r="AP11" s="6">
        <v>18</v>
      </c>
      <c r="AQ11" s="21">
        <f t="shared" si="1"/>
        <v>18</v>
      </c>
      <c r="AR11" s="12">
        <f t="shared" si="6"/>
        <v>100</v>
      </c>
      <c r="AS11" s="6">
        <v>28</v>
      </c>
      <c r="AT11" s="6">
        <v>35</v>
      </c>
      <c r="AU11" s="6">
        <v>0</v>
      </c>
      <c r="AV11" s="6">
        <v>0</v>
      </c>
      <c r="AW11" s="6">
        <v>0</v>
      </c>
      <c r="AX11" s="6">
        <v>20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 t="s">
        <v>44</v>
      </c>
      <c r="BF11" s="6" t="s">
        <v>44</v>
      </c>
      <c r="BG11" s="6" t="s">
        <v>44</v>
      </c>
      <c r="BH11" s="6" t="s">
        <v>44</v>
      </c>
      <c r="BI11" s="6" t="s">
        <v>44</v>
      </c>
      <c r="BJ11" s="6" t="s">
        <v>44</v>
      </c>
      <c r="BK11" s="6">
        <v>0</v>
      </c>
      <c r="BL11" s="6">
        <f t="shared" si="4"/>
        <v>83</v>
      </c>
      <c r="BM11" s="6">
        <f t="shared" si="5"/>
        <v>83</v>
      </c>
      <c r="BN11" s="6">
        <v>59</v>
      </c>
      <c r="BO11">
        <f t="shared" si="2"/>
        <v>59</v>
      </c>
      <c r="BP11" s="6">
        <v>0</v>
      </c>
      <c r="BQ11">
        <f>SUM(BP11,BB11,BK11)</f>
        <v>0</v>
      </c>
      <c r="BR11">
        <f t="shared" si="3"/>
        <v>0</v>
      </c>
    </row>
    <row r="12" spans="1:70" hidden="1">
      <c r="A12" s="7" t="str">
        <f t="shared" si="0"/>
        <v>SB_2024_UPZ_1_1</v>
      </c>
      <c r="B12" t="s">
        <v>40</v>
      </c>
      <c r="C12">
        <v>43.3339</v>
      </c>
      <c r="D12">
        <v>-124.3767</v>
      </c>
      <c r="E12" s="8">
        <v>45438</v>
      </c>
      <c r="F12">
        <v>2024</v>
      </c>
      <c r="G12" t="s">
        <v>41</v>
      </c>
      <c r="H12" s="10" t="s">
        <v>45</v>
      </c>
      <c r="I12" s="10">
        <v>1</v>
      </c>
      <c r="J12" s="10">
        <v>1</v>
      </c>
      <c r="K12" t="s">
        <v>43</v>
      </c>
      <c r="L12" s="23">
        <v>62</v>
      </c>
      <c r="M12" s="23">
        <v>62</v>
      </c>
      <c r="N12" s="23">
        <v>0</v>
      </c>
      <c r="O12" s="23">
        <v>0</v>
      </c>
      <c r="P12" s="23">
        <v>2</v>
      </c>
      <c r="Q12" s="22" t="s">
        <v>44</v>
      </c>
      <c r="R12" s="22" t="s">
        <v>44</v>
      </c>
      <c r="S12" s="22">
        <v>0</v>
      </c>
      <c r="T12" s="23">
        <v>28</v>
      </c>
      <c r="U12" s="23">
        <v>54</v>
      </c>
      <c r="V12" s="18">
        <v>5.6</v>
      </c>
      <c r="W12" s="18">
        <v>3.1</v>
      </c>
      <c r="X12" s="18">
        <v>4.2</v>
      </c>
      <c r="Y12" s="18">
        <v>3.9</v>
      </c>
      <c r="Z12" s="18">
        <v>3.8</v>
      </c>
      <c r="AA12" s="15">
        <v>1</v>
      </c>
      <c r="AB12" s="15">
        <v>0</v>
      </c>
      <c r="AC12" s="15">
        <v>1</v>
      </c>
      <c r="AD12" s="15">
        <v>2</v>
      </c>
      <c r="AE12" s="15">
        <v>0</v>
      </c>
      <c r="AF12" s="11">
        <f t="shared" ref="AF12:AF56" si="7">SUM(AA12:AE12)</f>
        <v>4</v>
      </c>
      <c r="AG12" s="32">
        <v>50</v>
      </c>
      <c r="AH12">
        <v>0</v>
      </c>
      <c r="AI12">
        <v>12</v>
      </c>
      <c r="AJ12" s="6">
        <v>0</v>
      </c>
      <c r="AK12">
        <v>0</v>
      </c>
      <c r="AL12">
        <v>15</v>
      </c>
      <c r="AM12">
        <v>0</v>
      </c>
      <c r="AN12">
        <v>1</v>
      </c>
      <c r="AO12">
        <v>20</v>
      </c>
      <c r="AP12">
        <v>52</v>
      </c>
      <c r="AQ12" s="21">
        <f t="shared" si="1"/>
        <v>2</v>
      </c>
      <c r="AR12" s="12">
        <f t="shared" si="6"/>
        <v>100</v>
      </c>
      <c r="AS12" s="6">
        <v>0</v>
      </c>
      <c r="AT12" s="6">
        <v>0</v>
      </c>
      <c r="AU12">
        <v>5</v>
      </c>
      <c r="AV12" s="6">
        <v>0</v>
      </c>
      <c r="AW12" s="6">
        <v>0</v>
      </c>
      <c r="AX12" s="6">
        <v>0</v>
      </c>
      <c r="AY12" s="6">
        <v>1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 t="s">
        <v>44</v>
      </c>
      <c r="BF12" s="6" t="s">
        <v>44</v>
      </c>
      <c r="BG12" s="6" t="s">
        <v>44</v>
      </c>
      <c r="BH12" s="6" t="s">
        <v>44</v>
      </c>
      <c r="BI12" s="6" t="s">
        <v>44</v>
      </c>
      <c r="BJ12" s="6" t="s">
        <v>44</v>
      </c>
      <c r="BK12" s="6">
        <v>0</v>
      </c>
      <c r="BL12" s="6">
        <f t="shared" si="4"/>
        <v>1</v>
      </c>
      <c r="BM12" s="6">
        <f t="shared" si="5"/>
        <v>6</v>
      </c>
      <c r="BP12" s="6"/>
    </row>
    <row r="13" spans="1:70" hidden="1">
      <c r="A13" s="7" t="str">
        <f t="shared" si="0"/>
        <v>SB_2024_UPZ_1_2</v>
      </c>
      <c r="B13" t="s">
        <v>40</v>
      </c>
      <c r="C13">
        <v>43.3339</v>
      </c>
      <c r="D13">
        <v>-124.3767</v>
      </c>
      <c r="E13" s="8">
        <v>45438</v>
      </c>
      <c r="F13">
        <v>2024</v>
      </c>
      <c r="G13" t="s">
        <v>41</v>
      </c>
      <c r="H13" s="10" t="s">
        <v>45</v>
      </c>
      <c r="I13" s="10">
        <v>1</v>
      </c>
      <c r="J13" s="10">
        <v>2</v>
      </c>
      <c r="K13" t="s">
        <v>46</v>
      </c>
      <c r="L13" s="23">
        <v>59</v>
      </c>
      <c r="M13" s="23">
        <v>59</v>
      </c>
      <c r="N13" s="23">
        <v>0</v>
      </c>
      <c r="O13" s="23">
        <v>0</v>
      </c>
      <c r="P13" s="23">
        <v>1</v>
      </c>
      <c r="Q13" s="22" t="s">
        <v>44</v>
      </c>
      <c r="R13" s="22" t="s">
        <v>44</v>
      </c>
      <c r="S13" s="22">
        <v>0</v>
      </c>
      <c r="T13" s="23">
        <v>5</v>
      </c>
      <c r="U13" s="23">
        <v>64</v>
      </c>
      <c r="V13" s="18">
        <v>3</v>
      </c>
      <c r="W13" s="18">
        <v>3</v>
      </c>
      <c r="X13" s="18">
        <v>4.2</v>
      </c>
      <c r="Y13" s="18">
        <v>3.7</v>
      </c>
      <c r="Z13" s="18">
        <v>5.3</v>
      </c>
      <c r="AA13" s="15">
        <v>1</v>
      </c>
      <c r="AB13" s="15">
        <v>0</v>
      </c>
      <c r="AC13" s="15">
        <v>0</v>
      </c>
      <c r="AD13" s="15">
        <v>0.5</v>
      </c>
      <c r="AE13" s="15">
        <v>1</v>
      </c>
      <c r="AF13" s="11">
        <f>SUM(AA13:AE13)</f>
        <v>2.5</v>
      </c>
      <c r="AG13" s="32"/>
      <c r="AH13">
        <v>0</v>
      </c>
      <c r="AI13">
        <v>7</v>
      </c>
      <c r="AJ13">
        <v>0.1</v>
      </c>
      <c r="AK13">
        <v>0</v>
      </c>
      <c r="AL13">
        <v>22</v>
      </c>
      <c r="AM13">
        <v>4</v>
      </c>
      <c r="AN13">
        <v>0</v>
      </c>
      <c r="AO13">
        <v>0</v>
      </c>
      <c r="AP13">
        <v>67</v>
      </c>
      <c r="AQ13" s="21">
        <f t="shared" si="1"/>
        <v>67</v>
      </c>
      <c r="AR13" s="12">
        <f t="shared" si="6"/>
        <v>100.1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>
        <v>0.1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 t="s">
        <v>44</v>
      </c>
      <c r="BF13" s="6" t="s">
        <v>44</v>
      </c>
      <c r="BG13" s="6" t="s">
        <v>44</v>
      </c>
      <c r="BH13" s="6" t="s">
        <v>44</v>
      </c>
      <c r="BI13" s="6" t="s">
        <v>44</v>
      </c>
      <c r="BJ13" s="6" t="s">
        <v>44</v>
      </c>
      <c r="BK13" s="6">
        <v>0</v>
      </c>
      <c r="BL13" s="6">
        <f t="shared" si="4"/>
        <v>0.1</v>
      </c>
      <c r="BM13" s="6">
        <f t="shared" si="5"/>
        <v>0.1</v>
      </c>
      <c r="BN13">
        <v>7</v>
      </c>
      <c r="BO13">
        <f t="shared" ref="BO13:BO31" si="8">SUM(BN13,AU13,BG13,BH13,BI13)</f>
        <v>7</v>
      </c>
      <c r="BP13">
        <v>0.1</v>
      </c>
      <c r="BQ13">
        <f>SUM(BP13,BB13,BK13)</f>
        <v>0.1</v>
      </c>
      <c r="BR13">
        <f t="shared" si="3"/>
        <v>0</v>
      </c>
    </row>
    <row r="14" spans="1:70" hidden="1">
      <c r="A14" s="7" t="str">
        <f t="shared" si="0"/>
        <v>SB_2024_UPZ_1_3</v>
      </c>
      <c r="B14" t="s">
        <v>40</v>
      </c>
      <c r="C14">
        <v>43.3339</v>
      </c>
      <c r="D14">
        <v>-124.3767</v>
      </c>
      <c r="E14" s="8">
        <v>45438</v>
      </c>
      <c r="F14">
        <v>2024</v>
      </c>
      <c r="G14" t="s">
        <v>41</v>
      </c>
      <c r="H14" s="10" t="s">
        <v>45</v>
      </c>
      <c r="I14" s="10">
        <v>1</v>
      </c>
      <c r="J14" s="10">
        <v>3</v>
      </c>
      <c r="K14" s="9" t="s">
        <v>43</v>
      </c>
      <c r="L14" s="23">
        <v>48</v>
      </c>
      <c r="M14" s="23">
        <v>48</v>
      </c>
      <c r="N14" s="23">
        <v>0</v>
      </c>
      <c r="O14" s="23">
        <v>0</v>
      </c>
      <c r="P14" s="23">
        <v>2</v>
      </c>
      <c r="Q14" s="22" t="s">
        <v>44</v>
      </c>
      <c r="R14" s="22" t="s">
        <v>44</v>
      </c>
      <c r="S14" s="22">
        <v>0</v>
      </c>
      <c r="T14" s="23">
        <v>7</v>
      </c>
      <c r="U14" s="23">
        <v>55</v>
      </c>
      <c r="V14" s="18">
        <v>4.5999999999999996</v>
      </c>
      <c r="W14" s="18">
        <v>4.7</v>
      </c>
      <c r="X14" s="18">
        <v>4</v>
      </c>
      <c r="Y14" s="18">
        <v>4.4000000000000004</v>
      </c>
      <c r="Z14" s="18">
        <v>4.8</v>
      </c>
      <c r="AA14" s="15">
        <v>0</v>
      </c>
      <c r="AB14" s="15">
        <v>0</v>
      </c>
      <c r="AC14" s="15">
        <v>0</v>
      </c>
      <c r="AD14" s="15">
        <v>0.1</v>
      </c>
      <c r="AE14" s="15">
        <v>0</v>
      </c>
      <c r="AF14" s="11">
        <f t="shared" si="7"/>
        <v>0.1</v>
      </c>
      <c r="AG14" s="32"/>
      <c r="AH14">
        <v>0</v>
      </c>
      <c r="AI14">
        <v>3</v>
      </c>
      <c r="AJ14">
        <v>0</v>
      </c>
      <c r="AK14">
        <v>0</v>
      </c>
      <c r="AL14">
        <v>12</v>
      </c>
      <c r="AM14">
        <v>0</v>
      </c>
      <c r="AN14">
        <v>0</v>
      </c>
      <c r="AO14">
        <v>1</v>
      </c>
      <c r="AP14">
        <v>84</v>
      </c>
      <c r="AQ14" s="21">
        <f t="shared" si="1"/>
        <v>84</v>
      </c>
      <c r="AR14" s="12">
        <f t="shared" si="6"/>
        <v>100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 t="s">
        <v>44</v>
      </c>
      <c r="BF14" s="6" t="s">
        <v>44</v>
      </c>
      <c r="BG14" s="6" t="s">
        <v>44</v>
      </c>
      <c r="BH14" s="6" t="s">
        <v>44</v>
      </c>
      <c r="BI14" s="6" t="s">
        <v>44</v>
      </c>
      <c r="BJ14" s="6" t="s">
        <v>44</v>
      </c>
      <c r="BK14" s="6">
        <v>0</v>
      </c>
      <c r="BL14" s="6">
        <f t="shared" si="4"/>
        <v>0</v>
      </c>
      <c r="BM14" s="6">
        <f t="shared" si="5"/>
        <v>0</v>
      </c>
      <c r="BN14">
        <v>3</v>
      </c>
      <c r="BO14">
        <f t="shared" si="8"/>
        <v>3</v>
      </c>
      <c r="BP14">
        <v>0</v>
      </c>
      <c r="BQ14">
        <f>SUM(BP14,BB14,BK14)</f>
        <v>0</v>
      </c>
      <c r="BR14">
        <f t="shared" si="3"/>
        <v>0</v>
      </c>
    </row>
    <row r="15" spans="1:70" hidden="1">
      <c r="A15" s="7" t="str">
        <f t="shared" si="0"/>
        <v>SB_2024_UPZ_1_4</v>
      </c>
      <c r="B15" t="s">
        <v>40</v>
      </c>
      <c r="C15">
        <v>43.3339</v>
      </c>
      <c r="D15">
        <v>-124.3767</v>
      </c>
      <c r="E15" s="8">
        <v>45438</v>
      </c>
      <c r="F15">
        <v>2024</v>
      </c>
      <c r="G15" t="s">
        <v>41</v>
      </c>
      <c r="H15" s="10" t="s">
        <v>45</v>
      </c>
      <c r="I15" s="10">
        <v>1</v>
      </c>
      <c r="J15" s="10">
        <v>4</v>
      </c>
      <c r="K15" t="s">
        <v>43</v>
      </c>
      <c r="L15" s="23">
        <v>53</v>
      </c>
      <c r="M15" s="23">
        <v>53</v>
      </c>
      <c r="N15" s="23">
        <v>0</v>
      </c>
      <c r="O15" s="23">
        <v>0</v>
      </c>
      <c r="P15" s="23">
        <v>3</v>
      </c>
      <c r="Q15" s="22" t="s">
        <v>44</v>
      </c>
      <c r="R15" s="22" t="s">
        <v>44</v>
      </c>
      <c r="S15" s="22">
        <v>0</v>
      </c>
      <c r="T15" s="23">
        <v>12</v>
      </c>
      <c r="U15" s="23">
        <v>67</v>
      </c>
      <c r="V15" s="18">
        <v>3.6</v>
      </c>
      <c r="W15" s="18">
        <v>4.3</v>
      </c>
      <c r="X15" s="18">
        <v>4.5999999999999996</v>
      </c>
      <c r="Y15" s="18">
        <v>3.4</v>
      </c>
      <c r="Z15" s="18">
        <v>4</v>
      </c>
      <c r="AA15" s="15">
        <v>0</v>
      </c>
      <c r="AB15" s="15">
        <v>0</v>
      </c>
      <c r="AC15" s="15">
        <v>0</v>
      </c>
      <c r="AD15" s="15">
        <v>1</v>
      </c>
      <c r="AE15" s="15">
        <v>0</v>
      </c>
      <c r="AF15" s="11">
        <f t="shared" si="7"/>
        <v>1</v>
      </c>
      <c r="AG15" s="32"/>
      <c r="AH15">
        <v>0</v>
      </c>
      <c r="AI15">
        <v>0</v>
      </c>
      <c r="AJ15">
        <v>0</v>
      </c>
      <c r="AK15">
        <v>0</v>
      </c>
      <c r="AL15">
        <v>20</v>
      </c>
      <c r="AM15">
        <v>0</v>
      </c>
      <c r="AN15">
        <v>4</v>
      </c>
      <c r="AO15">
        <v>2</v>
      </c>
      <c r="AP15">
        <v>74</v>
      </c>
      <c r="AQ15" s="21">
        <f t="shared" si="1"/>
        <v>74</v>
      </c>
      <c r="AR15" s="12">
        <f t="shared" si="6"/>
        <v>100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>
        <v>1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 t="s">
        <v>44</v>
      </c>
      <c r="BF15" s="6" t="s">
        <v>44</v>
      </c>
      <c r="BG15" s="6" t="s">
        <v>44</v>
      </c>
      <c r="BH15" s="6" t="s">
        <v>44</v>
      </c>
      <c r="BI15" s="6" t="s">
        <v>44</v>
      </c>
      <c r="BJ15" s="6" t="s">
        <v>44</v>
      </c>
      <c r="BK15" s="6">
        <v>0</v>
      </c>
      <c r="BL15" s="6">
        <f t="shared" si="4"/>
        <v>1</v>
      </c>
      <c r="BM15" s="6">
        <f t="shared" si="5"/>
        <v>1</v>
      </c>
      <c r="BN15">
        <v>0</v>
      </c>
      <c r="BO15">
        <f t="shared" si="8"/>
        <v>0</v>
      </c>
      <c r="BP15">
        <v>0</v>
      </c>
      <c r="BQ15">
        <f>SUM(BP15,BB15,BK15)</f>
        <v>0</v>
      </c>
      <c r="BR15">
        <f t="shared" si="3"/>
        <v>0</v>
      </c>
    </row>
    <row r="16" spans="1:70" hidden="1">
      <c r="A16" s="7" t="str">
        <f t="shared" si="0"/>
        <v>SB_2024_UPZ_1_5</v>
      </c>
      <c r="B16" t="s">
        <v>40</v>
      </c>
      <c r="C16">
        <v>43.3339</v>
      </c>
      <c r="D16">
        <v>-124.3767</v>
      </c>
      <c r="E16" s="8">
        <v>45438</v>
      </c>
      <c r="F16">
        <v>2024</v>
      </c>
      <c r="G16" t="s">
        <v>41</v>
      </c>
      <c r="H16" s="10" t="s">
        <v>45</v>
      </c>
      <c r="I16" s="10">
        <v>1</v>
      </c>
      <c r="J16" s="6">
        <v>5</v>
      </c>
      <c r="K16" t="s">
        <v>46</v>
      </c>
      <c r="L16" s="23">
        <v>62</v>
      </c>
      <c r="M16" s="23">
        <v>62</v>
      </c>
      <c r="N16" s="23">
        <v>0</v>
      </c>
      <c r="O16" s="23">
        <v>0</v>
      </c>
      <c r="P16" s="23">
        <v>1</v>
      </c>
      <c r="Q16" s="22" t="s">
        <v>44</v>
      </c>
      <c r="R16" s="22" t="s">
        <v>44</v>
      </c>
      <c r="S16" s="22">
        <v>0</v>
      </c>
      <c r="T16" s="23">
        <v>8</v>
      </c>
      <c r="U16" s="23">
        <v>71</v>
      </c>
      <c r="V16" s="18">
        <v>4</v>
      </c>
      <c r="W16" s="18">
        <v>3.7</v>
      </c>
      <c r="X16" s="18">
        <v>3.3</v>
      </c>
      <c r="Y16" s="18">
        <v>3.7</v>
      </c>
      <c r="Z16" s="18">
        <v>3.4</v>
      </c>
      <c r="AA16" s="15">
        <v>0</v>
      </c>
      <c r="AB16" s="15">
        <v>1</v>
      </c>
      <c r="AC16" s="15">
        <v>0</v>
      </c>
      <c r="AD16" s="15">
        <v>2</v>
      </c>
      <c r="AE16" s="15">
        <v>0</v>
      </c>
      <c r="AF16" s="11">
        <f t="shared" si="7"/>
        <v>3</v>
      </c>
      <c r="AG16" s="32"/>
      <c r="AH16">
        <v>1</v>
      </c>
      <c r="AI16">
        <v>8</v>
      </c>
      <c r="AJ16">
        <v>0</v>
      </c>
      <c r="AK16">
        <v>0</v>
      </c>
      <c r="AL16">
        <v>20</v>
      </c>
      <c r="AM16">
        <v>0</v>
      </c>
      <c r="AN16">
        <v>1</v>
      </c>
      <c r="AO16">
        <v>1</v>
      </c>
      <c r="AP16">
        <v>69</v>
      </c>
      <c r="AQ16" s="21">
        <f t="shared" si="1"/>
        <v>69</v>
      </c>
      <c r="AR16" s="12">
        <f t="shared" si="6"/>
        <v>100</v>
      </c>
      <c r="AS16" s="6">
        <v>0</v>
      </c>
      <c r="AT16">
        <v>4</v>
      </c>
      <c r="AU16" s="6">
        <v>0</v>
      </c>
      <c r="AV16" s="6">
        <v>0</v>
      </c>
      <c r="AW16" s="6">
        <v>0</v>
      </c>
      <c r="AX16">
        <v>1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 t="s">
        <v>44</v>
      </c>
      <c r="BF16" s="6" t="s">
        <v>44</v>
      </c>
      <c r="BG16" s="6" t="s">
        <v>44</v>
      </c>
      <c r="BH16" s="6" t="s">
        <v>44</v>
      </c>
      <c r="BI16" s="6" t="s">
        <v>44</v>
      </c>
      <c r="BJ16" s="6" t="s">
        <v>44</v>
      </c>
      <c r="BK16" s="6">
        <v>0</v>
      </c>
      <c r="BL16" s="6">
        <f t="shared" si="4"/>
        <v>5</v>
      </c>
      <c r="BM16" s="6">
        <f t="shared" si="5"/>
        <v>5</v>
      </c>
      <c r="BN16">
        <v>8</v>
      </c>
      <c r="BO16">
        <f t="shared" si="8"/>
        <v>8</v>
      </c>
      <c r="BP16">
        <v>0</v>
      </c>
      <c r="BQ16">
        <f>SUM(BP16,BB16,BK16)</f>
        <v>0</v>
      </c>
      <c r="BR16">
        <f t="shared" si="3"/>
        <v>0</v>
      </c>
    </row>
    <row r="17" spans="1:70" hidden="1">
      <c r="A17" s="7" t="str">
        <f t="shared" si="0"/>
        <v>SB_2024_UPZ_2_1</v>
      </c>
      <c r="B17" t="s">
        <v>40</v>
      </c>
      <c r="C17">
        <v>43.3339</v>
      </c>
      <c r="D17">
        <v>-124.3767</v>
      </c>
      <c r="E17" s="8">
        <v>45438</v>
      </c>
      <c r="F17">
        <v>2024</v>
      </c>
      <c r="G17" t="s">
        <v>41</v>
      </c>
      <c r="H17" s="10" t="s">
        <v>45</v>
      </c>
      <c r="I17" s="6">
        <v>2</v>
      </c>
      <c r="J17" s="6">
        <v>1</v>
      </c>
      <c r="K17" t="s">
        <v>43</v>
      </c>
      <c r="L17" s="23">
        <v>41</v>
      </c>
      <c r="M17" s="23">
        <v>41</v>
      </c>
      <c r="N17" s="23">
        <v>0</v>
      </c>
      <c r="O17" s="23">
        <v>0</v>
      </c>
      <c r="P17" s="23">
        <v>1</v>
      </c>
      <c r="Q17" s="22" t="s">
        <v>44</v>
      </c>
      <c r="R17" s="22" t="s">
        <v>44</v>
      </c>
      <c r="S17" s="22">
        <v>0</v>
      </c>
      <c r="T17" s="23">
        <v>6</v>
      </c>
      <c r="U17" s="23">
        <v>52</v>
      </c>
      <c r="V17" s="18">
        <v>5.0999999999999996</v>
      </c>
      <c r="W17" s="18">
        <v>4.2</v>
      </c>
      <c r="X17" s="18">
        <v>3.8</v>
      </c>
      <c r="Y17" s="18">
        <v>4</v>
      </c>
      <c r="Z17" s="18">
        <v>4.2</v>
      </c>
      <c r="AA17" s="15">
        <v>1</v>
      </c>
      <c r="AB17" s="15">
        <v>0</v>
      </c>
      <c r="AC17" s="15">
        <v>0</v>
      </c>
      <c r="AD17" s="15">
        <v>1</v>
      </c>
      <c r="AE17" s="15">
        <v>0</v>
      </c>
      <c r="AF17" s="11">
        <f t="shared" si="7"/>
        <v>2</v>
      </c>
      <c r="AG17" s="32"/>
      <c r="AH17">
        <v>0</v>
      </c>
      <c r="AI17">
        <v>5</v>
      </c>
      <c r="AJ17">
        <v>1</v>
      </c>
      <c r="AK17">
        <v>0</v>
      </c>
      <c r="AL17">
        <v>15</v>
      </c>
      <c r="AM17">
        <v>1</v>
      </c>
      <c r="AN17">
        <v>0</v>
      </c>
      <c r="AO17">
        <v>0</v>
      </c>
      <c r="AP17">
        <v>78</v>
      </c>
      <c r="AQ17" s="21">
        <f t="shared" si="1"/>
        <v>78</v>
      </c>
      <c r="AR17" s="12">
        <f t="shared" si="6"/>
        <v>100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 t="s">
        <v>44</v>
      </c>
      <c r="BF17" s="6" t="s">
        <v>44</v>
      </c>
      <c r="BG17" s="6" t="s">
        <v>44</v>
      </c>
      <c r="BH17" s="6" t="s">
        <v>44</v>
      </c>
      <c r="BI17" s="6" t="s">
        <v>44</v>
      </c>
      <c r="BJ17" s="6" t="s">
        <v>44</v>
      </c>
      <c r="BK17" s="6">
        <v>0</v>
      </c>
      <c r="BL17" s="6">
        <f t="shared" si="4"/>
        <v>0</v>
      </c>
      <c r="BM17" s="6">
        <f t="shared" si="5"/>
        <v>0</v>
      </c>
      <c r="BN17">
        <v>5</v>
      </c>
      <c r="BO17">
        <f t="shared" si="8"/>
        <v>5</v>
      </c>
      <c r="BP17">
        <v>1</v>
      </c>
      <c r="BQ17">
        <f>SUM(BP17,BB17,BK17)</f>
        <v>1</v>
      </c>
      <c r="BR17">
        <f t="shared" si="3"/>
        <v>0</v>
      </c>
    </row>
    <row r="18" spans="1:70" hidden="1">
      <c r="A18" s="7" t="str">
        <f t="shared" si="0"/>
        <v>SB_2024_UPZ_2_2</v>
      </c>
      <c r="B18" t="s">
        <v>40</v>
      </c>
      <c r="C18">
        <v>43.3339</v>
      </c>
      <c r="D18">
        <v>-124.3767</v>
      </c>
      <c r="E18" s="8">
        <v>45438</v>
      </c>
      <c r="F18">
        <v>2024</v>
      </c>
      <c r="G18" t="s">
        <v>41</v>
      </c>
      <c r="H18" s="10" t="s">
        <v>45</v>
      </c>
      <c r="I18" s="6">
        <v>2</v>
      </c>
      <c r="J18" s="6">
        <v>2</v>
      </c>
      <c r="K18" t="s">
        <v>46</v>
      </c>
      <c r="L18" s="23">
        <v>46</v>
      </c>
      <c r="M18" s="23">
        <v>46</v>
      </c>
      <c r="N18" s="23">
        <v>0</v>
      </c>
      <c r="O18" s="23">
        <v>0</v>
      </c>
      <c r="P18" s="23">
        <v>0</v>
      </c>
      <c r="Q18" s="22" t="s">
        <v>44</v>
      </c>
      <c r="R18" s="22" t="s">
        <v>44</v>
      </c>
      <c r="S18" s="22">
        <v>0</v>
      </c>
      <c r="T18" s="23">
        <v>6</v>
      </c>
      <c r="U18" s="23">
        <v>52</v>
      </c>
      <c r="V18" s="18">
        <v>3.7</v>
      </c>
      <c r="W18" s="18">
        <v>4</v>
      </c>
      <c r="X18" s="18">
        <v>4.0999999999999996</v>
      </c>
      <c r="Y18" s="18">
        <v>5.4</v>
      </c>
      <c r="Z18" s="18">
        <v>2.2000000000000002</v>
      </c>
      <c r="AA18" s="15">
        <v>0</v>
      </c>
      <c r="AB18" s="15">
        <v>0</v>
      </c>
      <c r="AC18" s="15">
        <v>0</v>
      </c>
      <c r="AD18" s="15">
        <v>0</v>
      </c>
      <c r="AE18" s="15">
        <v>1</v>
      </c>
      <c r="AF18" s="11">
        <f t="shared" si="7"/>
        <v>1</v>
      </c>
      <c r="AG18" s="32"/>
      <c r="AH18">
        <v>0</v>
      </c>
      <c r="AI18">
        <v>5</v>
      </c>
      <c r="AJ18">
        <v>1</v>
      </c>
      <c r="AK18">
        <v>0</v>
      </c>
      <c r="AL18">
        <v>15</v>
      </c>
      <c r="AM18">
        <v>1</v>
      </c>
      <c r="AN18">
        <v>0</v>
      </c>
      <c r="AO18">
        <v>0</v>
      </c>
      <c r="AP18">
        <v>78</v>
      </c>
      <c r="AQ18" s="21">
        <f t="shared" si="1"/>
        <v>78</v>
      </c>
      <c r="AR18" s="12">
        <f t="shared" si="6"/>
        <v>100</v>
      </c>
      <c r="AS18" s="6">
        <v>0</v>
      </c>
      <c r="AT18">
        <v>1</v>
      </c>
      <c r="AU18" s="6">
        <v>0</v>
      </c>
      <c r="AV18">
        <v>2</v>
      </c>
      <c r="AW18" s="6">
        <v>0</v>
      </c>
      <c r="AX18">
        <v>3</v>
      </c>
      <c r="AY18">
        <v>1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 t="s">
        <v>44</v>
      </c>
      <c r="BF18" s="6" t="s">
        <v>44</v>
      </c>
      <c r="BG18" s="6" t="s">
        <v>44</v>
      </c>
      <c r="BH18" s="6" t="s">
        <v>44</v>
      </c>
      <c r="BI18" s="6" t="s">
        <v>44</v>
      </c>
      <c r="BJ18" s="6" t="s">
        <v>44</v>
      </c>
      <c r="BK18" s="6">
        <v>0</v>
      </c>
      <c r="BL18" s="6">
        <f t="shared" si="4"/>
        <v>7</v>
      </c>
      <c r="BM18" s="6">
        <f t="shared" si="5"/>
        <v>7</v>
      </c>
      <c r="BN18">
        <v>5</v>
      </c>
      <c r="BO18">
        <f t="shared" si="8"/>
        <v>5</v>
      </c>
      <c r="BP18">
        <v>1</v>
      </c>
      <c r="BQ18">
        <f>SUM(BP18,BB18,BK18)</f>
        <v>1</v>
      </c>
      <c r="BR18">
        <f t="shared" si="3"/>
        <v>0</v>
      </c>
    </row>
    <row r="19" spans="1:70" hidden="1">
      <c r="A19" s="7" t="str">
        <f t="shared" si="0"/>
        <v>SB_2024_UPZ_2_3</v>
      </c>
      <c r="B19" t="s">
        <v>40</v>
      </c>
      <c r="C19">
        <v>43.3339</v>
      </c>
      <c r="D19">
        <v>-124.3767</v>
      </c>
      <c r="E19" s="8">
        <v>45438</v>
      </c>
      <c r="F19">
        <v>2024</v>
      </c>
      <c r="G19" t="s">
        <v>41</v>
      </c>
      <c r="H19" s="10" t="s">
        <v>45</v>
      </c>
      <c r="I19" s="6">
        <v>2</v>
      </c>
      <c r="J19" s="6">
        <v>3</v>
      </c>
      <c r="K19" t="s">
        <v>43</v>
      </c>
      <c r="L19" s="23">
        <v>48</v>
      </c>
      <c r="M19" s="23">
        <v>48</v>
      </c>
      <c r="N19" s="23">
        <v>0</v>
      </c>
      <c r="O19" s="23">
        <v>0</v>
      </c>
      <c r="P19" s="23">
        <v>0</v>
      </c>
      <c r="Q19" s="22" t="s">
        <v>44</v>
      </c>
      <c r="R19" s="22" t="s">
        <v>44</v>
      </c>
      <c r="S19" s="22">
        <v>0</v>
      </c>
      <c r="T19" s="23">
        <v>7</v>
      </c>
      <c r="U19" s="23">
        <v>55</v>
      </c>
      <c r="V19" s="18">
        <v>4.2</v>
      </c>
      <c r="W19" s="18">
        <v>4</v>
      </c>
      <c r="X19" s="18">
        <v>4.4000000000000004</v>
      </c>
      <c r="Y19" s="18">
        <v>4.0999999999999996</v>
      </c>
      <c r="Z19" s="18">
        <v>3.8</v>
      </c>
      <c r="AA19" s="15">
        <v>0</v>
      </c>
      <c r="AB19" s="15">
        <v>0</v>
      </c>
      <c r="AC19" s="15">
        <v>0</v>
      </c>
      <c r="AD19" s="15">
        <v>1</v>
      </c>
      <c r="AE19" s="15">
        <v>0</v>
      </c>
      <c r="AF19" s="11">
        <f t="shared" si="7"/>
        <v>1</v>
      </c>
      <c r="AG19" s="32"/>
      <c r="AH19">
        <v>0.1</v>
      </c>
      <c r="AI19">
        <v>9</v>
      </c>
      <c r="AJ19">
        <v>0.1</v>
      </c>
      <c r="AK19">
        <v>0</v>
      </c>
      <c r="AL19">
        <v>9</v>
      </c>
      <c r="AM19">
        <v>0</v>
      </c>
      <c r="AN19">
        <v>0</v>
      </c>
      <c r="AO19">
        <v>3</v>
      </c>
      <c r="AP19">
        <v>79</v>
      </c>
      <c r="AQ19" s="21">
        <f t="shared" si="1"/>
        <v>79</v>
      </c>
      <c r="AR19" s="12">
        <f>SUM(AH19:AP19)</f>
        <v>100.2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>
        <v>2</v>
      </c>
      <c r="AY19">
        <v>1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 t="s">
        <v>44</v>
      </c>
      <c r="BF19" s="6" t="s">
        <v>44</v>
      </c>
      <c r="BG19" s="6" t="s">
        <v>44</v>
      </c>
      <c r="BH19" s="6" t="s">
        <v>44</v>
      </c>
      <c r="BI19" s="6" t="s">
        <v>44</v>
      </c>
      <c r="BJ19" s="6" t="s">
        <v>44</v>
      </c>
      <c r="BK19" s="6">
        <v>0</v>
      </c>
      <c r="BL19" s="6">
        <f t="shared" si="4"/>
        <v>3</v>
      </c>
      <c r="BM19" s="6">
        <f t="shared" si="5"/>
        <v>3</v>
      </c>
      <c r="BN19">
        <v>9</v>
      </c>
      <c r="BO19">
        <f t="shared" si="8"/>
        <v>9</v>
      </c>
      <c r="BP19">
        <v>0.1</v>
      </c>
      <c r="BQ19">
        <f>SUM(BP19,BB19,BK19)</f>
        <v>0.1</v>
      </c>
      <c r="BR19">
        <f t="shared" si="3"/>
        <v>0</v>
      </c>
    </row>
    <row r="20" spans="1:70" hidden="1">
      <c r="A20" s="7" t="str">
        <f t="shared" si="0"/>
        <v>SB_2024_UPZ_2_4</v>
      </c>
      <c r="B20" t="s">
        <v>40</v>
      </c>
      <c r="C20">
        <v>43.3339</v>
      </c>
      <c r="D20">
        <v>-124.3767</v>
      </c>
      <c r="E20" s="8">
        <v>45438</v>
      </c>
      <c r="F20">
        <v>2024</v>
      </c>
      <c r="G20" t="s">
        <v>41</v>
      </c>
      <c r="H20" s="10" t="s">
        <v>45</v>
      </c>
      <c r="I20" s="6">
        <v>2</v>
      </c>
      <c r="J20" s="6">
        <v>4</v>
      </c>
      <c r="K20" t="s">
        <v>43</v>
      </c>
      <c r="L20" s="23">
        <v>53</v>
      </c>
      <c r="M20" s="23">
        <v>53</v>
      </c>
      <c r="N20" s="23">
        <v>0</v>
      </c>
      <c r="O20" s="23">
        <v>0</v>
      </c>
      <c r="P20" s="23">
        <v>1</v>
      </c>
      <c r="Q20" s="22" t="s">
        <v>44</v>
      </c>
      <c r="R20" s="22" t="s">
        <v>44</v>
      </c>
      <c r="S20" s="22">
        <v>0</v>
      </c>
      <c r="T20" s="23">
        <v>5</v>
      </c>
      <c r="U20" s="23">
        <v>58</v>
      </c>
      <c r="V20" s="18">
        <v>4</v>
      </c>
      <c r="W20" s="18">
        <v>3</v>
      </c>
      <c r="X20" s="18">
        <v>4.4000000000000004</v>
      </c>
      <c r="Y20" s="18">
        <v>4.8</v>
      </c>
      <c r="Z20" s="18">
        <v>3.8</v>
      </c>
      <c r="AA20" s="15">
        <v>0</v>
      </c>
      <c r="AB20" s="15">
        <v>0</v>
      </c>
      <c r="AC20" s="15">
        <v>1</v>
      </c>
      <c r="AD20" s="15">
        <v>1</v>
      </c>
      <c r="AE20" s="15">
        <v>0</v>
      </c>
      <c r="AF20" s="11">
        <f t="shared" si="7"/>
        <v>2</v>
      </c>
      <c r="AG20" s="32"/>
      <c r="AH20">
        <v>0</v>
      </c>
      <c r="AI20">
        <v>6</v>
      </c>
      <c r="AJ20">
        <v>0</v>
      </c>
      <c r="AK20">
        <v>0</v>
      </c>
      <c r="AL20">
        <v>8</v>
      </c>
      <c r="AM20">
        <v>0</v>
      </c>
      <c r="AN20">
        <v>0</v>
      </c>
      <c r="AO20">
        <v>3</v>
      </c>
      <c r="AP20">
        <v>83</v>
      </c>
      <c r="AQ20" s="21">
        <f t="shared" si="1"/>
        <v>83</v>
      </c>
      <c r="AR20" s="12">
        <f t="shared" si="6"/>
        <v>100</v>
      </c>
      <c r="AS20" s="6">
        <v>0</v>
      </c>
      <c r="AT20">
        <v>2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 t="s">
        <v>44</v>
      </c>
      <c r="BF20" s="6" t="s">
        <v>44</v>
      </c>
      <c r="BG20" s="6" t="s">
        <v>44</v>
      </c>
      <c r="BH20" s="6" t="s">
        <v>44</v>
      </c>
      <c r="BI20" s="6" t="s">
        <v>44</v>
      </c>
      <c r="BJ20" s="6" t="s">
        <v>44</v>
      </c>
      <c r="BK20" s="6">
        <v>0</v>
      </c>
      <c r="BL20" s="6">
        <f t="shared" si="4"/>
        <v>2</v>
      </c>
      <c r="BM20" s="6">
        <f t="shared" si="5"/>
        <v>2</v>
      </c>
      <c r="BN20">
        <v>6</v>
      </c>
      <c r="BO20">
        <f t="shared" si="8"/>
        <v>6</v>
      </c>
      <c r="BP20">
        <v>0</v>
      </c>
      <c r="BQ20">
        <f>SUM(BP20,BB20,BK20)</f>
        <v>0</v>
      </c>
      <c r="BR20">
        <f t="shared" si="3"/>
        <v>0</v>
      </c>
    </row>
    <row r="21" spans="1:70" hidden="1">
      <c r="A21" s="7" t="str">
        <f t="shared" si="0"/>
        <v>SB_2024_UPZ_2_5</v>
      </c>
      <c r="B21" t="s">
        <v>40</v>
      </c>
      <c r="C21">
        <v>43.3339</v>
      </c>
      <c r="D21">
        <v>-124.3767</v>
      </c>
      <c r="E21" s="8">
        <v>45438</v>
      </c>
      <c r="F21">
        <v>2024</v>
      </c>
      <c r="G21" t="s">
        <v>41</v>
      </c>
      <c r="H21" s="10" t="s">
        <v>45</v>
      </c>
      <c r="I21" s="6">
        <v>2</v>
      </c>
      <c r="J21" s="6">
        <v>5</v>
      </c>
      <c r="K21" t="s">
        <v>43</v>
      </c>
      <c r="L21" s="23">
        <v>45</v>
      </c>
      <c r="M21" s="23">
        <v>45</v>
      </c>
      <c r="N21" s="23">
        <v>0</v>
      </c>
      <c r="O21" s="23">
        <v>0</v>
      </c>
      <c r="P21" s="23">
        <v>1</v>
      </c>
      <c r="Q21" s="22" t="s">
        <v>44</v>
      </c>
      <c r="R21" s="22" t="s">
        <v>44</v>
      </c>
      <c r="S21" s="22">
        <v>0</v>
      </c>
      <c r="T21" s="23">
        <v>5</v>
      </c>
      <c r="U21" s="23">
        <v>50</v>
      </c>
      <c r="V21" s="18">
        <v>3.5</v>
      </c>
      <c r="W21" s="18">
        <v>3.4</v>
      </c>
      <c r="X21" s="18">
        <v>3.4</v>
      </c>
      <c r="Y21" s="18">
        <v>3.8</v>
      </c>
      <c r="Z21" s="18">
        <v>3.4</v>
      </c>
      <c r="AA21" s="15">
        <v>0</v>
      </c>
      <c r="AB21" s="15">
        <v>1</v>
      </c>
      <c r="AC21" s="15">
        <v>0</v>
      </c>
      <c r="AD21" s="15">
        <v>1</v>
      </c>
      <c r="AE21" s="15">
        <v>0</v>
      </c>
      <c r="AF21" s="11">
        <f t="shared" si="7"/>
        <v>2</v>
      </c>
      <c r="AG21" s="32">
        <v>28</v>
      </c>
      <c r="AH21">
        <v>1</v>
      </c>
      <c r="AI21">
        <v>47</v>
      </c>
      <c r="AJ21">
        <v>0</v>
      </c>
      <c r="AK21">
        <v>0</v>
      </c>
      <c r="AL21">
        <v>10</v>
      </c>
      <c r="AM21">
        <v>0</v>
      </c>
      <c r="AN21">
        <v>2</v>
      </c>
      <c r="AO21">
        <v>0.1</v>
      </c>
      <c r="AP21">
        <v>40</v>
      </c>
      <c r="AQ21" s="21">
        <f t="shared" si="1"/>
        <v>12</v>
      </c>
      <c r="AR21" s="12">
        <f t="shared" si="6"/>
        <v>100.1</v>
      </c>
      <c r="AS21" s="6">
        <v>0</v>
      </c>
      <c r="AT21">
        <v>4</v>
      </c>
      <c r="AU21">
        <v>2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 t="s">
        <v>44</v>
      </c>
      <c r="BF21" s="6" t="s">
        <v>44</v>
      </c>
      <c r="BG21" s="6" t="s">
        <v>44</v>
      </c>
      <c r="BH21" s="6" t="s">
        <v>44</v>
      </c>
      <c r="BI21" s="6" t="s">
        <v>44</v>
      </c>
      <c r="BJ21" s="6" t="s">
        <v>44</v>
      </c>
      <c r="BK21" s="6">
        <v>0</v>
      </c>
      <c r="BL21" s="6">
        <f t="shared" si="4"/>
        <v>4</v>
      </c>
      <c r="BM21" s="6">
        <f t="shared" si="5"/>
        <v>6</v>
      </c>
    </row>
    <row r="22" spans="1:70" hidden="1">
      <c r="A22" s="43" t="str">
        <f t="shared" si="0"/>
        <v>SB_2024_NPZ_1_1</v>
      </c>
      <c r="B22" t="s">
        <v>40</v>
      </c>
      <c r="C22">
        <v>43.3339</v>
      </c>
      <c r="D22">
        <v>-124.3767</v>
      </c>
      <c r="E22" s="8">
        <v>45438</v>
      </c>
      <c r="F22">
        <v>2024</v>
      </c>
      <c r="G22" t="s">
        <v>41</v>
      </c>
      <c r="H22" s="10" t="s">
        <v>48</v>
      </c>
      <c r="I22" s="10">
        <v>1</v>
      </c>
      <c r="J22" s="10">
        <v>1</v>
      </c>
      <c r="K22" t="s">
        <v>83</v>
      </c>
      <c r="L22" s="23">
        <v>44</v>
      </c>
      <c r="M22" s="23">
        <v>43</v>
      </c>
      <c r="N22" s="23">
        <v>0</v>
      </c>
      <c r="O22" s="23">
        <v>1</v>
      </c>
      <c r="P22" s="23">
        <v>4</v>
      </c>
      <c r="Q22" s="22" t="s">
        <v>44</v>
      </c>
      <c r="R22" s="22" t="s">
        <v>44</v>
      </c>
      <c r="S22" s="22">
        <v>0</v>
      </c>
      <c r="T22" s="23">
        <v>1</v>
      </c>
      <c r="U22" s="23">
        <v>45</v>
      </c>
      <c r="V22" s="18">
        <v>4.7</v>
      </c>
      <c r="W22" s="18">
        <v>4.2</v>
      </c>
      <c r="X22" s="18">
        <v>3.5</v>
      </c>
      <c r="Y22" s="18">
        <v>4.5</v>
      </c>
      <c r="Z22" s="18">
        <v>3.8</v>
      </c>
      <c r="AA22" s="15">
        <v>0</v>
      </c>
      <c r="AB22" s="15">
        <v>0</v>
      </c>
      <c r="AC22" s="15">
        <v>0</v>
      </c>
      <c r="AD22" s="15">
        <v>1</v>
      </c>
      <c r="AE22" s="15">
        <v>0</v>
      </c>
      <c r="AF22" s="11">
        <f t="shared" si="7"/>
        <v>1</v>
      </c>
      <c r="AG22" s="32"/>
      <c r="AH22">
        <v>0</v>
      </c>
      <c r="AI22">
        <v>2</v>
      </c>
      <c r="AJ22">
        <v>0</v>
      </c>
      <c r="AK22">
        <v>0</v>
      </c>
      <c r="AL22">
        <v>8</v>
      </c>
      <c r="AM22">
        <v>0</v>
      </c>
      <c r="AN22">
        <v>0</v>
      </c>
      <c r="AO22">
        <v>7</v>
      </c>
      <c r="AP22">
        <v>83</v>
      </c>
      <c r="AQ22" s="21">
        <f t="shared" si="1"/>
        <v>83</v>
      </c>
      <c r="AR22" s="12">
        <f t="shared" si="6"/>
        <v>100</v>
      </c>
      <c r="AS22" s="6">
        <v>0</v>
      </c>
      <c r="AT22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 t="s">
        <v>44</v>
      </c>
      <c r="BF22" s="6" t="s">
        <v>44</v>
      </c>
      <c r="BG22" s="6" t="s">
        <v>44</v>
      </c>
      <c r="BH22" s="6" t="s">
        <v>44</v>
      </c>
      <c r="BI22" s="6" t="s">
        <v>44</v>
      </c>
      <c r="BJ22" s="6" t="s">
        <v>44</v>
      </c>
      <c r="BK22" s="6">
        <v>0</v>
      </c>
      <c r="BL22" s="6">
        <f t="shared" si="4"/>
        <v>0</v>
      </c>
      <c r="BM22" s="6">
        <f t="shared" si="5"/>
        <v>0</v>
      </c>
      <c r="BN22">
        <v>2</v>
      </c>
      <c r="BO22">
        <f t="shared" si="8"/>
        <v>2</v>
      </c>
      <c r="BP22">
        <v>0</v>
      </c>
      <c r="BQ22">
        <f>SUM(BP22,BB22,BK22)</f>
        <v>0</v>
      </c>
      <c r="BR22">
        <f t="shared" si="3"/>
        <v>0</v>
      </c>
    </row>
    <row r="23" spans="1:70" hidden="1">
      <c r="A23" s="43" t="str">
        <f t="shared" si="0"/>
        <v>SB_2024_NPZ_1_2</v>
      </c>
      <c r="B23" t="s">
        <v>40</v>
      </c>
      <c r="C23">
        <v>43.3339</v>
      </c>
      <c r="D23">
        <v>-124.3767</v>
      </c>
      <c r="E23" s="8">
        <v>45438</v>
      </c>
      <c r="F23">
        <v>2024</v>
      </c>
      <c r="G23" t="s">
        <v>41</v>
      </c>
      <c r="H23" s="10" t="s">
        <v>48</v>
      </c>
      <c r="I23" s="10">
        <v>1</v>
      </c>
      <c r="J23" s="10">
        <v>2</v>
      </c>
      <c r="K23" t="s">
        <v>83</v>
      </c>
      <c r="L23" s="23">
        <v>36</v>
      </c>
      <c r="M23" s="23">
        <v>26</v>
      </c>
      <c r="N23" s="23">
        <v>2</v>
      </c>
      <c r="O23" s="23">
        <v>8</v>
      </c>
      <c r="P23" s="23">
        <v>2</v>
      </c>
      <c r="Q23" s="22" t="s">
        <v>44</v>
      </c>
      <c r="R23" s="22" t="s">
        <v>44</v>
      </c>
      <c r="S23" s="22">
        <v>0</v>
      </c>
      <c r="T23" s="23">
        <v>3</v>
      </c>
      <c r="U23" s="23">
        <v>31</v>
      </c>
      <c r="V23" s="18">
        <v>5.9</v>
      </c>
      <c r="W23" s="18">
        <v>5.4</v>
      </c>
      <c r="X23" s="18">
        <v>7.1</v>
      </c>
      <c r="Y23" s="18">
        <v>5.4</v>
      </c>
      <c r="Z23" s="18">
        <v>2.7</v>
      </c>
      <c r="AA23" s="15">
        <v>0</v>
      </c>
      <c r="AB23" s="15">
        <v>2</v>
      </c>
      <c r="AC23" s="15">
        <v>0</v>
      </c>
      <c r="AD23" s="15">
        <v>1</v>
      </c>
      <c r="AE23" s="15">
        <v>0</v>
      </c>
      <c r="AF23" s="11">
        <f t="shared" si="7"/>
        <v>3</v>
      </c>
      <c r="AG23" s="32"/>
      <c r="AH23">
        <v>0</v>
      </c>
      <c r="AI23">
        <v>2</v>
      </c>
      <c r="AJ23">
        <v>0</v>
      </c>
      <c r="AK23">
        <v>0</v>
      </c>
      <c r="AL23">
        <v>12</v>
      </c>
      <c r="AM23">
        <v>2</v>
      </c>
      <c r="AN23">
        <v>1</v>
      </c>
      <c r="AO23">
        <v>0</v>
      </c>
      <c r="AP23">
        <v>83</v>
      </c>
      <c r="AQ23" s="21">
        <f t="shared" si="1"/>
        <v>83</v>
      </c>
      <c r="AR23" s="12">
        <f t="shared" si="6"/>
        <v>100</v>
      </c>
      <c r="AS23" s="6">
        <v>0</v>
      </c>
      <c r="AT23">
        <v>0</v>
      </c>
      <c r="AU23" s="6">
        <v>0</v>
      </c>
      <c r="AV23" s="6">
        <v>0</v>
      </c>
      <c r="AW23" s="6">
        <v>0</v>
      </c>
      <c r="AX23" s="6">
        <v>0</v>
      </c>
      <c r="AY23">
        <v>1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 t="s">
        <v>44</v>
      </c>
      <c r="BF23" s="6" t="s">
        <v>44</v>
      </c>
      <c r="BG23" s="6" t="s">
        <v>44</v>
      </c>
      <c r="BH23" s="6" t="s">
        <v>44</v>
      </c>
      <c r="BI23" s="6" t="s">
        <v>44</v>
      </c>
      <c r="BJ23" s="6" t="s">
        <v>44</v>
      </c>
      <c r="BK23" s="6">
        <v>0</v>
      </c>
      <c r="BL23" s="6">
        <f t="shared" si="4"/>
        <v>1</v>
      </c>
      <c r="BM23" s="6">
        <f t="shared" si="5"/>
        <v>1</v>
      </c>
      <c r="BN23">
        <v>2</v>
      </c>
      <c r="BO23">
        <f t="shared" si="8"/>
        <v>2</v>
      </c>
      <c r="BP23">
        <v>0</v>
      </c>
      <c r="BQ23">
        <f>SUM(BP23,BB23,BK23)</f>
        <v>0</v>
      </c>
      <c r="BR23">
        <f t="shared" si="3"/>
        <v>0</v>
      </c>
    </row>
    <row r="24" spans="1:70" hidden="1">
      <c r="A24" s="43" t="str">
        <f t="shared" si="0"/>
        <v>SB_2024_NPZ_1_3</v>
      </c>
      <c r="B24" t="s">
        <v>40</v>
      </c>
      <c r="C24">
        <v>43.3339</v>
      </c>
      <c r="D24">
        <v>-124.3767</v>
      </c>
      <c r="E24" s="8">
        <v>45438</v>
      </c>
      <c r="F24">
        <v>2024</v>
      </c>
      <c r="G24" t="s">
        <v>41</v>
      </c>
      <c r="H24" s="10" t="s">
        <v>48</v>
      </c>
      <c r="I24" s="10">
        <v>1</v>
      </c>
      <c r="J24" s="10">
        <v>3</v>
      </c>
      <c r="K24" t="s">
        <v>46</v>
      </c>
      <c r="L24" s="23">
        <v>35</v>
      </c>
      <c r="M24" s="23">
        <v>29</v>
      </c>
      <c r="N24" s="23">
        <v>4</v>
      </c>
      <c r="O24" s="23">
        <v>2</v>
      </c>
      <c r="P24" s="23">
        <v>0</v>
      </c>
      <c r="Q24" s="22" t="s">
        <v>44</v>
      </c>
      <c r="R24" s="22" t="s">
        <v>44</v>
      </c>
      <c r="S24" s="22">
        <v>0</v>
      </c>
      <c r="T24" s="23">
        <v>1</v>
      </c>
      <c r="U24" s="23">
        <v>30</v>
      </c>
      <c r="V24" s="18">
        <v>4.2</v>
      </c>
      <c r="W24" s="18">
        <v>5.6</v>
      </c>
      <c r="X24" s="18">
        <v>4.5999999999999996</v>
      </c>
      <c r="Y24" s="18">
        <v>5.7</v>
      </c>
      <c r="Z24" s="18">
        <v>5.5</v>
      </c>
      <c r="AA24" s="15">
        <v>0</v>
      </c>
      <c r="AB24" s="15">
        <v>0</v>
      </c>
      <c r="AC24" s="15">
        <v>0</v>
      </c>
      <c r="AD24" s="15">
        <v>1</v>
      </c>
      <c r="AE24" s="15">
        <v>0</v>
      </c>
      <c r="AF24" s="11">
        <f t="shared" si="7"/>
        <v>1</v>
      </c>
      <c r="AG24" s="32"/>
      <c r="AH24">
        <v>0</v>
      </c>
      <c r="AI24">
        <v>10</v>
      </c>
      <c r="AJ24">
        <v>0</v>
      </c>
      <c r="AK24">
        <v>0</v>
      </c>
      <c r="AL24">
        <v>32</v>
      </c>
      <c r="AM24">
        <v>5</v>
      </c>
      <c r="AN24">
        <v>1</v>
      </c>
      <c r="AO24">
        <v>0</v>
      </c>
      <c r="AP24">
        <v>52</v>
      </c>
      <c r="AQ24" s="21">
        <f t="shared" si="1"/>
        <v>52</v>
      </c>
      <c r="AR24" s="12">
        <f t="shared" si="6"/>
        <v>100</v>
      </c>
      <c r="AS24">
        <v>20</v>
      </c>
      <c r="AT24">
        <v>0</v>
      </c>
      <c r="AU24" s="6">
        <v>0</v>
      </c>
      <c r="AV24" s="6">
        <v>20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 t="s">
        <v>44</v>
      </c>
      <c r="BF24" s="6" t="s">
        <v>44</v>
      </c>
      <c r="BG24" s="6" t="s">
        <v>44</v>
      </c>
      <c r="BH24" s="6" t="s">
        <v>44</v>
      </c>
      <c r="BI24" s="6" t="s">
        <v>44</v>
      </c>
      <c r="BJ24" s="6" t="s">
        <v>44</v>
      </c>
      <c r="BK24" s="6">
        <v>0</v>
      </c>
      <c r="BL24" s="6">
        <f t="shared" si="4"/>
        <v>40</v>
      </c>
      <c r="BM24" s="6">
        <f t="shared" si="5"/>
        <v>40</v>
      </c>
      <c r="BN24">
        <v>10</v>
      </c>
      <c r="BO24">
        <f t="shared" si="8"/>
        <v>10</v>
      </c>
      <c r="BP24">
        <v>0</v>
      </c>
      <c r="BQ24">
        <f>SUM(BP24,BB24,BK24)</f>
        <v>0</v>
      </c>
      <c r="BR24">
        <f t="shared" si="3"/>
        <v>0</v>
      </c>
    </row>
    <row r="25" spans="1:70" hidden="1">
      <c r="A25" s="43" t="str">
        <f t="shared" si="0"/>
        <v>SB_2024_NPZ_1_4</v>
      </c>
      <c r="B25" t="s">
        <v>40</v>
      </c>
      <c r="C25">
        <v>43.3339</v>
      </c>
      <c r="D25">
        <v>-124.3767</v>
      </c>
      <c r="E25" s="8">
        <v>45438</v>
      </c>
      <c r="F25">
        <v>2024</v>
      </c>
      <c r="G25" t="s">
        <v>41</v>
      </c>
      <c r="H25" s="10" t="s">
        <v>48</v>
      </c>
      <c r="I25" s="10">
        <v>1</v>
      </c>
      <c r="J25" s="10">
        <v>4</v>
      </c>
      <c r="K25" t="s">
        <v>90</v>
      </c>
      <c r="L25" s="23">
        <v>2</v>
      </c>
      <c r="M25" s="23">
        <v>2</v>
      </c>
      <c r="N25" s="23">
        <v>0</v>
      </c>
      <c r="O25" s="23">
        <v>0</v>
      </c>
      <c r="P25" s="23">
        <v>0</v>
      </c>
      <c r="Q25" s="22" t="s">
        <v>44</v>
      </c>
      <c r="R25" s="22" t="s">
        <v>44</v>
      </c>
      <c r="S25" s="22">
        <v>0</v>
      </c>
      <c r="T25" s="23">
        <v>0</v>
      </c>
      <c r="U25" s="23">
        <v>2</v>
      </c>
      <c r="V25" s="18">
        <v>1.9</v>
      </c>
      <c r="W25" s="18">
        <v>2.8</v>
      </c>
      <c r="X25" s="18">
        <v>4</v>
      </c>
      <c r="Y25" s="18">
        <v>3.8</v>
      </c>
      <c r="Z25" s="18">
        <v>3.3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1">
        <f t="shared" si="7"/>
        <v>0</v>
      </c>
      <c r="AG25" s="32"/>
      <c r="AH25">
        <v>4</v>
      </c>
      <c r="AI25">
        <v>35</v>
      </c>
      <c r="AJ25">
        <v>3</v>
      </c>
      <c r="AK25">
        <v>0</v>
      </c>
      <c r="AL25">
        <v>3</v>
      </c>
      <c r="AM25">
        <v>0</v>
      </c>
      <c r="AN25">
        <v>0</v>
      </c>
      <c r="AO25">
        <v>0</v>
      </c>
      <c r="AP25">
        <v>55</v>
      </c>
      <c r="AQ25" s="21">
        <f t="shared" si="1"/>
        <v>55</v>
      </c>
      <c r="AR25" s="12">
        <f t="shared" si="6"/>
        <v>100</v>
      </c>
      <c r="AS25">
        <v>3</v>
      </c>
      <c r="AT25">
        <v>10</v>
      </c>
      <c r="AU25" s="6">
        <v>0</v>
      </c>
      <c r="AV25">
        <v>14</v>
      </c>
      <c r="AW25" s="6">
        <v>0</v>
      </c>
      <c r="AX25" s="6">
        <v>0</v>
      </c>
      <c r="AY25">
        <v>14</v>
      </c>
      <c r="AZ25" s="6">
        <v>0</v>
      </c>
      <c r="BA25">
        <v>5</v>
      </c>
      <c r="BB25" s="6">
        <v>0</v>
      </c>
      <c r="BC25" s="6">
        <v>0</v>
      </c>
      <c r="BD25" s="6">
        <v>0</v>
      </c>
      <c r="BE25" s="6" t="s">
        <v>44</v>
      </c>
      <c r="BF25" s="6" t="s">
        <v>44</v>
      </c>
      <c r="BG25" s="6" t="s">
        <v>44</v>
      </c>
      <c r="BH25" s="6" t="s">
        <v>44</v>
      </c>
      <c r="BI25" s="6" t="s">
        <v>44</v>
      </c>
      <c r="BJ25" s="6" t="s">
        <v>44</v>
      </c>
      <c r="BK25" s="6">
        <v>0</v>
      </c>
      <c r="BL25" s="6">
        <f t="shared" si="4"/>
        <v>46</v>
      </c>
      <c r="BM25" s="6">
        <f t="shared" si="5"/>
        <v>46</v>
      </c>
      <c r="BN25">
        <v>35</v>
      </c>
      <c r="BO25">
        <f t="shared" si="8"/>
        <v>35</v>
      </c>
      <c r="BP25">
        <v>3</v>
      </c>
      <c r="BQ25">
        <f>SUM(BP25,BB25,BK25)</f>
        <v>3</v>
      </c>
      <c r="BR25">
        <f t="shared" si="3"/>
        <v>0</v>
      </c>
    </row>
    <row r="26" spans="1:70" hidden="1">
      <c r="A26" s="43" t="str">
        <f t="shared" si="0"/>
        <v>SB_2024_NPZ_1_5</v>
      </c>
      <c r="B26" t="s">
        <v>40</v>
      </c>
      <c r="C26">
        <v>43.3339</v>
      </c>
      <c r="D26">
        <v>-124.3767</v>
      </c>
      <c r="E26" s="8">
        <v>45438</v>
      </c>
      <c r="F26">
        <v>2024</v>
      </c>
      <c r="G26" t="s">
        <v>41</v>
      </c>
      <c r="H26" s="10" t="s">
        <v>48</v>
      </c>
      <c r="I26" s="10">
        <v>1</v>
      </c>
      <c r="J26" s="6">
        <v>5</v>
      </c>
      <c r="K26" t="s">
        <v>83</v>
      </c>
      <c r="L26" s="23">
        <v>23</v>
      </c>
      <c r="M26" s="23">
        <v>23</v>
      </c>
      <c r="N26" s="23">
        <v>0</v>
      </c>
      <c r="O26" s="23">
        <v>0</v>
      </c>
      <c r="P26" s="23">
        <v>0</v>
      </c>
      <c r="Q26" s="22" t="s">
        <v>44</v>
      </c>
      <c r="R26" s="22" t="s">
        <v>44</v>
      </c>
      <c r="S26" s="22">
        <v>0</v>
      </c>
      <c r="T26" s="23">
        <v>5</v>
      </c>
      <c r="U26" s="23">
        <v>28</v>
      </c>
      <c r="V26" s="18">
        <v>4.5999999999999996</v>
      </c>
      <c r="W26" s="18">
        <v>5.4</v>
      </c>
      <c r="X26" s="18">
        <v>3.8</v>
      </c>
      <c r="Y26" s="18">
        <v>4.0999999999999996</v>
      </c>
      <c r="Z26" s="18">
        <v>3.6</v>
      </c>
      <c r="AA26" s="15">
        <v>0</v>
      </c>
      <c r="AB26" s="15">
        <v>0</v>
      </c>
      <c r="AC26" s="15">
        <v>0</v>
      </c>
      <c r="AD26" s="15">
        <v>1</v>
      </c>
      <c r="AE26" s="15">
        <v>0</v>
      </c>
      <c r="AF26" s="11">
        <f t="shared" si="7"/>
        <v>1</v>
      </c>
      <c r="AG26" s="32"/>
      <c r="AH26">
        <v>0.1</v>
      </c>
      <c r="AI26">
        <v>23</v>
      </c>
      <c r="AJ26">
        <v>0</v>
      </c>
      <c r="AK26">
        <v>0</v>
      </c>
      <c r="AL26">
        <v>11</v>
      </c>
      <c r="AM26">
        <v>0</v>
      </c>
      <c r="AN26">
        <v>0</v>
      </c>
      <c r="AO26">
        <v>1</v>
      </c>
      <c r="AP26">
        <v>65</v>
      </c>
      <c r="AQ26" s="21">
        <f t="shared" si="1"/>
        <v>65</v>
      </c>
      <c r="AR26" s="12">
        <f t="shared" si="6"/>
        <v>100.1</v>
      </c>
      <c r="AS26">
        <v>11</v>
      </c>
      <c r="AT26">
        <v>0</v>
      </c>
      <c r="AU26" s="6">
        <v>0</v>
      </c>
      <c r="AV26" s="6">
        <v>9</v>
      </c>
      <c r="AW26" s="6">
        <v>0</v>
      </c>
      <c r="AX26">
        <v>1</v>
      </c>
      <c r="AY26">
        <v>6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 t="s">
        <v>44</v>
      </c>
      <c r="BF26" s="6" t="s">
        <v>44</v>
      </c>
      <c r="BG26" s="6" t="s">
        <v>44</v>
      </c>
      <c r="BH26" s="6" t="s">
        <v>44</v>
      </c>
      <c r="BI26" s="6" t="s">
        <v>44</v>
      </c>
      <c r="BJ26" s="6" t="s">
        <v>44</v>
      </c>
      <c r="BK26" s="6">
        <v>0</v>
      </c>
      <c r="BL26" s="6">
        <f t="shared" si="4"/>
        <v>27</v>
      </c>
      <c r="BM26" s="6">
        <f t="shared" si="5"/>
        <v>27</v>
      </c>
      <c r="BN26">
        <v>23</v>
      </c>
      <c r="BO26">
        <f t="shared" si="8"/>
        <v>23</v>
      </c>
      <c r="BP26">
        <v>0</v>
      </c>
      <c r="BQ26">
        <f>SUM(BP26,BB26,BK26)</f>
        <v>0</v>
      </c>
      <c r="BR26">
        <f t="shared" si="3"/>
        <v>0</v>
      </c>
    </row>
    <row r="27" spans="1:70" hidden="1">
      <c r="A27" s="43" t="str">
        <f t="shared" si="0"/>
        <v>SB_2024_NPZ_2_1</v>
      </c>
      <c r="B27" t="s">
        <v>40</v>
      </c>
      <c r="C27">
        <v>43.3339</v>
      </c>
      <c r="D27">
        <v>-124.3767</v>
      </c>
      <c r="E27" s="8">
        <v>45438</v>
      </c>
      <c r="F27">
        <v>2024</v>
      </c>
      <c r="G27" t="s">
        <v>41</v>
      </c>
      <c r="H27" s="10" t="s">
        <v>48</v>
      </c>
      <c r="I27" s="6">
        <v>2</v>
      </c>
      <c r="J27" s="6">
        <v>1</v>
      </c>
      <c r="K27" t="s">
        <v>46</v>
      </c>
      <c r="L27" s="23">
        <v>29</v>
      </c>
      <c r="M27" s="23">
        <v>20</v>
      </c>
      <c r="N27" s="23">
        <v>8</v>
      </c>
      <c r="O27" s="23">
        <v>1</v>
      </c>
      <c r="P27" s="23">
        <v>0</v>
      </c>
      <c r="Q27" s="22" t="s">
        <v>44</v>
      </c>
      <c r="R27" s="22" t="s">
        <v>44</v>
      </c>
      <c r="S27" s="22">
        <v>0</v>
      </c>
      <c r="T27" s="23">
        <v>0</v>
      </c>
      <c r="U27" s="23">
        <v>27</v>
      </c>
      <c r="V27" s="18">
        <v>4.2</v>
      </c>
      <c r="W27" s="18">
        <v>5.3</v>
      </c>
      <c r="X27" s="18">
        <v>4.2</v>
      </c>
      <c r="Y27" s="18">
        <v>4.5</v>
      </c>
      <c r="Z27" s="18">
        <v>3.5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1">
        <f t="shared" si="7"/>
        <v>0</v>
      </c>
      <c r="AG27" s="32"/>
      <c r="AH27">
        <v>1</v>
      </c>
      <c r="AI27">
        <v>40</v>
      </c>
      <c r="AJ27">
        <v>0</v>
      </c>
      <c r="AK27">
        <v>0</v>
      </c>
      <c r="AL27">
        <v>8</v>
      </c>
      <c r="AM27">
        <v>4</v>
      </c>
      <c r="AN27">
        <v>4</v>
      </c>
      <c r="AO27">
        <v>0</v>
      </c>
      <c r="AP27">
        <v>43</v>
      </c>
      <c r="AQ27" s="21">
        <f t="shared" si="1"/>
        <v>43</v>
      </c>
      <c r="AR27" s="12">
        <f t="shared" si="6"/>
        <v>100</v>
      </c>
      <c r="AS27">
        <v>0</v>
      </c>
      <c r="AT27">
        <v>0</v>
      </c>
      <c r="AU27" s="6">
        <v>0</v>
      </c>
      <c r="AV27" s="6">
        <v>0</v>
      </c>
      <c r="AW27" s="6">
        <v>0</v>
      </c>
      <c r="AX27">
        <v>20</v>
      </c>
      <c r="AY27">
        <v>0.1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 t="s">
        <v>44</v>
      </c>
      <c r="BF27" s="6" t="s">
        <v>44</v>
      </c>
      <c r="BG27" s="6" t="s">
        <v>44</v>
      </c>
      <c r="BH27" s="6" t="s">
        <v>44</v>
      </c>
      <c r="BI27" s="6" t="s">
        <v>44</v>
      </c>
      <c r="BJ27" s="6" t="s">
        <v>44</v>
      </c>
      <c r="BK27" s="6">
        <v>0</v>
      </c>
      <c r="BL27" s="6">
        <f t="shared" si="4"/>
        <v>20.100000000000001</v>
      </c>
      <c r="BM27" s="6">
        <f t="shared" si="5"/>
        <v>20.100000000000001</v>
      </c>
      <c r="BN27">
        <v>40</v>
      </c>
      <c r="BO27">
        <f t="shared" si="8"/>
        <v>40</v>
      </c>
      <c r="BP27">
        <v>0</v>
      </c>
      <c r="BQ27">
        <f>SUM(BP27,BB27,BK27)</f>
        <v>0</v>
      </c>
      <c r="BR27">
        <f t="shared" si="3"/>
        <v>0</v>
      </c>
    </row>
    <row r="28" spans="1:70" hidden="1">
      <c r="A28" s="43" t="str">
        <f t="shared" si="0"/>
        <v>SB_2024_NPZ_2_2</v>
      </c>
      <c r="B28" t="s">
        <v>40</v>
      </c>
      <c r="C28">
        <v>43.3339</v>
      </c>
      <c r="D28">
        <v>-124.3767</v>
      </c>
      <c r="E28" s="8">
        <v>45438</v>
      </c>
      <c r="F28">
        <v>2024</v>
      </c>
      <c r="G28" t="s">
        <v>41</v>
      </c>
      <c r="H28" s="10" t="s">
        <v>48</v>
      </c>
      <c r="I28" s="6">
        <v>2</v>
      </c>
      <c r="J28" s="6">
        <v>2</v>
      </c>
      <c r="K28" t="s">
        <v>46</v>
      </c>
      <c r="L28" s="23">
        <v>53</v>
      </c>
      <c r="M28" s="23">
        <v>48</v>
      </c>
      <c r="N28" s="23">
        <v>5</v>
      </c>
      <c r="O28" s="23">
        <v>0</v>
      </c>
      <c r="P28" s="23">
        <v>0</v>
      </c>
      <c r="Q28" s="22" t="s">
        <v>44</v>
      </c>
      <c r="R28" s="22" t="s">
        <v>44</v>
      </c>
      <c r="S28" s="22">
        <v>0</v>
      </c>
      <c r="T28" s="23">
        <v>2</v>
      </c>
      <c r="U28" s="23">
        <v>50</v>
      </c>
      <c r="V28" s="18">
        <v>3.2</v>
      </c>
      <c r="W28" s="18">
        <v>3.3</v>
      </c>
      <c r="X28" s="18">
        <v>4.3</v>
      </c>
      <c r="Y28" s="18">
        <v>3.5</v>
      </c>
      <c r="Z28" s="18">
        <v>5.2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1">
        <f t="shared" si="7"/>
        <v>0</v>
      </c>
      <c r="AG28" s="32"/>
      <c r="AH28">
        <v>0</v>
      </c>
      <c r="AI28">
        <v>15</v>
      </c>
      <c r="AJ28">
        <v>0</v>
      </c>
      <c r="AK28">
        <v>0</v>
      </c>
      <c r="AL28">
        <v>14</v>
      </c>
      <c r="AM28">
        <v>1</v>
      </c>
      <c r="AN28">
        <v>0</v>
      </c>
      <c r="AO28">
        <v>0</v>
      </c>
      <c r="AP28">
        <v>70</v>
      </c>
      <c r="AQ28" s="21">
        <f t="shared" si="1"/>
        <v>70</v>
      </c>
      <c r="AR28" s="12">
        <f t="shared" si="6"/>
        <v>100</v>
      </c>
      <c r="AS28">
        <v>0</v>
      </c>
      <c r="AT28">
        <v>0</v>
      </c>
      <c r="AU28" s="6">
        <v>0</v>
      </c>
      <c r="AV28" s="6">
        <v>0</v>
      </c>
      <c r="AW28" s="6">
        <v>0</v>
      </c>
      <c r="AX28" s="6">
        <v>0</v>
      </c>
      <c r="AY28">
        <v>0.1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 t="s">
        <v>44</v>
      </c>
      <c r="BF28" s="6" t="s">
        <v>44</v>
      </c>
      <c r="BG28" s="6" t="s">
        <v>44</v>
      </c>
      <c r="BH28" s="6" t="s">
        <v>44</v>
      </c>
      <c r="BI28" s="6" t="s">
        <v>44</v>
      </c>
      <c r="BJ28" s="6" t="s">
        <v>44</v>
      </c>
      <c r="BK28" s="6">
        <v>0</v>
      </c>
      <c r="BL28" s="6">
        <f t="shared" si="4"/>
        <v>0.1</v>
      </c>
      <c r="BM28" s="6">
        <f t="shared" si="5"/>
        <v>0.1</v>
      </c>
      <c r="BN28">
        <v>15</v>
      </c>
      <c r="BO28">
        <f t="shared" si="8"/>
        <v>15</v>
      </c>
      <c r="BP28">
        <v>0</v>
      </c>
      <c r="BQ28">
        <f>SUM(BP28,BB28,BK28)</f>
        <v>0</v>
      </c>
      <c r="BR28">
        <f t="shared" si="3"/>
        <v>0</v>
      </c>
    </row>
    <row r="29" spans="1:70" hidden="1">
      <c r="A29" s="43" t="str">
        <f t="shared" si="0"/>
        <v>SB_2024_NPZ_2_3</v>
      </c>
      <c r="B29" t="s">
        <v>40</v>
      </c>
      <c r="C29">
        <v>43.3339</v>
      </c>
      <c r="D29">
        <v>-124.3767</v>
      </c>
      <c r="E29" s="8">
        <v>45438</v>
      </c>
      <c r="F29">
        <v>2024</v>
      </c>
      <c r="G29" t="s">
        <v>41</v>
      </c>
      <c r="H29" s="10" t="s">
        <v>48</v>
      </c>
      <c r="I29" s="6">
        <v>2</v>
      </c>
      <c r="J29" s="6">
        <v>3</v>
      </c>
      <c r="K29" t="s">
        <v>46</v>
      </c>
      <c r="L29" s="23">
        <v>28</v>
      </c>
      <c r="M29" s="23">
        <v>21</v>
      </c>
      <c r="N29" s="23">
        <v>6</v>
      </c>
      <c r="O29" s="23">
        <v>1</v>
      </c>
      <c r="P29" s="23">
        <v>3</v>
      </c>
      <c r="Q29" s="22" t="s">
        <v>44</v>
      </c>
      <c r="R29" s="22" t="s">
        <v>44</v>
      </c>
      <c r="S29" s="22">
        <v>0</v>
      </c>
      <c r="T29" s="23">
        <v>3</v>
      </c>
      <c r="U29" s="23">
        <v>24</v>
      </c>
      <c r="V29" s="18">
        <v>3</v>
      </c>
      <c r="W29" s="18">
        <v>4</v>
      </c>
      <c r="X29" s="18">
        <v>4.5999999999999996</v>
      </c>
      <c r="Y29" s="18">
        <v>3.6</v>
      </c>
      <c r="Z29" s="18">
        <v>4.4000000000000004</v>
      </c>
      <c r="AA29" s="15">
        <v>1</v>
      </c>
      <c r="AB29" s="15">
        <v>0</v>
      </c>
      <c r="AC29" s="15">
        <v>0</v>
      </c>
      <c r="AD29" s="15">
        <v>1</v>
      </c>
      <c r="AE29" s="15">
        <v>0</v>
      </c>
      <c r="AF29" s="11">
        <f t="shared" si="7"/>
        <v>2</v>
      </c>
      <c r="AG29" s="32"/>
      <c r="AH29">
        <v>1</v>
      </c>
      <c r="AI29">
        <v>25</v>
      </c>
      <c r="AJ29">
        <v>0</v>
      </c>
      <c r="AK29">
        <v>0</v>
      </c>
      <c r="AL29">
        <v>24</v>
      </c>
      <c r="AM29">
        <v>6</v>
      </c>
      <c r="AN29">
        <v>0</v>
      </c>
      <c r="AO29">
        <v>9</v>
      </c>
      <c r="AP29">
        <v>35</v>
      </c>
      <c r="AQ29" s="21">
        <f t="shared" si="1"/>
        <v>35</v>
      </c>
      <c r="AR29" s="12">
        <f t="shared" si="6"/>
        <v>100</v>
      </c>
      <c r="AS29">
        <v>0</v>
      </c>
      <c r="AT29">
        <v>0</v>
      </c>
      <c r="AU29" s="6">
        <v>0</v>
      </c>
      <c r="AV29" s="6">
        <v>0</v>
      </c>
      <c r="AW29" s="6">
        <v>0</v>
      </c>
      <c r="AX29">
        <v>0.1</v>
      </c>
      <c r="AY29">
        <v>6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 t="s">
        <v>44</v>
      </c>
      <c r="BF29" s="6" t="s">
        <v>44</v>
      </c>
      <c r="BG29" s="6" t="s">
        <v>44</v>
      </c>
      <c r="BH29" s="6" t="s">
        <v>44</v>
      </c>
      <c r="BI29" s="6" t="s">
        <v>44</v>
      </c>
      <c r="BJ29" s="6" t="s">
        <v>44</v>
      </c>
      <c r="BK29" s="6">
        <v>0</v>
      </c>
      <c r="BL29" s="6">
        <f t="shared" si="4"/>
        <v>6.1</v>
      </c>
      <c r="BM29" s="6">
        <f t="shared" si="5"/>
        <v>6.1</v>
      </c>
      <c r="BN29">
        <v>25</v>
      </c>
      <c r="BO29">
        <f t="shared" si="8"/>
        <v>25</v>
      </c>
      <c r="BP29">
        <v>0</v>
      </c>
      <c r="BQ29">
        <f>SUM(BP29,BB29,BK29)</f>
        <v>0</v>
      </c>
      <c r="BR29">
        <f t="shared" si="3"/>
        <v>0</v>
      </c>
    </row>
    <row r="30" spans="1:70" hidden="1">
      <c r="A30" s="43" t="str">
        <f t="shared" si="0"/>
        <v>SB_2024_NPZ_2_4</v>
      </c>
      <c r="B30" t="s">
        <v>40</v>
      </c>
      <c r="C30">
        <v>43.3339</v>
      </c>
      <c r="D30">
        <v>-124.3767</v>
      </c>
      <c r="E30" s="8">
        <v>45438</v>
      </c>
      <c r="F30">
        <v>2024</v>
      </c>
      <c r="G30" t="s">
        <v>41</v>
      </c>
      <c r="H30" s="10" t="s">
        <v>48</v>
      </c>
      <c r="I30" s="6">
        <v>2</v>
      </c>
      <c r="J30" s="6">
        <v>4</v>
      </c>
      <c r="K30" t="s">
        <v>46</v>
      </c>
      <c r="L30" s="23">
        <v>28</v>
      </c>
      <c r="M30" s="23">
        <v>23</v>
      </c>
      <c r="N30" s="23">
        <v>4</v>
      </c>
      <c r="O30" s="23">
        <v>1</v>
      </c>
      <c r="P30" s="23">
        <v>0</v>
      </c>
      <c r="Q30" s="22" t="s">
        <v>44</v>
      </c>
      <c r="R30" s="22" t="s">
        <v>44</v>
      </c>
      <c r="S30" s="22">
        <v>0</v>
      </c>
      <c r="T30" s="23">
        <v>2</v>
      </c>
      <c r="U30" s="23">
        <v>22</v>
      </c>
      <c r="V30" s="18">
        <v>5.4</v>
      </c>
      <c r="W30" s="18">
        <v>6.1</v>
      </c>
      <c r="X30" s="18">
        <v>5.7</v>
      </c>
      <c r="Y30" s="18">
        <v>5.6</v>
      </c>
      <c r="Z30" s="18">
        <v>6.3</v>
      </c>
      <c r="AA30" s="15">
        <v>0</v>
      </c>
      <c r="AB30" s="15">
        <v>0</v>
      </c>
      <c r="AC30" s="15">
        <v>0</v>
      </c>
      <c r="AD30" s="15">
        <v>2</v>
      </c>
      <c r="AE30" s="15">
        <v>0</v>
      </c>
      <c r="AF30" s="11">
        <f t="shared" si="7"/>
        <v>2</v>
      </c>
      <c r="AG30" s="32"/>
      <c r="AH30">
        <v>0</v>
      </c>
      <c r="AI30">
        <v>10</v>
      </c>
      <c r="AJ30">
        <v>0</v>
      </c>
      <c r="AK30">
        <v>0</v>
      </c>
      <c r="AL30">
        <v>12</v>
      </c>
      <c r="AM30">
        <v>3</v>
      </c>
      <c r="AN30">
        <v>0</v>
      </c>
      <c r="AO30">
        <v>7</v>
      </c>
      <c r="AP30">
        <v>68</v>
      </c>
      <c r="AQ30" s="21">
        <f t="shared" si="1"/>
        <v>68</v>
      </c>
      <c r="AR30" s="12">
        <f t="shared" si="6"/>
        <v>100</v>
      </c>
      <c r="AS30">
        <v>0</v>
      </c>
      <c r="AT30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 t="s">
        <v>44</v>
      </c>
      <c r="BF30" s="6" t="s">
        <v>44</v>
      </c>
      <c r="BG30" s="6" t="s">
        <v>44</v>
      </c>
      <c r="BH30" s="6" t="s">
        <v>44</v>
      </c>
      <c r="BI30" s="6" t="s">
        <v>44</v>
      </c>
      <c r="BJ30" s="6" t="s">
        <v>44</v>
      </c>
      <c r="BK30" s="6">
        <v>0</v>
      </c>
      <c r="BL30" s="6">
        <f t="shared" si="4"/>
        <v>0</v>
      </c>
      <c r="BM30" s="6">
        <f t="shared" si="5"/>
        <v>0</v>
      </c>
      <c r="BN30">
        <v>10</v>
      </c>
      <c r="BO30">
        <f t="shared" si="8"/>
        <v>10</v>
      </c>
      <c r="BP30">
        <v>0</v>
      </c>
      <c r="BQ30">
        <f>SUM(BP30,BB30,BK30)</f>
        <v>0</v>
      </c>
      <c r="BR30">
        <f t="shared" si="3"/>
        <v>0</v>
      </c>
    </row>
    <row r="31" spans="1:70" hidden="1">
      <c r="A31" s="43" t="str">
        <f t="shared" si="0"/>
        <v>SB_2024_NPZ_2_5</v>
      </c>
      <c r="B31" t="s">
        <v>40</v>
      </c>
      <c r="C31">
        <v>43.3339</v>
      </c>
      <c r="D31">
        <v>-124.3767</v>
      </c>
      <c r="E31" s="8">
        <v>45438</v>
      </c>
      <c r="F31">
        <v>2024</v>
      </c>
      <c r="G31" t="s">
        <v>41</v>
      </c>
      <c r="H31" s="10" t="s">
        <v>48</v>
      </c>
      <c r="I31" s="6">
        <v>2</v>
      </c>
      <c r="J31" s="6">
        <v>5</v>
      </c>
      <c r="K31" t="s">
        <v>46</v>
      </c>
      <c r="L31" s="23">
        <v>20</v>
      </c>
      <c r="M31" s="23">
        <v>17</v>
      </c>
      <c r="N31" s="23">
        <v>3</v>
      </c>
      <c r="O31" s="23">
        <v>0</v>
      </c>
      <c r="P31" s="23">
        <v>0</v>
      </c>
      <c r="Q31" s="22" t="s">
        <v>44</v>
      </c>
      <c r="R31" s="22" t="s">
        <v>44</v>
      </c>
      <c r="S31" s="22">
        <v>0</v>
      </c>
      <c r="T31" s="23">
        <v>0</v>
      </c>
      <c r="U31" s="23">
        <v>17</v>
      </c>
      <c r="V31" s="18">
        <v>3.5</v>
      </c>
      <c r="W31" s="18">
        <v>4.4000000000000004</v>
      </c>
      <c r="X31" s="18">
        <v>3.4</v>
      </c>
      <c r="Y31" s="18">
        <v>3.9</v>
      </c>
      <c r="Z31" s="18">
        <v>4</v>
      </c>
      <c r="AA31" s="15">
        <v>0</v>
      </c>
      <c r="AB31" s="15">
        <v>0</v>
      </c>
      <c r="AC31" s="15">
        <v>0</v>
      </c>
      <c r="AD31" s="15">
        <v>1</v>
      </c>
      <c r="AE31" s="15">
        <v>0</v>
      </c>
      <c r="AF31" s="11">
        <f t="shared" si="7"/>
        <v>1</v>
      </c>
      <c r="AG31" s="32"/>
      <c r="AH31">
        <v>0</v>
      </c>
      <c r="AI31">
        <v>33</v>
      </c>
      <c r="AJ31">
        <v>0</v>
      </c>
      <c r="AK31">
        <v>0</v>
      </c>
      <c r="AL31">
        <v>9</v>
      </c>
      <c r="AM31">
        <v>5</v>
      </c>
      <c r="AN31">
        <v>4</v>
      </c>
      <c r="AO31">
        <v>1</v>
      </c>
      <c r="AP31">
        <v>48</v>
      </c>
      <c r="AQ31" s="21">
        <f t="shared" si="1"/>
        <v>48</v>
      </c>
      <c r="AR31" s="12">
        <f t="shared" si="6"/>
        <v>100</v>
      </c>
      <c r="AS31">
        <v>0</v>
      </c>
      <c r="AT31">
        <v>0</v>
      </c>
      <c r="AU31" s="6">
        <v>0</v>
      </c>
      <c r="AV31" s="6">
        <v>0</v>
      </c>
      <c r="AW31" s="6">
        <v>0</v>
      </c>
      <c r="AX31">
        <v>1</v>
      </c>
      <c r="AY31">
        <v>1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 t="s">
        <v>44</v>
      </c>
      <c r="BF31" s="6" t="s">
        <v>44</v>
      </c>
      <c r="BG31" s="6" t="s">
        <v>44</v>
      </c>
      <c r="BH31" s="6" t="s">
        <v>44</v>
      </c>
      <c r="BI31" s="6" t="s">
        <v>44</v>
      </c>
      <c r="BJ31" s="6" t="s">
        <v>44</v>
      </c>
      <c r="BK31" s="6">
        <v>0</v>
      </c>
      <c r="BL31" s="6">
        <f t="shared" si="4"/>
        <v>2</v>
      </c>
      <c r="BM31" s="6">
        <f t="shared" si="5"/>
        <v>2</v>
      </c>
      <c r="BN31">
        <v>33</v>
      </c>
      <c r="BO31">
        <f t="shared" si="8"/>
        <v>33</v>
      </c>
      <c r="BP31">
        <v>0</v>
      </c>
      <c r="BQ31">
        <f>SUM(BP31,BB31,BK31)</f>
        <v>0</v>
      </c>
      <c r="BR31">
        <f t="shared" si="3"/>
        <v>0</v>
      </c>
    </row>
    <row r="32" spans="1:70" hidden="1">
      <c r="A32" s="7" t="str">
        <f t="shared" si="0"/>
        <v>YB_2024_AZ_1_1</v>
      </c>
      <c r="B32" t="s">
        <v>49</v>
      </c>
      <c r="C32">
        <v>44.311399999999999</v>
      </c>
      <c r="D32">
        <v>-124.1086</v>
      </c>
      <c r="E32" s="8">
        <v>45437</v>
      </c>
      <c r="F32">
        <v>2024</v>
      </c>
      <c r="G32" t="s">
        <v>50</v>
      </c>
      <c r="H32" s="10" t="s">
        <v>42</v>
      </c>
      <c r="I32" s="10">
        <v>1</v>
      </c>
      <c r="J32" s="10">
        <v>1</v>
      </c>
      <c r="K32" t="s">
        <v>51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2" t="s">
        <v>44</v>
      </c>
      <c r="R32" s="22" t="s">
        <v>44</v>
      </c>
      <c r="S32" s="22">
        <v>0</v>
      </c>
      <c r="T32" s="23">
        <v>0</v>
      </c>
      <c r="U32" s="23">
        <v>0</v>
      </c>
      <c r="V32" s="18" t="s">
        <v>44</v>
      </c>
      <c r="W32" s="18" t="s">
        <v>44</v>
      </c>
      <c r="X32" s="18" t="s">
        <v>44</v>
      </c>
      <c r="Y32" s="18" t="s">
        <v>44</v>
      </c>
      <c r="Z32" s="18" t="s">
        <v>44</v>
      </c>
      <c r="AA32" s="11" t="s">
        <v>44</v>
      </c>
      <c r="AB32" s="11" t="s">
        <v>44</v>
      </c>
      <c r="AC32" s="11" t="s">
        <v>44</v>
      </c>
      <c r="AD32" s="11" t="s">
        <v>44</v>
      </c>
      <c r="AE32" s="11" t="s">
        <v>44</v>
      </c>
      <c r="AF32" s="11" t="s">
        <v>44</v>
      </c>
      <c r="AG32" s="32"/>
      <c r="AH32" s="6">
        <v>1</v>
      </c>
      <c r="AI32" s="6">
        <v>0</v>
      </c>
      <c r="AJ32" s="6">
        <v>0</v>
      </c>
      <c r="AK32" s="6">
        <v>50</v>
      </c>
      <c r="AL32" s="6">
        <v>7</v>
      </c>
      <c r="AM32" s="6">
        <v>2</v>
      </c>
      <c r="AN32" s="6">
        <v>0</v>
      </c>
      <c r="AO32" s="6">
        <v>4</v>
      </c>
      <c r="AP32" s="6">
        <v>36</v>
      </c>
      <c r="AQ32" s="21">
        <f t="shared" si="1"/>
        <v>36</v>
      </c>
      <c r="AR32" s="12">
        <f t="shared" si="6"/>
        <v>100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>
        <v>0</v>
      </c>
      <c r="AY32" s="6">
        <v>0</v>
      </c>
      <c r="AZ32" s="6">
        <v>88</v>
      </c>
      <c r="BA32" s="6">
        <v>0</v>
      </c>
      <c r="BB32" s="6">
        <v>0</v>
      </c>
      <c r="BC32" s="6">
        <v>0</v>
      </c>
      <c r="BD32" s="6">
        <v>0</v>
      </c>
      <c r="BE32" s="6" t="s">
        <v>44</v>
      </c>
      <c r="BF32" s="6" t="s">
        <v>44</v>
      </c>
      <c r="BG32" s="6" t="s">
        <v>44</v>
      </c>
      <c r="BH32" s="6" t="s">
        <v>44</v>
      </c>
      <c r="BI32" s="6" t="s">
        <v>44</v>
      </c>
      <c r="BJ32" s="6" t="s">
        <v>44</v>
      </c>
      <c r="BK32" s="6">
        <v>0</v>
      </c>
      <c r="BL32" s="6">
        <f t="shared" si="4"/>
        <v>88</v>
      </c>
      <c r="BM32" s="6">
        <f t="shared" si="5"/>
        <v>88</v>
      </c>
      <c r="BN32" s="6">
        <v>0</v>
      </c>
      <c r="BO32">
        <f t="shared" ref="BO32:BO95" si="9">SUM(BN32,AU32,BG32,BH32,BI32)</f>
        <v>0</v>
      </c>
      <c r="BP32" s="6">
        <v>0</v>
      </c>
      <c r="BQ32">
        <f>SUM(BP32,BB32,BK32)</f>
        <v>0</v>
      </c>
      <c r="BR32">
        <f t="shared" si="3"/>
        <v>0</v>
      </c>
    </row>
    <row r="33" spans="1:70" hidden="1">
      <c r="A33" s="7" t="str">
        <f t="shared" si="0"/>
        <v>YB_2024_AZ_1_2</v>
      </c>
      <c r="B33" t="s">
        <v>49</v>
      </c>
      <c r="C33">
        <v>44.311399999999999</v>
      </c>
      <c r="D33">
        <v>-124.1086</v>
      </c>
      <c r="E33" s="8">
        <v>45437</v>
      </c>
      <c r="F33">
        <v>2024</v>
      </c>
      <c r="G33" t="s">
        <v>50</v>
      </c>
      <c r="H33" s="10" t="s">
        <v>42</v>
      </c>
      <c r="I33" s="10">
        <v>1</v>
      </c>
      <c r="J33" s="10">
        <v>2</v>
      </c>
      <c r="K33" t="s">
        <v>51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2" t="s">
        <v>44</v>
      </c>
      <c r="R33" s="22" t="s">
        <v>44</v>
      </c>
      <c r="S33" s="22">
        <v>0</v>
      </c>
      <c r="T33" s="23">
        <v>0</v>
      </c>
      <c r="U33" s="23">
        <v>0</v>
      </c>
      <c r="V33" s="18" t="s">
        <v>44</v>
      </c>
      <c r="W33" s="18" t="s">
        <v>44</v>
      </c>
      <c r="X33" s="18" t="s">
        <v>44</v>
      </c>
      <c r="Y33" s="18" t="s">
        <v>44</v>
      </c>
      <c r="Z33" s="18" t="s">
        <v>44</v>
      </c>
      <c r="AA33" s="11" t="s">
        <v>44</v>
      </c>
      <c r="AB33" s="11" t="s">
        <v>44</v>
      </c>
      <c r="AC33" s="11" t="s">
        <v>44</v>
      </c>
      <c r="AD33" s="11" t="s">
        <v>44</v>
      </c>
      <c r="AE33" s="11" t="s">
        <v>44</v>
      </c>
      <c r="AF33" s="11" t="s">
        <v>44</v>
      </c>
      <c r="AG33" s="32"/>
      <c r="AH33" s="6">
        <v>7</v>
      </c>
      <c r="AI33" s="6">
        <v>28</v>
      </c>
      <c r="AJ33" s="6">
        <v>0</v>
      </c>
      <c r="AK33" s="6">
        <v>0</v>
      </c>
      <c r="AL33" s="6">
        <v>9</v>
      </c>
      <c r="AM33" s="6">
        <v>3</v>
      </c>
      <c r="AN33" s="6">
        <v>5</v>
      </c>
      <c r="AO33" s="6">
        <v>0</v>
      </c>
      <c r="AP33" s="6">
        <v>48</v>
      </c>
      <c r="AQ33" s="21">
        <f t="shared" si="1"/>
        <v>48</v>
      </c>
      <c r="AR33" s="12">
        <f>SUM(AH33:AP33)</f>
        <v>100</v>
      </c>
      <c r="AS33" s="6">
        <v>0</v>
      </c>
      <c r="AT33" s="6">
        <v>26</v>
      </c>
      <c r="AU33" s="6">
        <v>0</v>
      </c>
      <c r="AV33" s="6">
        <v>0</v>
      </c>
      <c r="AW33" s="6">
        <v>0</v>
      </c>
      <c r="AX33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 t="s">
        <v>44</v>
      </c>
      <c r="BF33" s="6" t="s">
        <v>44</v>
      </c>
      <c r="BG33" s="6" t="s">
        <v>44</v>
      </c>
      <c r="BH33" s="6" t="s">
        <v>44</v>
      </c>
      <c r="BI33" s="6" t="s">
        <v>44</v>
      </c>
      <c r="BJ33" s="6" t="s">
        <v>44</v>
      </c>
      <c r="BK33" s="6">
        <v>0</v>
      </c>
      <c r="BL33" s="6">
        <f t="shared" si="4"/>
        <v>26</v>
      </c>
      <c r="BM33" s="6">
        <f t="shared" si="5"/>
        <v>26</v>
      </c>
      <c r="BN33" s="6">
        <v>28</v>
      </c>
      <c r="BO33">
        <f t="shared" si="9"/>
        <v>28</v>
      </c>
      <c r="BP33" s="6">
        <v>0</v>
      </c>
      <c r="BQ33">
        <f>SUM(BP33,BB33,BK33)</f>
        <v>0</v>
      </c>
      <c r="BR33">
        <f t="shared" si="3"/>
        <v>0</v>
      </c>
    </row>
    <row r="34" spans="1:70" hidden="1">
      <c r="A34" s="7" t="str">
        <f t="shared" si="0"/>
        <v>YB_2024_AZ_1_3</v>
      </c>
      <c r="B34" t="s">
        <v>49</v>
      </c>
      <c r="C34">
        <v>44.311399999999999</v>
      </c>
      <c r="D34">
        <v>-124.1086</v>
      </c>
      <c r="E34" s="8">
        <v>45437</v>
      </c>
      <c r="F34">
        <v>2024</v>
      </c>
      <c r="G34" t="s">
        <v>50</v>
      </c>
      <c r="H34" s="10" t="s">
        <v>42</v>
      </c>
      <c r="I34" s="10">
        <v>1</v>
      </c>
      <c r="J34" s="10">
        <v>3</v>
      </c>
      <c r="K34" t="s">
        <v>51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2" t="s">
        <v>44</v>
      </c>
      <c r="R34" s="22" t="s">
        <v>44</v>
      </c>
      <c r="S34" s="22">
        <v>0</v>
      </c>
      <c r="T34" s="23">
        <v>0</v>
      </c>
      <c r="U34" s="23">
        <v>0</v>
      </c>
      <c r="V34" s="18" t="s">
        <v>44</v>
      </c>
      <c r="W34" s="18" t="s">
        <v>44</v>
      </c>
      <c r="X34" s="18" t="s">
        <v>44</v>
      </c>
      <c r="Y34" s="18" t="s">
        <v>44</v>
      </c>
      <c r="Z34" s="18" t="s">
        <v>44</v>
      </c>
      <c r="AA34" s="11" t="s">
        <v>44</v>
      </c>
      <c r="AB34" s="11" t="s">
        <v>44</v>
      </c>
      <c r="AC34" s="11" t="s">
        <v>44</v>
      </c>
      <c r="AD34" s="11" t="s">
        <v>44</v>
      </c>
      <c r="AE34" s="11" t="s">
        <v>44</v>
      </c>
      <c r="AF34" s="11" t="s">
        <v>44</v>
      </c>
      <c r="AG34" s="32"/>
      <c r="AH34" s="6">
        <v>11</v>
      </c>
      <c r="AI34" s="6">
        <v>7</v>
      </c>
      <c r="AJ34" s="6">
        <v>0</v>
      </c>
      <c r="AK34" s="6">
        <v>0</v>
      </c>
      <c r="AL34" s="6">
        <v>15</v>
      </c>
      <c r="AM34" s="6">
        <v>1</v>
      </c>
      <c r="AN34" s="6">
        <v>1</v>
      </c>
      <c r="AO34" s="6">
        <v>0</v>
      </c>
      <c r="AP34" s="6">
        <v>65</v>
      </c>
      <c r="AQ34" s="21">
        <f t="shared" si="1"/>
        <v>65</v>
      </c>
      <c r="AR34" s="12">
        <f t="shared" si="6"/>
        <v>100</v>
      </c>
      <c r="AS34" s="6">
        <v>1</v>
      </c>
      <c r="AT34" s="6">
        <v>0</v>
      </c>
      <c r="AU34" s="6">
        <v>0</v>
      </c>
      <c r="AV34" s="6">
        <v>0</v>
      </c>
      <c r="AW34" s="6">
        <v>0</v>
      </c>
      <c r="AX34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 t="s">
        <v>44</v>
      </c>
      <c r="BF34" s="6" t="s">
        <v>44</v>
      </c>
      <c r="BG34" s="6" t="s">
        <v>44</v>
      </c>
      <c r="BH34" s="6" t="s">
        <v>44</v>
      </c>
      <c r="BI34" s="6" t="s">
        <v>44</v>
      </c>
      <c r="BJ34" s="6" t="s">
        <v>44</v>
      </c>
      <c r="BK34" s="6">
        <v>0</v>
      </c>
      <c r="BL34" s="6">
        <f t="shared" si="4"/>
        <v>1</v>
      </c>
      <c r="BM34" s="6">
        <f t="shared" si="5"/>
        <v>1</v>
      </c>
      <c r="BN34" s="6">
        <v>7</v>
      </c>
      <c r="BO34">
        <f t="shared" si="9"/>
        <v>7</v>
      </c>
      <c r="BP34" s="6">
        <v>0</v>
      </c>
      <c r="BQ34">
        <f>SUM(BP34,BB34,BK34)</f>
        <v>0</v>
      </c>
      <c r="BR34">
        <f t="shared" si="3"/>
        <v>0</v>
      </c>
    </row>
    <row r="35" spans="1:70" hidden="1">
      <c r="A35" s="7" t="str">
        <f t="shared" si="0"/>
        <v>YB_2024_AZ_1_4</v>
      </c>
      <c r="B35" t="s">
        <v>49</v>
      </c>
      <c r="C35">
        <v>44.311399999999999</v>
      </c>
      <c r="D35">
        <v>-124.1086</v>
      </c>
      <c r="E35" s="8">
        <v>45437</v>
      </c>
      <c r="F35">
        <v>2024</v>
      </c>
      <c r="G35" t="s">
        <v>50</v>
      </c>
      <c r="H35" s="10" t="s">
        <v>42</v>
      </c>
      <c r="I35" s="10">
        <v>1</v>
      </c>
      <c r="J35" s="10">
        <v>4</v>
      </c>
      <c r="K35" t="s">
        <v>47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2" t="s">
        <v>44</v>
      </c>
      <c r="R35" s="22" t="s">
        <v>44</v>
      </c>
      <c r="S35" s="22">
        <v>0</v>
      </c>
      <c r="T35" s="23">
        <v>0</v>
      </c>
      <c r="U35" s="23">
        <v>0</v>
      </c>
      <c r="V35" s="18" t="s">
        <v>44</v>
      </c>
      <c r="W35" s="18" t="s">
        <v>44</v>
      </c>
      <c r="X35" s="18" t="s">
        <v>44</v>
      </c>
      <c r="Y35" s="18" t="s">
        <v>44</v>
      </c>
      <c r="Z35" s="18" t="s">
        <v>44</v>
      </c>
      <c r="AA35" s="11" t="s">
        <v>44</v>
      </c>
      <c r="AB35" s="11" t="s">
        <v>44</v>
      </c>
      <c r="AC35" s="11" t="s">
        <v>44</v>
      </c>
      <c r="AD35" s="11" t="s">
        <v>44</v>
      </c>
      <c r="AE35" s="11" t="s">
        <v>44</v>
      </c>
      <c r="AF35" s="11" t="s">
        <v>44</v>
      </c>
      <c r="AG35" s="32"/>
      <c r="AH35" s="6">
        <v>8</v>
      </c>
      <c r="AI35" s="6">
        <v>30</v>
      </c>
      <c r="AJ35" s="6">
        <v>0</v>
      </c>
      <c r="AK35" s="6">
        <v>0</v>
      </c>
      <c r="AL35" s="6">
        <v>4</v>
      </c>
      <c r="AM35" s="6">
        <v>0</v>
      </c>
      <c r="AN35" s="6">
        <v>0.1</v>
      </c>
      <c r="AO35" s="6">
        <v>0</v>
      </c>
      <c r="AP35" s="6">
        <v>58</v>
      </c>
      <c r="AQ35" s="21">
        <f t="shared" si="1"/>
        <v>58</v>
      </c>
      <c r="AR35" s="12">
        <f t="shared" si="6"/>
        <v>100.1</v>
      </c>
      <c r="AS35" s="6">
        <v>0</v>
      </c>
      <c r="AT35" s="6">
        <v>0</v>
      </c>
      <c r="AU35" s="6">
        <v>0</v>
      </c>
      <c r="AV35" s="6">
        <v>25</v>
      </c>
      <c r="AW35" s="6">
        <v>24</v>
      </c>
      <c r="AX35">
        <v>2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 t="s">
        <v>44</v>
      </c>
      <c r="BF35" s="6" t="s">
        <v>44</v>
      </c>
      <c r="BG35" s="6" t="s">
        <v>44</v>
      </c>
      <c r="BH35" s="6" t="s">
        <v>44</v>
      </c>
      <c r="BI35" s="6" t="s">
        <v>44</v>
      </c>
      <c r="BJ35" s="6" t="s">
        <v>44</v>
      </c>
      <c r="BK35" s="6">
        <v>0</v>
      </c>
      <c r="BL35" s="6">
        <f t="shared" si="4"/>
        <v>51</v>
      </c>
      <c r="BM35" s="6">
        <f t="shared" si="5"/>
        <v>51</v>
      </c>
      <c r="BN35" s="6">
        <v>30</v>
      </c>
      <c r="BO35">
        <f t="shared" si="9"/>
        <v>30</v>
      </c>
      <c r="BP35" s="6">
        <v>0</v>
      </c>
      <c r="BQ35">
        <f>SUM(BP35,BB35,BK35)</f>
        <v>0</v>
      </c>
      <c r="BR35">
        <f t="shared" si="3"/>
        <v>0</v>
      </c>
    </row>
    <row r="36" spans="1:70" hidden="1">
      <c r="A36" s="7" t="str">
        <f t="shared" si="0"/>
        <v>YB_2024_AZ_1_5</v>
      </c>
      <c r="B36" t="s">
        <v>49</v>
      </c>
      <c r="C36">
        <v>44.311399999999999</v>
      </c>
      <c r="D36">
        <v>-124.1086</v>
      </c>
      <c r="E36" s="8">
        <v>45437</v>
      </c>
      <c r="F36">
        <v>2024</v>
      </c>
      <c r="G36" t="s">
        <v>50</v>
      </c>
      <c r="H36" s="10" t="s">
        <v>42</v>
      </c>
      <c r="I36" s="10">
        <v>1</v>
      </c>
      <c r="J36" s="6">
        <v>5</v>
      </c>
      <c r="K36" t="s">
        <v>51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2" t="s">
        <v>44</v>
      </c>
      <c r="R36" s="22" t="s">
        <v>44</v>
      </c>
      <c r="S36" s="22">
        <v>0</v>
      </c>
      <c r="T36" s="23">
        <v>0</v>
      </c>
      <c r="U36" s="23">
        <v>0</v>
      </c>
      <c r="V36" s="18" t="s">
        <v>44</v>
      </c>
      <c r="W36" s="18" t="s">
        <v>44</v>
      </c>
      <c r="X36" s="18" t="s">
        <v>44</v>
      </c>
      <c r="Y36" s="18" t="s">
        <v>44</v>
      </c>
      <c r="Z36" s="18" t="s">
        <v>44</v>
      </c>
      <c r="AA36" s="11" t="s">
        <v>44</v>
      </c>
      <c r="AB36" s="11" t="s">
        <v>44</v>
      </c>
      <c r="AC36" s="11" t="s">
        <v>44</v>
      </c>
      <c r="AD36" s="11" t="s">
        <v>44</v>
      </c>
      <c r="AE36" s="11" t="s">
        <v>44</v>
      </c>
      <c r="AF36" s="11" t="s">
        <v>44</v>
      </c>
      <c r="AG36" s="32"/>
      <c r="AH36" s="6">
        <v>3</v>
      </c>
      <c r="AI36" s="6">
        <v>86</v>
      </c>
      <c r="AJ36" s="6">
        <v>0</v>
      </c>
      <c r="AK36" s="9">
        <v>5</v>
      </c>
      <c r="AL36" s="9">
        <v>1</v>
      </c>
      <c r="AM36" s="9">
        <v>0</v>
      </c>
      <c r="AN36" s="9">
        <v>1</v>
      </c>
      <c r="AO36" s="9">
        <v>1</v>
      </c>
      <c r="AP36" s="6">
        <v>3</v>
      </c>
      <c r="AQ36" s="21">
        <f t="shared" si="1"/>
        <v>3</v>
      </c>
      <c r="AR36" s="12">
        <f t="shared" si="6"/>
        <v>100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 t="s">
        <v>44</v>
      </c>
      <c r="BF36" s="6" t="s">
        <v>44</v>
      </c>
      <c r="BG36" s="6" t="s">
        <v>44</v>
      </c>
      <c r="BH36" s="6" t="s">
        <v>44</v>
      </c>
      <c r="BI36" s="6" t="s">
        <v>44</v>
      </c>
      <c r="BJ36" s="6" t="s">
        <v>44</v>
      </c>
      <c r="BK36" s="6">
        <v>0</v>
      </c>
      <c r="BL36" s="6">
        <f t="shared" si="4"/>
        <v>0</v>
      </c>
      <c r="BM36" s="6">
        <f t="shared" si="5"/>
        <v>0</v>
      </c>
      <c r="BN36" s="6">
        <v>86</v>
      </c>
      <c r="BO36">
        <f t="shared" si="9"/>
        <v>86</v>
      </c>
      <c r="BP36" s="6">
        <v>0</v>
      </c>
      <c r="BQ36">
        <f>SUM(BP36,BB36,BK36)</f>
        <v>0</v>
      </c>
      <c r="BR36">
        <f t="shared" si="3"/>
        <v>0</v>
      </c>
    </row>
    <row r="37" spans="1:70" hidden="1">
      <c r="A37" s="7" t="str">
        <f t="shared" si="0"/>
        <v>YB_2024_AZ_2_1</v>
      </c>
      <c r="B37" t="s">
        <v>49</v>
      </c>
      <c r="C37">
        <v>44.311399999999999</v>
      </c>
      <c r="D37">
        <v>-124.1086</v>
      </c>
      <c r="E37" s="8">
        <v>45437</v>
      </c>
      <c r="F37">
        <v>2024</v>
      </c>
      <c r="G37" t="s">
        <v>50</v>
      </c>
      <c r="H37" s="10" t="s">
        <v>42</v>
      </c>
      <c r="I37" s="6">
        <v>2</v>
      </c>
      <c r="J37" s="6">
        <v>1</v>
      </c>
      <c r="K37" t="s">
        <v>51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2" t="s">
        <v>44</v>
      </c>
      <c r="R37" s="22" t="s">
        <v>44</v>
      </c>
      <c r="S37" s="22">
        <v>0</v>
      </c>
      <c r="T37" s="23">
        <v>0</v>
      </c>
      <c r="U37" s="23">
        <v>0</v>
      </c>
      <c r="V37" s="18" t="s">
        <v>44</v>
      </c>
      <c r="W37" s="18" t="s">
        <v>44</v>
      </c>
      <c r="X37" s="18" t="s">
        <v>44</v>
      </c>
      <c r="Y37" s="18" t="s">
        <v>44</v>
      </c>
      <c r="Z37" s="18" t="s">
        <v>44</v>
      </c>
      <c r="AA37" s="11" t="s">
        <v>44</v>
      </c>
      <c r="AB37" s="11" t="s">
        <v>44</v>
      </c>
      <c r="AC37" s="11" t="s">
        <v>44</v>
      </c>
      <c r="AD37" s="11" t="s">
        <v>44</v>
      </c>
      <c r="AE37" s="11" t="s">
        <v>44</v>
      </c>
      <c r="AF37" s="11" t="s">
        <v>44</v>
      </c>
      <c r="AG37" s="32"/>
      <c r="AH37" s="6">
        <v>7</v>
      </c>
      <c r="AI37" s="6">
        <v>84</v>
      </c>
      <c r="AJ37" s="6">
        <v>0</v>
      </c>
      <c r="AK37" s="9">
        <v>0</v>
      </c>
      <c r="AL37" s="9">
        <v>7</v>
      </c>
      <c r="AM37" s="9">
        <v>0</v>
      </c>
      <c r="AN37" s="9">
        <v>0.1</v>
      </c>
      <c r="AO37" s="9">
        <v>0</v>
      </c>
      <c r="AP37" s="6">
        <v>2</v>
      </c>
      <c r="AQ37" s="21">
        <f t="shared" si="1"/>
        <v>2</v>
      </c>
      <c r="AR37" s="12">
        <f t="shared" si="6"/>
        <v>100.1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 t="s">
        <v>44</v>
      </c>
      <c r="BF37" s="6" t="s">
        <v>44</v>
      </c>
      <c r="BG37" s="6" t="s">
        <v>44</v>
      </c>
      <c r="BH37" s="6" t="s">
        <v>44</v>
      </c>
      <c r="BI37" s="6" t="s">
        <v>44</v>
      </c>
      <c r="BJ37" s="6" t="s">
        <v>44</v>
      </c>
      <c r="BK37" s="6">
        <v>0</v>
      </c>
      <c r="BL37" s="6">
        <f t="shared" si="4"/>
        <v>0</v>
      </c>
      <c r="BM37" s="6">
        <f t="shared" si="5"/>
        <v>0</v>
      </c>
      <c r="BN37" s="6">
        <v>84</v>
      </c>
      <c r="BO37">
        <f t="shared" si="9"/>
        <v>84</v>
      </c>
      <c r="BP37" s="6">
        <v>0</v>
      </c>
      <c r="BQ37">
        <f>SUM(BP37,BB37,BK37)</f>
        <v>0</v>
      </c>
      <c r="BR37">
        <f t="shared" si="3"/>
        <v>0</v>
      </c>
    </row>
    <row r="38" spans="1:70" hidden="1">
      <c r="A38" s="7" t="str">
        <f t="shared" si="0"/>
        <v>YB_2024_AZ_2_2</v>
      </c>
      <c r="B38" t="s">
        <v>49</v>
      </c>
      <c r="C38">
        <v>44.311399999999999</v>
      </c>
      <c r="D38">
        <v>-124.1086</v>
      </c>
      <c r="E38" s="8">
        <v>45437</v>
      </c>
      <c r="F38">
        <v>2024</v>
      </c>
      <c r="G38" t="s">
        <v>50</v>
      </c>
      <c r="H38" s="10" t="s">
        <v>42</v>
      </c>
      <c r="I38" s="6">
        <v>2</v>
      </c>
      <c r="J38" s="6">
        <v>2</v>
      </c>
      <c r="K38" t="s">
        <v>51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2" t="s">
        <v>44</v>
      </c>
      <c r="R38" s="22" t="s">
        <v>44</v>
      </c>
      <c r="S38" s="22">
        <v>0</v>
      </c>
      <c r="T38" s="23">
        <v>0</v>
      </c>
      <c r="U38" s="23">
        <v>0</v>
      </c>
      <c r="V38" s="18" t="s">
        <v>44</v>
      </c>
      <c r="W38" s="18" t="s">
        <v>44</v>
      </c>
      <c r="X38" s="18" t="s">
        <v>44</v>
      </c>
      <c r="Y38" s="18" t="s">
        <v>44</v>
      </c>
      <c r="Z38" s="18" t="s">
        <v>44</v>
      </c>
      <c r="AA38" s="11" t="s">
        <v>44</v>
      </c>
      <c r="AB38" s="11" t="s">
        <v>44</v>
      </c>
      <c r="AC38" s="11" t="s">
        <v>44</v>
      </c>
      <c r="AD38" s="11" t="s">
        <v>44</v>
      </c>
      <c r="AE38" s="11" t="s">
        <v>44</v>
      </c>
      <c r="AF38" s="11" t="s">
        <v>44</v>
      </c>
      <c r="AG38" s="32"/>
      <c r="AH38" s="6">
        <v>7</v>
      </c>
      <c r="AI38" s="6">
        <v>25</v>
      </c>
      <c r="AJ38" s="6">
        <v>0</v>
      </c>
      <c r="AK38" s="9">
        <v>0</v>
      </c>
      <c r="AL38" s="9">
        <v>6</v>
      </c>
      <c r="AM38" s="9">
        <v>2</v>
      </c>
      <c r="AN38" s="9">
        <v>0.1</v>
      </c>
      <c r="AO38" s="9">
        <v>0</v>
      </c>
      <c r="AP38" s="6">
        <v>60</v>
      </c>
      <c r="AQ38" s="21">
        <f t="shared" si="1"/>
        <v>60</v>
      </c>
      <c r="AR38" s="12">
        <f t="shared" si="6"/>
        <v>100.1</v>
      </c>
      <c r="AS38" s="6">
        <v>0</v>
      </c>
      <c r="AT38" s="6">
        <v>30</v>
      </c>
      <c r="AU38" s="6">
        <v>0</v>
      </c>
      <c r="AV38" s="6">
        <v>0</v>
      </c>
      <c r="AW38" s="6">
        <v>0</v>
      </c>
      <c r="AX38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 t="s">
        <v>44</v>
      </c>
      <c r="BF38" s="6" t="s">
        <v>44</v>
      </c>
      <c r="BG38" s="6" t="s">
        <v>44</v>
      </c>
      <c r="BH38" s="6" t="s">
        <v>44</v>
      </c>
      <c r="BI38" s="6" t="s">
        <v>44</v>
      </c>
      <c r="BJ38" s="6" t="s">
        <v>44</v>
      </c>
      <c r="BK38" s="6">
        <v>0</v>
      </c>
      <c r="BL38" s="6">
        <f t="shared" si="4"/>
        <v>30</v>
      </c>
      <c r="BM38" s="6">
        <f t="shared" si="5"/>
        <v>30</v>
      </c>
      <c r="BN38" s="6">
        <v>25</v>
      </c>
      <c r="BO38">
        <f t="shared" si="9"/>
        <v>25</v>
      </c>
      <c r="BP38" s="6">
        <v>0</v>
      </c>
      <c r="BQ38">
        <f>SUM(BP38,BB38,BK38)</f>
        <v>0</v>
      </c>
      <c r="BR38">
        <f t="shared" si="3"/>
        <v>0</v>
      </c>
    </row>
    <row r="39" spans="1:70" hidden="1">
      <c r="A39" s="7" t="str">
        <f t="shared" si="0"/>
        <v>YB_2024_AZ_2_3</v>
      </c>
      <c r="B39" t="s">
        <v>49</v>
      </c>
      <c r="C39">
        <v>44.311399999999999</v>
      </c>
      <c r="D39">
        <v>-124.1086</v>
      </c>
      <c r="E39" s="8">
        <v>45437</v>
      </c>
      <c r="F39">
        <v>2024</v>
      </c>
      <c r="G39" t="s">
        <v>50</v>
      </c>
      <c r="H39" s="10" t="s">
        <v>42</v>
      </c>
      <c r="I39" s="6">
        <v>2</v>
      </c>
      <c r="J39" s="6">
        <v>3</v>
      </c>
      <c r="K39" t="s">
        <v>51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2" t="s">
        <v>44</v>
      </c>
      <c r="R39" s="22" t="s">
        <v>44</v>
      </c>
      <c r="S39" s="22">
        <v>0</v>
      </c>
      <c r="T39" s="23">
        <v>0</v>
      </c>
      <c r="U39" s="23">
        <v>0</v>
      </c>
      <c r="V39" s="18" t="s">
        <v>44</v>
      </c>
      <c r="W39" s="18" t="s">
        <v>44</v>
      </c>
      <c r="X39" s="18" t="s">
        <v>44</v>
      </c>
      <c r="Y39" s="18" t="s">
        <v>44</v>
      </c>
      <c r="Z39" s="18" t="s">
        <v>44</v>
      </c>
      <c r="AA39" s="11" t="s">
        <v>44</v>
      </c>
      <c r="AB39" s="11" t="s">
        <v>44</v>
      </c>
      <c r="AC39" s="11" t="s">
        <v>44</v>
      </c>
      <c r="AD39" s="11" t="s">
        <v>44</v>
      </c>
      <c r="AE39" s="11" t="s">
        <v>44</v>
      </c>
      <c r="AF39" s="11" t="s">
        <v>44</v>
      </c>
      <c r="AG39" s="32"/>
      <c r="AH39" s="6">
        <v>5</v>
      </c>
      <c r="AI39" s="6">
        <v>80</v>
      </c>
      <c r="AJ39" s="6">
        <v>0</v>
      </c>
      <c r="AK39" s="9">
        <v>0</v>
      </c>
      <c r="AL39" s="9">
        <v>0.1</v>
      </c>
      <c r="AM39" s="9">
        <v>3</v>
      </c>
      <c r="AN39" s="9">
        <v>1</v>
      </c>
      <c r="AO39" s="9">
        <v>0</v>
      </c>
      <c r="AP39" s="6">
        <v>11</v>
      </c>
      <c r="AQ39" s="21">
        <f t="shared" si="1"/>
        <v>11</v>
      </c>
      <c r="AR39" s="12">
        <f t="shared" si="6"/>
        <v>100.1</v>
      </c>
      <c r="AS39" s="6">
        <v>24</v>
      </c>
      <c r="AT39" s="6">
        <v>20</v>
      </c>
      <c r="AU39" s="6">
        <v>0</v>
      </c>
      <c r="AV39" s="6">
        <v>0</v>
      </c>
      <c r="AW39" s="6">
        <v>6</v>
      </c>
      <c r="AX39">
        <v>8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 t="s">
        <v>44</v>
      </c>
      <c r="BF39" s="6" t="s">
        <v>44</v>
      </c>
      <c r="BG39" s="6" t="s">
        <v>44</v>
      </c>
      <c r="BH39" s="6" t="s">
        <v>44</v>
      </c>
      <c r="BI39" s="6" t="s">
        <v>44</v>
      </c>
      <c r="BJ39" s="6" t="s">
        <v>44</v>
      </c>
      <c r="BK39" s="6">
        <v>0</v>
      </c>
      <c r="BL39" s="6">
        <f t="shared" si="4"/>
        <v>58</v>
      </c>
      <c r="BM39" s="6">
        <f t="shared" si="5"/>
        <v>58</v>
      </c>
      <c r="BN39" s="6">
        <v>80</v>
      </c>
      <c r="BO39">
        <f t="shared" si="9"/>
        <v>80</v>
      </c>
      <c r="BP39" s="6">
        <v>0</v>
      </c>
      <c r="BQ39">
        <f>SUM(BP39,BB39,BK39)</f>
        <v>0</v>
      </c>
      <c r="BR39">
        <f t="shared" si="3"/>
        <v>0</v>
      </c>
    </row>
    <row r="40" spans="1:70" hidden="1">
      <c r="A40" s="7" t="str">
        <f t="shared" si="0"/>
        <v>YB_2024_AZ_2_4</v>
      </c>
      <c r="B40" t="s">
        <v>49</v>
      </c>
      <c r="C40">
        <v>44.311399999999999</v>
      </c>
      <c r="D40">
        <v>-124.1086</v>
      </c>
      <c r="E40" s="8">
        <v>45437</v>
      </c>
      <c r="F40">
        <v>2024</v>
      </c>
      <c r="G40" t="s">
        <v>50</v>
      </c>
      <c r="H40" s="10" t="s">
        <v>42</v>
      </c>
      <c r="I40" s="6">
        <v>2</v>
      </c>
      <c r="J40" s="6">
        <v>4</v>
      </c>
      <c r="K40" t="s">
        <v>51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2" t="s">
        <v>44</v>
      </c>
      <c r="R40" s="22" t="s">
        <v>44</v>
      </c>
      <c r="S40" s="22">
        <v>0</v>
      </c>
      <c r="T40" s="23">
        <v>2</v>
      </c>
      <c r="U40" s="23">
        <v>2</v>
      </c>
      <c r="V40" s="18" t="s">
        <v>44</v>
      </c>
      <c r="W40" s="18" t="s">
        <v>44</v>
      </c>
      <c r="X40" s="18" t="s">
        <v>44</v>
      </c>
      <c r="Y40" s="18" t="s">
        <v>44</v>
      </c>
      <c r="Z40" s="18" t="s">
        <v>44</v>
      </c>
      <c r="AA40" s="11" t="s">
        <v>44</v>
      </c>
      <c r="AB40" s="11" t="s">
        <v>44</v>
      </c>
      <c r="AC40" s="11" t="s">
        <v>44</v>
      </c>
      <c r="AD40" s="11" t="s">
        <v>44</v>
      </c>
      <c r="AE40" s="11" t="s">
        <v>44</v>
      </c>
      <c r="AF40" s="11" t="s">
        <v>44</v>
      </c>
      <c r="AG40" s="32"/>
      <c r="AH40" s="6">
        <v>16</v>
      </c>
      <c r="AI40" s="6">
        <v>22</v>
      </c>
      <c r="AJ40" s="6">
        <v>0</v>
      </c>
      <c r="AK40" s="9">
        <v>0</v>
      </c>
      <c r="AL40" s="9">
        <v>5</v>
      </c>
      <c r="AM40" s="9">
        <v>2</v>
      </c>
      <c r="AN40" s="9">
        <v>2</v>
      </c>
      <c r="AO40" s="9">
        <v>4</v>
      </c>
      <c r="AP40" s="6">
        <v>49</v>
      </c>
      <c r="AQ40" s="21">
        <f t="shared" si="1"/>
        <v>49</v>
      </c>
      <c r="AR40" s="12">
        <f t="shared" si="6"/>
        <v>100</v>
      </c>
      <c r="AS40" s="6">
        <v>0</v>
      </c>
      <c r="AT40" s="6">
        <v>0</v>
      </c>
      <c r="AU40" s="6">
        <v>0</v>
      </c>
      <c r="AV40" s="6">
        <v>0</v>
      </c>
      <c r="AW40" s="6">
        <v>94</v>
      </c>
      <c r="AX40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 t="s">
        <v>44</v>
      </c>
      <c r="BF40" s="6" t="s">
        <v>44</v>
      </c>
      <c r="BG40" s="6" t="s">
        <v>44</v>
      </c>
      <c r="BH40" s="6" t="s">
        <v>44</v>
      </c>
      <c r="BI40" s="6" t="s">
        <v>44</v>
      </c>
      <c r="BJ40" s="6" t="s">
        <v>44</v>
      </c>
      <c r="BK40" s="6">
        <v>0</v>
      </c>
      <c r="BL40" s="6">
        <f t="shared" si="4"/>
        <v>94</v>
      </c>
      <c r="BM40" s="6">
        <f t="shared" si="5"/>
        <v>94</v>
      </c>
      <c r="BN40" s="6">
        <v>22</v>
      </c>
      <c r="BO40">
        <f t="shared" si="9"/>
        <v>22</v>
      </c>
      <c r="BP40" s="6">
        <v>0</v>
      </c>
      <c r="BQ40">
        <f>SUM(BP40,BB40,BK40)</f>
        <v>0</v>
      </c>
      <c r="BR40">
        <f t="shared" si="3"/>
        <v>0</v>
      </c>
    </row>
    <row r="41" spans="1:70" hidden="1">
      <c r="A41" s="7" t="str">
        <f t="shared" si="0"/>
        <v>YB_2024_AZ_2_5</v>
      </c>
      <c r="B41" t="s">
        <v>49</v>
      </c>
      <c r="C41">
        <v>44.311399999999999</v>
      </c>
      <c r="D41">
        <v>-124.1086</v>
      </c>
      <c r="E41" s="8">
        <v>45437</v>
      </c>
      <c r="F41">
        <v>2024</v>
      </c>
      <c r="G41" t="s">
        <v>50</v>
      </c>
      <c r="H41" s="10" t="s">
        <v>42</v>
      </c>
      <c r="I41" s="6">
        <v>2</v>
      </c>
      <c r="J41" s="6">
        <v>5</v>
      </c>
      <c r="K41" t="s">
        <v>51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2" t="s">
        <v>44</v>
      </c>
      <c r="R41" s="22" t="s">
        <v>44</v>
      </c>
      <c r="S41" s="22">
        <v>0</v>
      </c>
      <c r="T41" s="23">
        <v>0</v>
      </c>
      <c r="U41" s="23">
        <v>0</v>
      </c>
      <c r="V41" s="18" t="s">
        <v>44</v>
      </c>
      <c r="W41" s="18" t="s">
        <v>44</v>
      </c>
      <c r="X41" s="18" t="s">
        <v>44</v>
      </c>
      <c r="Y41" s="18" t="s">
        <v>44</v>
      </c>
      <c r="Z41" s="18" t="s">
        <v>44</v>
      </c>
      <c r="AA41" s="11" t="s">
        <v>44</v>
      </c>
      <c r="AB41" s="11" t="s">
        <v>44</v>
      </c>
      <c r="AC41" s="11" t="s">
        <v>44</v>
      </c>
      <c r="AD41" s="11" t="s">
        <v>44</v>
      </c>
      <c r="AE41" s="11" t="s">
        <v>44</v>
      </c>
      <c r="AF41" s="11" t="s">
        <v>44</v>
      </c>
      <c r="AG41" s="32"/>
      <c r="AH41" s="6">
        <v>12</v>
      </c>
      <c r="AI41" s="6">
        <v>4</v>
      </c>
      <c r="AJ41" s="6">
        <v>0</v>
      </c>
      <c r="AK41" s="9">
        <v>0</v>
      </c>
      <c r="AL41" s="9">
        <v>11</v>
      </c>
      <c r="AM41" s="9">
        <v>11</v>
      </c>
      <c r="AN41" s="9">
        <v>2</v>
      </c>
      <c r="AO41" s="9">
        <v>2</v>
      </c>
      <c r="AP41" s="6">
        <v>58</v>
      </c>
      <c r="AQ41" s="21">
        <f t="shared" si="1"/>
        <v>58</v>
      </c>
      <c r="AR41" s="12">
        <f t="shared" si="6"/>
        <v>100</v>
      </c>
      <c r="AS41" s="6">
        <v>6</v>
      </c>
      <c r="AT41" s="6">
        <v>0</v>
      </c>
      <c r="AU41" s="6">
        <v>0</v>
      </c>
      <c r="AV41" s="6">
        <v>0</v>
      </c>
      <c r="AW41" s="6">
        <v>52</v>
      </c>
      <c r="AX41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 t="s">
        <v>44</v>
      </c>
      <c r="BF41" s="6" t="s">
        <v>44</v>
      </c>
      <c r="BG41" s="6" t="s">
        <v>44</v>
      </c>
      <c r="BH41" s="6" t="s">
        <v>44</v>
      </c>
      <c r="BI41" s="6" t="s">
        <v>44</v>
      </c>
      <c r="BJ41" s="6" t="s">
        <v>44</v>
      </c>
      <c r="BK41" s="6">
        <v>0</v>
      </c>
      <c r="BL41" s="6">
        <f t="shared" si="4"/>
        <v>58</v>
      </c>
      <c r="BM41" s="6">
        <f t="shared" si="5"/>
        <v>58</v>
      </c>
      <c r="BN41" s="6">
        <v>4</v>
      </c>
      <c r="BO41">
        <f t="shared" si="9"/>
        <v>4</v>
      </c>
      <c r="BP41" s="6">
        <v>0</v>
      </c>
      <c r="BQ41">
        <f>SUM(BP41,BB41,BK41)</f>
        <v>0</v>
      </c>
      <c r="BR41">
        <f t="shared" si="3"/>
        <v>0</v>
      </c>
    </row>
    <row r="42" spans="1:70" hidden="1">
      <c r="A42" s="16" t="str">
        <f t="shared" si="0"/>
        <v>YB_2024_UPZ_1_1</v>
      </c>
      <c r="B42" t="s">
        <v>49</v>
      </c>
      <c r="C42">
        <v>44.311399999999999</v>
      </c>
      <c r="D42">
        <v>-124.1086</v>
      </c>
      <c r="E42" s="8">
        <v>45509</v>
      </c>
      <c r="F42">
        <v>2024</v>
      </c>
      <c r="G42" t="s">
        <v>50</v>
      </c>
      <c r="H42" t="s">
        <v>45</v>
      </c>
      <c r="I42">
        <v>1</v>
      </c>
      <c r="J42">
        <v>1</v>
      </c>
      <c r="K42" t="s">
        <v>43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 t="s">
        <v>44</v>
      </c>
      <c r="R42" s="23" t="s">
        <v>44</v>
      </c>
      <c r="S42" s="22">
        <v>0</v>
      </c>
      <c r="T42" s="23">
        <v>0</v>
      </c>
      <c r="U42" s="23">
        <v>0</v>
      </c>
      <c r="V42" s="18" t="s">
        <v>44</v>
      </c>
      <c r="W42" s="18" t="s">
        <v>44</v>
      </c>
      <c r="X42" s="18" t="s">
        <v>44</v>
      </c>
      <c r="Y42" s="18" t="s">
        <v>44</v>
      </c>
      <c r="Z42" s="18" t="s">
        <v>44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1">
        <f t="shared" si="7"/>
        <v>0</v>
      </c>
      <c r="AG42" s="32"/>
      <c r="AH42">
        <v>0</v>
      </c>
      <c r="AI42">
        <v>37</v>
      </c>
      <c r="AJ42">
        <v>0</v>
      </c>
      <c r="AK42">
        <v>0</v>
      </c>
      <c r="AL42">
        <v>1</v>
      </c>
      <c r="AM42">
        <v>5</v>
      </c>
      <c r="AN42">
        <v>19</v>
      </c>
      <c r="AO42">
        <v>2</v>
      </c>
      <c r="AP42">
        <v>36</v>
      </c>
      <c r="AQ42" s="21">
        <f t="shared" si="1"/>
        <v>36</v>
      </c>
      <c r="AR42" s="12">
        <f t="shared" si="6"/>
        <v>100</v>
      </c>
      <c r="AS42">
        <v>0</v>
      </c>
      <c r="AT42">
        <v>0</v>
      </c>
      <c r="AU42">
        <v>0</v>
      </c>
      <c r="AV42" s="6">
        <v>0</v>
      </c>
      <c r="AW42">
        <v>0</v>
      </c>
      <c r="AX42">
        <v>0</v>
      </c>
      <c r="AY42" s="6">
        <v>0</v>
      </c>
      <c r="AZ42">
        <v>0</v>
      </c>
      <c r="BA42" s="6">
        <v>0</v>
      </c>
      <c r="BB42">
        <v>0</v>
      </c>
      <c r="BC42" s="6">
        <v>0</v>
      </c>
      <c r="BD42">
        <v>0</v>
      </c>
      <c r="BE42" s="6" t="s">
        <v>44</v>
      </c>
      <c r="BF42" s="6" t="s">
        <v>44</v>
      </c>
      <c r="BG42" s="6" t="s">
        <v>44</v>
      </c>
      <c r="BH42" s="6" t="s">
        <v>44</v>
      </c>
      <c r="BI42" s="6" t="s">
        <v>44</v>
      </c>
      <c r="BJ42" s="6" t="s">
        <v>44</v>
      </c>
      <c r="BK42" s="6">
        <v>0</v>
      </c>
      <c r="BL42" s="6">
        <f t="shared" si="4"/>
        <v>0</v>
      </c>
      <c r="BM42" s="6">
        <f t="shared" si="5"/>
        <v>0</v>
      </c>
      <c r="BN42">
        <v>37</v>
      </c>
      <c r="BO42">
        <f t="shared" si="9"/>
        <v>37</v>
      </c>
      <c r="BP42">
        <v>0</v>
      </c>
      <c r="BQ42">
        <f>SUM(BP42,BB42,BK42)</f>
        <v>0</v>
      </c>
      <c r="BR42">
        <f t="shared" si="3"/>
        <v>0</v>
      </c>
    </row>
    <row r="43" spans="1:70" hidden="1">
      <c r="A43" s="16" t="str">
        <f t="shared" si="0"/>
        <v>YB_2024_UPZ_1_2</v>
      </c>
      <c r="B43" t="s">
        <v>49</v>
      </c>
      <c r="C43">
        <v>44.311399999999999</v>
      </c>
      <c r="D43">
        <v>-124.1086</v>
      </c>
      <c r="E43" s="8">
        <v>45509</v>
      </c>
      <c r="F43">
        <v>2024</v>
      </c>
      <c r="G43" t="s">
        <v>50</v>
      </c>
      <c r="H43" t="s">
        <v>45</v>
      </c>
      <c r="I43">
        <v>1</v>
      </c>
      <c r="J43">
        <v>2</v>
      </c>
      <c r="K43" t="s">
        <v>43</v>
      </c>
      <c r="L43" s="23">
        <v>1</v>
      </c>
      <c r="M43" s="23">
        <v>1</v>
      </c>
      <c r="N43" s="23">
        <v>0</v>
      </c>
      <c r="O43" s="23">
        <v>0</v>
      </c>
      <c r="P43" s="23">
        <v>0</v>
      </c>
      <c r="Q43" s="23" t="s">
        <v>44</v>
      </c>
      <c r="R43" s="23" t="s">
        <v>44</v>
      </c>
      <c r="S43" s="22">
        <v>0</v>
      </c>
      <c r="T43" s="23">
        <v>0</v>
      </c>
      <c r="U43" s="23">
        <v>0</v>
      </c>
      <c r="V43" s="20"/>
      <c r="W43" s="18" t="s">
        <v>44</v>
      </c>
      <c r="X43" s="18" t="s">
        <v>44</v>
      </c>
      <c r="Y43" s="18" t="s">
        <v>44</v>
      </c>
      <c r="Z43" s="18" t="s">
        <v>44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1">
        <f t="shared" si="7"/>
        <v>0</v>
      </c>
      <c r="AG43" s="32"/>
      <c r="AH43">
        <v>0.1</v>
      </c>
      <c r="AI43">
        <v>30</v>
      </c>
      <c r="AJ43">
        <v>0</v>
      </c>
      <c r="AK43">
        <v>0</v>
      </c>
      <c r="AL43">
        <v>2</v>
      </c>
      <c r="AM43">
        <v>0.1</v>
      </c>
      <c r="AN43">
        <v>66</v>
      </c>
      <c r="AO43">
        <v>0</v>
      </c>
      <c r="AP43">
        <v>2</v>
      </c>
      <c r="AQ43" s="21">
        <f t="shared" si="1"/>
        <v>2</v>
      </c>
      <c r="AR43" s="12">
        <f t="shared" si="6"/>
        <v>100.2</v>
      </c>
      <c r="AS43">
        <v>0</v>
      </c>
      <c r="AT43">
        <v>1</v>
      </c>
      <c r="AU43">
        <v>0</v>
      </c>
      <c r="AV43" s="6">
        <v>0</v>
      </c>
      <c r="AW43" s="6">
        <v>0</v>
      </c>
      <c r="AX43">
        <v>16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 t="s">
        <v>44</v>
      </c>
      <c r="BF43" s="6" t="s">
        <v>44</v>
      </c>
      <c r="BG43" s="6" t="s">
        <v>44</v>
      </c>
      <c r="BH43" s="6" t="s">
        <v>44</v>
      </c>
      <c r="BI43" s="6" t="s">
        <v>44</v>
      </c>
      <c r="BJ43" s="6" t="s">
        <v>44</v>
      </c>
      <c r="BK43" s="6">
        <v>0</v>
      </c>
      <c r="BL43" s="6">
        <f t="shared" si="4"/>
        <v>17</v>
      </c>
      <c r="BM43" s="6">
        <f t="shared" si="5"/>
        <v>17</v>
      </c>
      <c r="BN43">
        <v>30</v>
      </c>
      <c r="BO43">
        <f t="shared" si="9"/>
        <v>30</v>
      </c>
      <c r="BP43">
        <v>0</v>
      </c>
      <c r="BQ43">
        <f>SUM(BP43,BB43,BK43)</f>
        <v>0</v>
      </c>
      <c r="BR43">
        <f t="shared" si="3"/>
        <v>0</v>
      </c>
    </row>
    <row r="44" spans="1:70" hidden="1">
      <c r="A44" s="16" t="str">
        <f t="shared" si="0"/>
        <v>YB_2024_UPZ_1_3</v>
      </c>
      <c r="B44" t="s">
        <v>49</v>
      </c>
      <c r="C44">
        <v>44.311399999999999</v>
      </c>
      <c r="D44">
        <v>-124.1086</v>
      </c>
      <c r="E44" s="8">
        <v>45509</v>
      </c>
      <c r="F44">
        <v>2024</v>
      </c>
      <c r="G44" t="s">
        <v>50</v>
      </c>
      <c r="H44" t="s">
        <v>45</v>
      </c>
      <c r="I44">
        <v>1</v>
      </c>
      <c r="J44">
        <v>3</v>
      </c>
      <c r="K44" t="s">
        <v>43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 t="s">
        <v>44</v>
      </c>
      <c r="R44" s="23" t="s">
        <v>44</v>
      </c>
      <c r="S44" s="22">
        <v>0</v>
      </c>
      <c r="T44" s="23">
        <v>0</v>
      </c>
      <c r="U44" s="23">
        <v>0</v>
      </c>
      <c r="V44" s="18" t="s">
        <v>44</v>
      </c>
      <c r="W44" s="18" t="s">
        <v>44</v>
      </c>
      <c r="X44" s="18" t="s">
        <v>44</v>
      </c>
      <c r="Y44" s="18" t="s">
        <v>44</v>
      </c>
      <c r="Z44" s="18" t="s">
        <v>44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1">
        <f t="shared" si="7"/>
        <v>0</v>
      </c>
      <c r="AG44" s="32"/>
      <c r="AH44">
        <v>1</v>
      </c>
      <c r="AI44">
        <v>40</v>
      </c>
      <c r="AJ44">
        <v>0</v>
      </c>
      <c r="AK44">
        <v>0</v>
      </c>
      <c r="AL44">
        <v>3</v>
      </c>
      <c r="AM44">
        <v>1</v>
      </c>
      <c r="AN44">
        <v>53</v>
      </c>
      <c r="AO44">
        <v>1</v>
      </c>
      <c r="AP44">
        <v>1</v>
      </c>
      <c r="AQ44" s="21">
        <f t="shared" si="1"/>
        <v>1</v>
      </c>
      <c r="AR44" s="12">
        <f t="shared" si="6"/>
        <v>100</v>
      </c>
      <c r="AS44">
        <v>0</v>
      </c>
      <c r="AT44">
        <v>7</v>
      </c>
      <c r="AU44">
        <v>0</v>
      </c>
      <c r="AV44" s="6">
        <v>0</v>
      </c>
      <c r="AW44">
        <v>0</v>
      </c>
      <c r="AX44">
        <v>8</v>
      </c>
      <c r="AY44" s="6">
        <v>0</v>
      </c>
      <c r="AZ44">
        <v>0</v>
      </c>
      <c r="BA44" s="6">
        <v>0</v>
      </c>
      <c r="BB44">
        <v>0</v>
      </c>
      <c r="BC44" s="6">
        <v>0</v>
      </c>
      <c r="BD44">
        <v>0</v>
      </c>
      <c r="BE44" s="6" t="s">
        <v>44</v>
      </c>
      <c r="BF44" s="6" t="s">
        <v>44</v>
      </c>
      <c r="BG44" s="6" t="s">
        <v>44</v>
      </c>
      <c r="BH44" s="6" t="s">
        <v>44</v>
      </c>
      <c r="BI44" s="6" t="s">
        <v>44</v>
      </c>
      <c r="BJ44" s="6" t="s">
        <v>44</v>
      </c>
      <c r="BK44" s="6">
        <v>0</v>
      </c>
      <c r="BL44" s="6">
        <f t="shared" si="4"/>
        <v>15</v>
      </c>
      <c r="BM44" s="6">
        <f t="shared" si="5"/>
        <v>15</v>
      </c>
      <c r="BN44">
        <v>40</v>
      </c>
      <c r="BO44">
        <f t="shared" si="9"/>
        <v>40</v>
      </c>
      <c r="BP44">
        <v>0</v>
      </c>
      <c r="BQ44">
        <f>SUM(BP44,BB44,BK44)</f>
        <v>0</v>
      </c>
      <c r="BR44">
        <f t="shared" si="3"/>
        <v>0</v>
      </c>
    </row>
    <row r="45" spans="1:70" hidden="1">
      <c r="A45" s="16" t="str">
        <f t="shared" si="0"/>
        <v>YB_2024_UPZ_1_4</v>
      </c>
      <c r="B45" t="s">
        <v>49</v>
      </c>
      <c r="C45">
        <v>44.311399999999999</v>
      </c>
      <c r="D45">
        <v>-124.1086</v>
      </c>
      <c r="E45" s="8">
        <v>45509</v>
      </c>
      <c r="F45">
        <v>2024</v>
      </c>
      <c r="G45" t="s">
        <v>50</v>
      </c>
      <c r="H45" t="s">
        <v>45</v>
      </c>
      <c r="I45">
        <v>1</v>
      </c>
      <c r="J45">
        <v>4</v>
      </c>
      <c r="K45" t="s">
        <v>43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 t="s">
        <v>44</v>
      </c>
      <c r="R45" s="23" t="s">
        <v>44</v>
      </c>
      <c r="S45" s="22">
        <v>0</v>
      </c>
      <c r="T45" s="23">
        <v>0</v>
      </c>
      <c r="U45" s="23">
        <v>0</v>
      </c>
      <c r="V45" s="18" t="s">
        <v>44</v>
      </c>
      <c r="W45" s="18" t="s">
        <v>44</v>
      </c>
      <c r="X45" s="18" t="s">
        <v>44</v>
      </c>
      <c r="Y45" s="18" t="s">
        <v>44</v>
      </c>
      <c r="Z45" s="18" t="s">
        <v>44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1">
        <f t="shared" si="7"/>
        <v>0</v>
      </c>
      <c r="AG45" s="32"/>
      <c r="AH45">
        <v>0.1</v>
      </c>
      <c r="AI45">
        <v>11</v>
      </c>
      <c r="AJ45">
        <v>0</v>
      </c>
      <c r="AK45">
        <v>0</v>
      </c>
      <c r="AL45">
        <v>0</v>
      </c>
      <c r="AM45">
        <v>2</v>
      </c>
      <c r="AN45">
        <v>86</v>
      </c>
      <c r="AO45">
        <v>0</v>
      </c>
      <c r="AP45">
        <v>1</v>
      </c>
      <c r="AQ45" s="21">
        <f t="shared" si="1"/>
        <v>1</v>
      </c>
      <c r="AR45" s="12">
        <f t="shared" si="6"/>
        <v>100.1</v>
      </c>
      <c r="AS45">
        <v>0</v>
      </c>
      <c r="AT45">
        <v>0</v>
      </c>
      <c r="AU45">
        <v>0</v>
      </c>
      <c r="AV45" s="6">
        <v>0</v>
      </c>
      <c r="AW45">
        <v>2</v>
      </c>
      <c r="AX45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 t="s">
        <v>44</v>
      </c>
      <c r="BF45" s="6" t="s">
        <v>44</v>
      </c>
      <c r="BG45" s="6" t="s">
        <v>44</v>
      </c>
      <c r="BH45" s="6" t="s">
        <v>44</v>
      </c>
      <c r="BI45" s="6" t="s">
        <v>44</v>
      </c>
      <c r="BJ45" s="6" t="s">
        <v>44</v>
      </c>
      <c r="BK45" s="6">
        <v>0</v>
      </c>
      <c r="BL45" s="6">
        <f t="shared" si="4"/>
        <v>2</v>
      </c>
      <c r="BM45" s="6">
        <f t="shared" si="5"/>
        <v>2</v>
      </c>
      <c r="BN45">
        <v>11</v>
      </c>
      <c r="BO45">
        <f t="shared" si="9"/>
        <v>11</v>
      </c>
      <c r="BP45">
        <v>0</v>
      </c>
      <c r="BQ45">
        <f>SUM(BP45,BB45,BK45)</f>
        <v>0</v>
      </c>
      <c r="BR45">
        <f t="shared" si="3"/>
        <v>0</v>
      </c>
    </row>
    <row r="46" spans="1:70" hidden="1">
      <c r="A46" s="16" t="str">
        <f t="shared" si="0"/>
        <v>YB_2024_UPZ_1_5</v>
      </c>
      <c r="B46" t="s">
        <v>49</v>
      </c>
      <c r="C46">
        <v>44.311399999999999</v>
      </c>
      <c r="D46">
        <v>-124.1086</v>
      </c>
      <c r="E46" s="8">
        <v>45509</v>
      </c>
      <c r="F46">
        <v>2024</v>
      </c>
      <c r="G46" t="s">
        <v>50</v>
      </c>
      <c r="H46" t="s">
        <v>45</v>
      </c>
      <c r="I46">
        <v>1</v>
      </c>
      <c r="J46">
        <v>5</v>
      </c>
      <c r="K46" t="s">
        <v>43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 t="s">
        <v>44</v>
      </c>
      <c r="R46" s="23" t="s">
        <v>44</v>
      </c>
      <c r="S46" s="22">
        <v>0</v>
      </c>
      <c r="T46" s="23">
        <v>0</v>
      </c>
      <c r="U46" s="23">
        <v>0</v>
      </c>
      <c r="V46" s="18" t="s">
        <v>44</v>
      </c>
      <c r="W46" s="18" t="s">
        <v>44</v>
      </c>
      <c r="X46" s="18" t="s">
        <v>44</v>
      </c>
      <c r="Y46" s="18" t="s">
        <v>44</v>
      </c>
      <c r="Z46" s="18" t="s">
        <v>44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1">
        <f t="shared" si="7"/>
        <v>0</v>
      </c>
      <c r="AG46" s="32"/>
      <c r="AH46">
        <v>0</v>
      </c>
      <c r="AI46">
        <v>36</v>
      </c>
      <c r="AJ46">
        <v>0</v>
      </c>
      <c r="AK46">
        <v>0</v>
      </c>
      <c r="AL46">
        <v>4</v>
      </c>
      <c r="AM46">
        <v>4</v>
      </c>
      <c r="AN46">
        <v>10</v>
      </c>
      <c r="AO46">
        <v>0</v>
      </c>
      <c r="AP46">
        <v>46</v>
      </c>
      <c r="AQ46" s="21">
        <f t="shared" si="1"/>
        <v>46</v>
      </c>
      <c r="AR46" s="12">
        <f t="shared" si="6"/>
        <v>100</v>
      </c>
      <c r="AS46">
        <v>0</v>
      </c>
      <c r="AT46">
        <v>0</v>
      </c>
      <c r="AU46">
        <v>0</v>
      </c>
      <c r="AV46" s="6">
        <v>0</v>
      </c>
      <c r="AW46">
        <v>0</v>
      </c>
      <c r="AX46">
        <v>0</v>
      </c>
      <c r="AY46" s="6">
        <v>0</v>
      </c>
      <c r="AZ46">
        <v>0</v>
      </c>
      <c r="BA46" s="6">
        <v>0</v>
      </c>
      <c r="BB46">
        <v>0</v>
      </c>
      <c r="BC46" s="6">
        <v>0</v>
      </c>
      <c r="BD46">
        <v>0</v>
      </c>
      <c r="BE46" s="6" t="s">
        <v>44</v>
      </c>
      <c r="BF46" s="6" t="s">
        <v>44</v>
      </c>
      <c r="BG46" s="6" t="s">
        <v>44</v>
      </c>
      <c r="BH46" s="6" t="s">
        <v>44</v>
      </c>
      <c r="BI46" s="6" t="s">
        <v>44</v>
      </c>
      <c r="BJ46" s="6" t="s">
        <v>44</v>
      </c>
      <c r="BK46" s="6">
        <v>0</v>
      </c>
      <c r="BL46" s="6">
        <f t="shared" si="4"/>
        <v>0</v>
      </c>
      <c r="BM46" s="6">
        <f t="shared" si="5"/>
        <v>0</v>
      </c>
      <c r="BN46">
        <v>36</v>
      </c>
      <c r="BO46">
        <f t="shared" si="9"/>
        <v>36</v>
      </c>
      <c r="BP46">
        <v>0</v>
      </c>
      <c r="BQ46">
        <f>SUM(BP46,BB46,BK46)</f>
        <v>0</v>
      </c>
      <c r="BR46">
        <f t="shared" si="3"/>
        <v>0</v>
      </c>
    </row>
    <row r="47" spans="1:70" hidden="1">
      <c r="A47" s="16" t="str">
        <f t="shared" si="0"/>
        <v>YB_2024_UPZ_2_1</v>
      </c>
      <c r="B47" t="s">
        <v>49</v>
      </c>
      <c r="C47">
        <v>44.311399999999999</v>
      </c>
      <c r="D47">
        <v>-124.1086</v>
      </c>
      <c r="E47" s="8">
        <v>45509</v>
      </c>
      <c r="F47">
        <v>2024</v>
      </c>
      <c r="G47" t="s">
        <v>50</v>
      </c>
      <c r="H47" t="s">
        <v>45</v>
      </c>
      <c r="I47">
        <v>2</v>
      </c>
      <c r="J47">
        <v>1</v>
      </c>
      <c r="K47" t="s">
        <v>46</v>
      </c>
      <c r="L47" s="23">
        <v>11</v>
      </c>
      <c r="M47" s="23">
        <v>4</v>
      </c>
      <c r="N47" s="23">
        <v>6</v>
      </c>
      <c r="O47" s="23">
        <v>1</v>
      </c>
      <c r="P47" s="23">
        <v>0</v>
      </c>
      <c r="Q47" s="23" t="s">
        <v>44</v>
      </c>
      <c r="R47" s="23" t="s">
        <v>44</v>
      </c>
      <c r="S47" s="22">
        <v>0</v>
      </c>
      <c r="T47" s="23">
        <v>0</v>
      </c>
      <c r="U47" s="23">
        <v>0</v>
      </c>
      <c r="V47" s="18">
        <v>3.766</v>
      </c>
      <c r="W47" s="18">
        <v>4.5030000000000001</v>
      </c>
      <c r="X47" s="18">
        <v>4.2119999999999997</v>
      </c>
      <c r="Y47" s="18">
        <v>4.0570000000000004</v>
      </c>
      <c r="Z47" s="18">
        <v>4.7779999999999996</v>
      </c>
      <c r="AA47" s="15">
        <v>0</v>
      </c>
      <c r="AB47" s="15">
        <v>0</v>
      </c>
      <c r="AC47" s="15">
        <v>1</v>
      </c>
      <c r="AD47" s="15">
        <v>0</v>
      </c>
      <c r="AE47" s="15">
        <v>0</v>
      </c>
      <c r="AF47" s="11">
        <f t="shared" si="7"/>
        <v>1</v>
      </c>
      <c r="AG47" s="32"/>
      <c r="AH47">
        <v>0</v>
      </c>
      <c r="AI47">
        <v>6</v>
      </c>
      <c r="AJ47">
        <v>1</v>
      </c>
      <c r="AK47">
        <v>0</v>
      </c>
      <c r="AL47">
        <v>7</v>
      </c>
      <c r="AM47">
        <v>9</v>
      </c>
      <c r="AN47">
        <v>32</v>
      </c>
      <c r="AO47">
        <v>0</v>
      </c>
      <c r="AP47">
        <v>45</v>
      </c>
      <c r="AQ47" s="21">
        <f t="shared" si="1"/>
        <v>45</v>
      </c>
      <c r="AR47" s="12">
        <f t="shared" si="6"/>
        <v>100</v>
      </c>
      <c r="AS47">
        <v>0</v>
      </c>
      <c r="AT47">
        <v>0</v>
      </c>
      <c r="AU47">
        <v>0</v>
      </c>
      <c r="AV47" s="6">
        <v>0</v>
      </c>
      <c r="AW47">
        <v>0</v>
      </c>
      <c r="AX47">
        <v>12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 t="s">
        <v>44</v>
      </c>
      <c r="BF47" s="6" t="s">
        <v>44</v>
      </c>
      <c r="BG47" s="6" t="s">
        <v>44</v>
      </c>
      <c r="BH47" s="6" t="s">
        <v>44</v>
      </c>
      <c r="BI47" s="6" t="s">
        <v>44</v>
      </c>
      <c r="BJ47" s="6" t="s">
        <v>44</v>
      </c>
      <c r="BK47" s="6">
        <v>0</v>
      </c>
      <c r="BL47" s="6">
        <f t="shared" si="4"/>
        <v>12</v>
      </c>
      <c r="BM47" s="6">
        <f t="shared" si="5"/>
        <v>12</v>
      </c>
      <c r="BN47">
        <v>6</v>
      </c>
      <c r="BO47">
        <f t="shared" si="9"/>
        <v>6</v>
      </c>
      <c r="BP47">
        <v>1</v>
      </c>
      <c r="BQ47">
        <f>SUM(BP47,BB47,BK47)</f>
        <v>1</v>
      </c>
      <c r="BR47">
        <f t="shared" si="3"/>
        <v>0</v>
      </c>
    </row>
    <row r="48" spans="1:70" hidden="1">
      <c r="A48" s="16" t="str">
        <f t="shared" si="0"/>
        <v>YB_2024_UPZ_2_2</v>
      </c>
      <c r="B48" t="s">
        <v>49</v>
      </c>
      <c r="C48">
        <v>44.311399999999999</v>
      </c>
      <c r="D48">
        <v>-124.1086</v>
      </c>
      <c r="E48" s="8">
        <v>45509</v>
      </c>
      <c r="F48">
        <v>2024</v>
      </c>
      <c r="G48" t="s">
        <v>50</v>
      </c>
      <c r="H48" t="s">
        <v>45</v>
      </c>
      <c r="I48">
        <v>2</v>
      </c>
      <c r="J48">
        <v>2</v>
      </c>
      <c r="K48" t="s">
        <v>83</v>
      </c>
      <c r="L48" s="23">
        <v>5</v>
      </c>
      <c r="M48" s="23">
        <v>3</v>
      </c>
      <c r="N48" s="23">
        <v>2</v>
      </c>
      <c r="O48" s="23">
        <v>0</v>
      </c>
      <c r="P48" s="23">
        <v>0</v>
      </c>
      <c r="Q48" s="23" t="s">
        <v>44</v>
      </c>
      <c r="R48" s="23" t="s">
        <v>44</v>
      </c>
      <c r="S48" s="22">
        <v>0</v>
      </c>
      <c r="T48" s="23">
        <v>0</v>
      </c>
      <c r="U48" s="23">
        <v>0</v>
      </c>
      <c r="V48" s="18">
        <v>3.7010000000000001</v>
      </c>
      <c r="W48" s="18" t="s">
        <v>44</v>
      </c>
      <c r="X48" s="18" t="s">
        <v>44</v>
      </c>
      <c r="Y48" s="18" t="s">
        <v>44</v>
      </c>
      <c r="Z48" s="18" t="s">
        <v>44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1">
        <f t="shared" si="7"/>
        <v>1</v>
      </c>
      <c r="AG48" s="32"/>
      <c r="AH48">
        <v>0</v>
      </c>
      <c r="AI48">
        <v>10</v>
      </c>
      <c r="AJ48">
        <v>0</v>
      </c>
      <c r="AK48">
        <v>0</v>
      </c>
      <c r="AL48">
        <v>62</v>
      </c>
      <c r="AM48">
        <v>2</v>
      </c>
      <c r="AN48">
        <v>19</v>
      </c>
      <c r="AO48">
        <v>0.1</v>
      </c>
      <c r="AP48">
        <v>7</v>
      </c>
      <c r="AQ48" s="21">
        <f t="shared" si="1"/>
        <v>7</v>
      </c>
      <c r="AR48" s="12">
        <f t="shared" si="6"/>
        <v>100.1</v>
      </c>
      <c r="AS48">
        <v>0</v>
      </c>
      <c r="AT48">
        <v>0</v>
      </c>
      <c r="AU48">
        <v>0</v>
      </c>
      <c r="AV48" s="6">
        <v>0</v>
      </c>
      <c r="AW48">
        <v>0</v>
      </c>
      <c r="AX48">
        <v>0</v>
      </c>
      <c r="AY48" s="6">
        <v>0</v>
      </c>
      <c r="AZ48">
        <v>0</v>
      </c>
      <c r="BA48" s="6">
        <v>0</v>
      </c>
      <c r="BB48">
        <v>0</v>
      </c>
      <c r="BC48" s="6">
        <v>0</v>
      </c>
      <c r="BD48">
        <v>0</v>
      </c>
      <c r="BE48" s="6" t="s">
        <v>44</v>
      </c>
      <c r="BF48" s="6" t="s">
        <v>44</v>
      </c>
      <c r="BG48" s="6" t="s">
        <v>44</v>
      </c>
      <c r="BH48" s="6" t="s">
        <v>44</v>
      </c>
      <c r="BI48" s="6" t="s">
        <v>44</v>
      </c>
      <c r="BJ48" s="6" t="s">
        <v>44</v>
      </c>
      <c r="BK48" s="6">
        <v>0</v>
      </c>
      <c r="BL48" s="6">
        <f t="shared" si="4"/>
        <v>0</v>
      </c>
      <c r="BM48" s="6">
        <f t="shared" si="5"/>
        <v>0</v>
      </c>
      <c r="BN48">
        <v>10</v>
      </c>
      <c r="BO48">
        <f t="shared" si="9"/>
        <v>10</v>
      </c>
      <c r="BP48">
        <v>0</v>
      </c>
      <c r="BQ48">
        <f>SUM(BP48,BB48,BK48)</f>
        <v>0</v>
      </c>
      <c r="BR48">
        <f t="shared" si="3"/>
        <v>0</v>
      </c>
    </row>
    <row r="49" spans="1:70">
      <c r="A49" s="16" t="str">
        <f t="shared" si="0"/>
        <v>YB_2024_UPZ_2_3</v>
      </c>
      <c r="B49" t="s">
        <v>49</v>
      </c>
      <c r="C49">
        <v>44.311399999999999</v>
      </c>
      <c r="D49">
        <v>-124.1086</v>
      </c>
      <c r="E49" s="8">
        <v>45509</v>
      </c>
      <c r="F49">
        <v>2024</v>
      </c>
      <c r="G49" t="s">
        <v>50</v>
      </c>
      <c r="H49" t="s">
        <v>45</v>
      </c>
      <c r="I49">
        <v>2</v>
      </c>
      <c r="J49">
        <v>3</v>
      </c>
      <c r="K49" t="s">
        <v>51</v>
      </c>
      <c r="L49" s="23">
        <v>1</v>
      </c>
      <c r="M49" s="23">
        <v>0</v>
      </c>
      <c r="N49" s="23">
        <v>1</v>
      </c>
      <c r="O49" s="23">
        <v>0</v>
      </c>
      <c r="P49" s="23">
        <v>0</v>
      </c>
      <c r="Q49" s="23" t="s">
        <v>44</v>
      </c>
      <c r="R49" s="23" t="s">
        <v>44</v>
      </c>
      <c r="S49" s="22">
        <v>0</v>
      </c>
      <c r="T49" s="23">
        <v>0</v>
      </c>
      <c r="U49" s="23">
        <v>0</v>
      </c>
      <c r="W49" s="18" t="s">
        <v>44</v>
      </c>
      <c r="X49" s="18" t="s">
        <v>44</v>
      </c>
      <c r="Y49" s="18" t="s">
        <v>44</v>
      </c>
      <c r="Z49" s="18" t="s">
        <v>44</v>
      </c>
      <c r="AA49" s="15">
        <v>2</v>
      </c>
      <c r="AB49" s="15">
        <v>0</v>
      </c>
      <c r="AC49" s="15">
        <v>0</v>
      </c>
      <c r="AD49" s="15">
        <v>0</v>
      </c>
      <c r="AE49" s="15">
        <v>0</v>
      </c>
      <c r="AF49" s="11">
        <f t="shared" si="7"/>
        <v>2</v>
      </c>
      <c r="AG49" s="32"/>
      <c r="AH49">
        <v>0</v>
      </c>
      <c r="AI49">
        <v>9</v>
      </c>
      <c r="AJ49">
        <v>0</v>
      </c>
      <c r="AK49">
        <v>0</v>
      </c>
      <c r="AL49">
        <v>40</v>
      </c>
      <c r="AM49">
        <v>4</v>
      </c>
      <c r="AN49">
        <v>38</v>
      </c>
      <c r="AO49">
        <v>0</v>
      </c>
      <c r="AP49">
        <v>9</v>
      </c>
      <c r="AQ49" s="21">
        <f t="shared" si="1"/>
        <v>9</v>
      </c>
      <c r="AR49" s="12">
        <f t="shared" si="6"/>
        <v>100</v>
      </c>
      <c r="AS49">
        <v>0</v>
      </c>
      <c r="AT49">
        <v>0</v>
      </c>
      <c r="AU49">
        <v>0</v>
      </c>
      <c r="AV49" s="6">
        <v>0</v>
      </c>
      <c r="AW49">
        <v>0</v>
      </c>
      <c r="AX49">
        <v>16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 t="s">
        <v>44</v>
      </c>
      <c r="BF49" s="6" t="s">
        <v>44</v>
      </c>
      <c r="BG49" s="6" t="s">
        <v>44</v>
      </c>
      <c r="BH49" s="6" t="s">
        <v>44</v>
      </c>
      <c r="BI49" s="6" t="s">
        <v>44</v>
      </c>
      <c r="BJ49" s="6" t="s">
        <v>44</v>
      </c>
      <c r="BK49">
        <v>3</v>
      </c>
      <c r="BL49" s="6">
        <f t="shared" si="4"/>
        <v>16</v>
      </c>
      <c r="BM49" s="6">
        <f t="shared" si="5"/>
        <v>16</v>
      </c>
      <c r="BN49">
        <v>9</v>
      </c>
      <c r="BO49">
        <f t="shared" si="9"/>
        <v>9</v>
      </c>
      <c r="BP49">
        <v>0</v>
      </c>
    </row>
    <row r="50" spans="1:70" hidden="1">
      <c r="A50" s="16" t="str">
        <f t="shared" si="0"/>
        <v>YB_2024_UPZ_2_4</v>
      </c>
      <c r="B50" t="s">
        <v>49</v>
      </c>
      <c r="C50">
        <v>44.311399999999999</v>
      </c>
      <c r="D50">
        <v>-124.1086</v>
      </c>
      <c r="E50" s="8">
        <v>45509</v>
      </c>
      <c r="F50">
        <v>2024</v>
      </c>
      <c r="G50" t="s">
        <v>50</v>
      </c>
      <c r="H50" t="s">
        <v>45</v>
      </c>
      <c r="I50">
        <v>2</v>
      </c>
      <c r="J50">
        <v>4</v>
      </c>
      <c r="K50" t="s">
        <v>51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 t="s">
        <v>44</v>
      </c>
      <c r="R50" s="23" t="s">
        <v>44</v>
      </c>
      <c r="S50" s="22">
        <v>0</v>
      </c>
      <c r="T50" s="23">
        <v>0</v>
      </c>
      <c r="U50" s="23">
        <v>0</v>
      </c>
      <c r="V50" s="18" t="s">
        <v>44</v>
      </c>
      <c r="W50" s="18" t="s">
        <v>44</v>
      </c>
      <c r="X50" s="18" t="s">
        <v>44</v>
      </c>
      <c r="Y50" s="18" t="s">
        <v>44</v>
      </c>
      <c r="Z50" s="18" t="s">
        <v>44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1">
        <f t="shared" si="7"/>
        <v>0</v>
      </c>
      <c r="AG50" s="32"/>
      <c r="AH50">
        <v>0</v>
      </c>
      <c r="AI50">
        <v>10</v>
      </c>
      <c r="AJ50">
        <v>0</v>
      </c>
      <c r="AK50">
        <v>0</v>
      </c>
      <c r="AL50">
        <v>7</v>
      </c>
      <c r="AM50">
        <v>3</v>
      </c>
      <c r="AN50">
        <v>19</v>
      </c>
      <c r="AO50">
        <v>0</v>
      </c>
      <c r="AP50">
        <v>61</v>
      </c>
      <c r="AQ50" s="21">
        <f t="shared" si="1"/>
        <v>61</v>
      </c>
      <c r="AR50" s="12">
        <f t="shared" si="6"/>
        <v>100</v>
      </c>
      <c r="AS50">
        <v>0</v>
      </c>
      <c r="AT50">
        <v>0</v>
      </c>
      <c r="AU50">
        <v>0</v>
      </c>
      <c r="AV50" s="6">
        <v>0</v>
      </c>
      <c r="AW50">
        <v>0</v>
      </c>
      <c r="AX50">
        <v>8</v>
      </c>
      <c r="AY50" s="6">
        <v>0</v>
      </c>
      <c r="AZ50">
        <v>0</v>
      </c>
      <c r="BA50" s="6">
        <v>0</v>
      </c>
      <c r="BB50">
        <v>0</v>
      </c>
      <c r="BC50" s="6">
        <v>0</v>
      </c>
      <c r="BD50">
        <v>0</v>
      </c>
      <c r="BE50" s="6" t="s">
        <v>44</v>
      </c>
      <c r="BF50" s="6" t="s">
        <v>44</v>
      </c>
      <c r="BG50" s="6" t="s">
        <v>44</v>
      </c>
      <c r="BH50" s="6" t="s">
        <v>44</v>
      </c>
      <c r="BI50" s="6" t="s">
        <v>44</v>
      </c>
      <c r="BJ50" s="6" t="s">
        <v>44</v>
      </c>
      <c r="BK50" s="6">
        <v>0</v>
      </c>
      <c r="BL50" s="6">
        <f t="shared" si="4"/>
        <v>8</v>
      </c>
      <c r="BM50" s="6">
        <f t="shared" si="5"/>
        <v>8</v>
      </c>
      <c r="BN50">
        <v>10</v>
      </c>
      <c r="BO50">
        <f t="shared" si="9"/>
        <v>10</v>
      </c>
      <c r="BP50">
        <v>0</v>
      </c>
      <c r="BQ50">
        <f>SUM(BP50,BB50,BK50)</f>
        <v>0</v>
      </c>
      <c r="BR50">
        <f t="shared" si="3"/>
        <v>0</v>
      </c>
    </row>
    <row r="51" spans="1:70" hidden="1">
      <c r="A51" s="16" t="str">
        <f t="shared" si="0"/>
        <v>YB_2024_UPZ_2_5</v>
      </c>
      <c r="B51" t="s">
        <v>49</v>
      </c>
      <c r="C51">
        <v>44.311399999999999</v>
      </c>
      <c r="D51">
        <v>-124.1086</v>
      </c>
      <c r="E51" s="8">
        <v>45509</v>
      </c>
      <c r="F51">
        <v>2024</v>
      </c>
      <c r="G51" t="s">
        <v>50</v>
      </c>
      <c r="H51" t="s">
        <v>45</v>
      </c>
      <c r="I51">
        <v>2</v>
      </c>
      <c r="J51">
        <v>5</v>
      </c>
      <c r="K51" t="s">
        <v>51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 t="s">
        <v>44</v>
      </c>
      <c r="R51" s="23" t="s">
        <v>44</v>
      </c>
      <c r="S51" s="22">
        <v>0</v>
      </c>
      <c r="T51" s="23">
        <v>0</v>
      </c>
      <c r="U51" s="23">
        <v>0</v>
      </c>
      <c r="V51" s="18" t="s">
        <v>44</v>
      </c>
      <c r="W51" s="18" t="s">
        <v>44</v>
      </c>
      <c r="X51" s="18" t="s">
        <v>44</v>
      </c>
      <c r="Y51" s="18" t="s">
        <v>44</v>
      </c>
      <c r="Z51" s="18" t="s">
        <v>44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1">
        <f t="shared" si="7"/>
        <v>0</v>
      </c>
      <c r="AG51" s="32"/>
      <c r="AH51">
        <v>0</v>
      </c>
      <c r="AI51">
        <v>7</v>
      </c>
      <c r="AJ51">
        <v>0</v>
      </c>
      <c r="AK51">
        <v>0</v>
      </c>
      <c r="AL51">
        <v>7</v>
      </c>
      <c r="AM51">
        <v>6</v>
      </c>
      <c r="AN51">
        <v>27</v>
      </c>
      <c r="AO51">
        <v>0.1</v>
      </c>
      <c r="AP51">
        <v>53</v>
      </c>
      <c r="AQ51" s="21">
        <f t="shared" si="1"/>
        <v>53</v>
      </c>
      <c r="AR51" s="12">
        <f t="shared" si="6"/>
        <v>100.1</v>
      </c>
      <c r="AS51">
        <v>0</v>
      </c>
      <c r="AT51">
        <v>0</v>
      </c>
      <c r="AU51">
        <v>0</v>
      </c>
      <c r="AV51" s="6">
        <v>0</v>
      </c>
      <c r="AW51">
        <v>0</v>
      </c>
      <c r="AX51">
        <v>1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 t="s">
        <v>44</v>
      </c>
      <c r="BF51" s="6" t="s">
        <v>44</v>
      </c>
      <c r="BG51" s="6" t="s">
        <v>44</v>
      </c>
      <c r="BH51" s="6" t="s">
        <v>44</v>
      </c>
      <c r="BI51" s="6" t="s">
        <v>44</v>
      </c>
      <c r="BJ51" s="6" t="s">
        <v>44</v>
      </c>
      <c r="BK51" s="6">
        <v>0</v>
      </c>
      <c r="BL51" s="6">
        <f t="shared" si="4"/>
        <v>1</v>
      </c>
      <c r="BM51" s="6">
        <f t="shared" si="5"/>
        <v>1</v>
      </c>
      <c r="BN51">
        <v>7</v>
      </c>
      <c r="BO51">
        <f t="shared" si="9"/>
        <v>7</v>
      </c>
      <c r="BP51">
        <v>0</v>
      </c>
      <c r="BQ51">
        <f>SUM(BP51,BB51,BK51)</f>
        <v>0</v>
      </c>
      <c r="BR51">
        <f t="shared" si="3"/>
        <v>0</v>
      </c>
    </row>
    <row r="52" spans="1:70" hidden="1">
      <c r="A52" s="16" t="str">
        <f t="shared" si="0"/>
        <v>SH_2024_UPZ_2_1</v>
      </c>
      <c r="B52" t="s">
        <v>52</v>
      </c>
      <c r="C52">
        <v>44.249229999999997</v>
      </c>
      <c r="D52">
        <v>-124.11539999999999</v>
      </c>
      <c r="E52" s="8">
        <v>45482</v>
      </c>
      <c r="F52">
        <v>2024</v>
      </c>
      <c r="G52" t="s">
        <v>50</v>
      </c>
      <c r="H52" s="10" t="s">
        <v>45</v>
      </c>
      <c r="I52" s="6">
        <v>2</v>
      </c>
      <c r="J52" s="6">
        <v>1</v>
      </c>
      <c r="K52" t="s">
        <v>43</v>
      </c>
      <c r="L52" s="23">
        <v>4</v>
      </c>
      <c r="M52" s="23">
        <v>3</v>
      </c>
      <c r="N52" s="23">
        <v>0</v>
      </c>
      <c r="O52" s="23">
        <v>1</v>
      </c>
      <c r="P52" s="23">
        <v>0</v>
      </c>
      <c r="Q52" s="23" t="s">
        <v>44</v>
      </c>
      <c r="R52" s="22" t="s">
        <v>44</v>
      </c>
      <c r="S52" s="22">
        <v>0</v>
      </c>
      <c r="T52" s="23">
        <v>0</v>
      </c>
      <c r="U52" s="23">
        <v>5</v>
      </c>
      <c r="V52" s="18">
        <v>2.2839999999999998</v>
      </c>
      <c r="W52" s="18" t="s">
        <v>44</v>
      </c>
      <c r="X52" s="18" t="s">
        <v>44</v>
      </c>
      <c r="Y52" s="18" t="s">
        <v>44</v>
      </c>
      <c r="Z52" s="18" t="s">
        <v>44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1">
        <f t="shared" si="7"/>
        <v>0</v>
      </c>
      <c r="AG52" s="32"/>
      <c r="AH52" s="6">
        <v>0</v>
      </c>
      <c r="AI52" s="6">
        <v>6</v>
      </c>
      <c r="AJ52" s="6">
        <v>0</v>
      </c>
      <c r="AK52" s="9">
        <v>0</v>
      </c>
      <c r="AL52" s="9">
        <v>4</v>
      </c>
      <c r="AM52" s="9">
        <v>0</v>
      </c>
      <c r="AN52" s="9">
        <v>85</v>
      </c>
      <c r="AO52" s="9">
        <v>1</v>
      </c>
      <c r="AP52" s="6">
        <v>4</v>
      </c>
      <c r="AQ52" s="21">
        <f t="shared" si="1"/>
        <v>4</v>
      </c>
      <c r="AR52" s="12">
        <f t="shared" si="6"/>
        <v>100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>
        <v>14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 t="s">
        <v>44</v>
      </c>
      <c r="BF52" s="6" t="s">
        <v>44</v>
      </c>
      <c r="BG52" s="6" t="s">
        <v>44</v>
      </c>
      <c r="BH52" s="6" t="s">
        <v>44</v>
      </c>
      <c r="BI52" s="6" t="s">
        <v>44</v>
      </c>
      <c r="BJ52" s="6" t="s">
        <v>44</v>
      </c>
      <c r="BK52" s="6">
        <v>0</v>
      </c>
      <c r="BL52" s="6">
        <f t="shared" si="4"/>
        <v>14</v>
      </c>
      <c r="BM52" s="6">
        <f t="shared" si="5"/>
        <v>14</v>
      </c>
      <c r="BN52" s="6">
        <v>6</v>
      </c>
      <c r="BO52">
        <f t="shared" si="9"/>
        <v>6</v>
      </c>
      <c r="BP52" s="6">
        <v>0</v>
      </c>
      <c r="BQ52">
        <f>SUM(BP52,BB52,BK52)</f>
        <v>0</v>
      </c>
      <c r="BR52">
        <f t="shared" si="3"/>
        <v>0</v>
      </c>
    </row>
    <row r="53" spans="1:70" hidden="1">
      <c r="A53" s="16" t="str">
        <f t="shared" si="0"/>
        <v>SH_2024_UPZ_2_2</v>
      </c>
      <c r="B53" t="s">
        <v>52</v>
      </c>
      <c r="C53">
        <v>44.249229999999997</v>
      </c>
      <c r="D53">
        <v>-124.11539999999999</v>
      </c>
      <c r="E53" s="8">
        <v>45482</v>
      </c>
      <c r="F53">
        <v>2024</v>
      </c>
      <c r="G53" t="s">
        <v>50</v>
      </c>
      <c r="H53" s="10" t="s">
        <v>45</v>
      </c>
      <c r="I53" s="6">
        <v>2</v>
      </c>
      <c r="J53" s="6">
        <v>2</v>
      </c>
      <c r="K53" t="s">
        <v>46</v>
      </c>
      <c r="L53" s="23">
        <v>1</v>
      </c>
      <c r="M53" s="23">
        <v>1</v>
      </c>
      <c r="N53" s="23">
        <v>0</v>
      </c>
      <c r="O53" s="23">
        <v>0</v>
      </c>
      <c r="P53" s="23">
        <v>0</v>
      </c>
      <c r="Q53" s="23" t="s">
        <v>44</v>
      </c>
      <c r="R53" s="22" t="s">
        <v>44</v>
      </c>
      <c r="S53" s="22">
        <v>0</v>
      </c>
      <c r="T53" s="23">
        <v>1</v>
      </c>
      <c r="U53" s="23">
        <v>3</v>
      </c>
      <c r="V53" s="18" t="s">
        <v>44</v>
      </c>
      <c r="W53" s="18" t="s">
        <v>44</v>
      </c>
      <c r="X53" s="18" t="s">
        <v>44</v>
      </c>
      <c r="Y53" s="18" t="s">
        <v>44</v>
      </c>
      <c r="Z53" s="18" t="s">
        <v>44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1">
        <f t="shared" si="7"/>
        <v>0</v>
      </c>
      <c r="AG53" s="32"/>
      <c r="AH53" s="6">
        <v>0</v>
      </c>
      <c r="AI53" s="6">
        <v>11</v>
      </c>
      <c r="AJ53" s="6">
        <v>2</v>
      </c>
      <c r="AK53" s="9">
        <v>0</v>
      </c>
      <c r="AL53" s="9">
        <v>1</v>
      </c>
      <c r="AM53" s="9">
        <v>0</v>
      </c>
      <c r="AN53" s="9">
        <v>85</v>
      </c>
      <c r="AO53" s="9">
        <v>1</v>
      </c>
      <c r="AP53" s="6">
        <v>0.1</v>
      </c>
      <c r="AQ53" s="21">
        <f t="shared" si="1"/>
        <v>0.1</v>
      </c>
      <c r="AR53" s="12">
        <f t="shared" si="6"/>
        <v>100.1</v>
      </c>
      <c r="AS53" s="6">
        <v>0</v>
      </c>
      <c r="AT53" s="6">
        <v>0</v>
      </c>
      <c r="AU53" s="6">
        <v>0</v>
      </c>
      <c r="AV53" s="6">
        <v>0</v>
      </c>
      <c r="AW53" s="6">
        <v>4</v>
      </c>
      <c r="AX53">
        <v>13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 t="s">
        <v>44</v>
      </c>
      <c r="BF53" s="6" t="s">
        <v>44</v>
      </c>
      <c r="BG53" s="6" t="s">
        <v>44</v>
      </c>
      <c r="BH53" s="6" t="s">
        <v>44</v>
      </c>
      <c r="BI53" s="6" t="s">
        <v>44</v>
      </c>
      <c r="BJ53" s="6" t="s">
        <v>44</v>
      </c>
      <c r="BK53" s="6">
        <v>0</v>
      </c>
      <c r="BL53" s="6">
        <f t="shared" si="4"/>
        <v>17</v>
      </c>
      <c r="BM53" s="6">
        <f t="shared" si="5"/>
        <v>17</v>
      </c>
      <c r="BN53" s="6">
        <v>11</v>
      </c>
      <c r="BO53">
        <f t="shared" si="9"/>
        <v>11</v>
      </c>
      <c r="BP53" s="6">
        <v>2</v>
      </c>
      <c r="BQ53">
        <f>SUM(BP53,BB53,BK53)</f>
        <v>2</v>
      </c>
      <c r="BR53">
        <f t="shared" si="3"/>
        <v>0</v>
      </c>
    </row>
    <row r="54" spans="1:70" hidden="1">
      <c r="A54" s="16" t="str">
        <f t="shared" si="0"/>
        <v>SH_2024_UPZ_2_3</v>
      </c>
      <c r="B54" t="s">
        <v>52</v>
      </c>
      <c r="C54">
        <v>44.249229999999997</v>
      </c>
      <c r="D54">
        <v>-124.11539999999999</v>
      </c>
      <c r="E54" s="8">
        <v>45482</v>
      </c>
      <c r="F54">
        <v>2024</v>
      </c>
      <c r="G54" t="s">
        <v>50</v>
      </c>
      <c r="H54" s="10" t="s">
        <v>45</v>
      </c>
      <c r="I54" s="6">
        <v>2</v>
      </c>
      <c r="J54" s="6">
        <v>3</v>
      </c>
      <c r="K54" t="s">
        <v>46</v>
      </c>
      <c r="L54" s="23">
        <v>7</v>
      </c>
      <c r="M54" s="23">
        <v>1</v>
      </c>
      <c r="N54" s="23">
        <v>3</v>
      </c>
      <c r="O54" s="23">
        <v>3</v>
      </c>
      <c r="P54" s="23">
        <v>0</v>
      </c>
      <c r="Q54" s="23" t="s">
        <v>44</v>
      </c>
      <c r="R54" s="22" t="s">
        <v>44</v>
      </c>
      <c r="S54" s="22">
        <v>0</v>
      </c>
      <c r="T54" s="23">
        <v>1</v>
      </c>
      <c r="U54" s="23">
        <v>5</v>
      </c>
      <c r="V54" s="18" t="s">
        <v>44</v>
      </c>
      <c r="W54" s="18" t="s">
        <v>44</v>
      </c>
      <c r="X54" s="18" t="s">
        <v>44</v>
      </c>
      <c r="Y54" s="18" t="s">
        <v>44</v>
      </c>
      <c r="Z54" s="18" t="s">
        <v>44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1">
        <f t="shared" si="7"/>
        <v>0</v>
      </c>
      <c r="AG54" s="32"/>
      <c r="AH54" s="6">
        <v>0</v>
      </c>
      <c r="AI54" s="6">
        <v>6</v>
      </c>
      <c r="AJ54" s="6">
        <v>0</v>
      </c>
      <c r="AK54" s="9">
        <v>0</v>
      </c>
      <c r="AL54" s="9">
        <v>1</v>
      </c>
      <c r="AM54" s="9">
        <v>0</v>
      </c>
      <c r="AN54" s="9">
        <v>91</v>
      </c>
      <c r="AO54" s="9">
        <v>0</v>
      </c>
      <c r="AP54" s="6">
        <v>2</v>
      </c>
      <c r="AQ54" s="21">
        <f t="shared" si="1"/>
        <v>2</v>
      </c>
      <c r="AR54" s="12">
        <f t="shared" si="6"/>
        <v>100</v>
      </c>
      <c r="AS54" s="6">
        <v>0</v>
      </c>
      <c r="AT54" s="6">
        <v>0</v>
      </c>
      <c r="AU54" s="6">
        <v>0</v>
      </c>
      <c r="AV54" s="6">
        <v>0</v>
      </c>
      <c r="AW54" s="6">
        <v>1</v>
      </c>
      <c r="AX54">
        <v>4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 t="s">
        <v>44</v>
      </c>
      <c r="BF54" s="6" t="s">
        <v>44</v>
      </c>
      <c r="BG54" s="6" t="s">
        <v>44</v>
      </c>
      <c r="BH54" s="6" t="s">
        <v>44</v>
      </c>
      <c r="BI54" s="6" t="s">
        <v>44</v>
      </c>
      <c r="BJ54" s="6" t="s">
        <v>44</v>
      </c>
      <c r="BK54" s="6">
        <v>0</v>
      </c>
      <c r="BL54" s="6">
        <f t="shared" si="4"/>
        <v>5</v>
      </c>
      <c r="BM54" s="6">
        <f t="shared" si="5"/>
        <v>5</v>
      </c>
      <c r="BN54" s="6">
        <v>6</v>
      </c>
      <c r="BO54">
        <f t="shared" si="9"/>
        <v>6</v>
      </c>
      <c r="BP54" s="6">
        <v>0</v>
      </c>
      <c r="BQ54">
        <f>SUM(BP54,BB54,BK54)</f>
        <v>0</v>
      </c>
      <c r="BR54">
        <f t="shared" si="3"/>
        <v>0</v>
      </c>
    </row>
    <row r="55" spans="1:70" hidden="1">
      <c r="A55" s="16" t="str">
        <f t="shared" si="0"/>
        <v>SH_2024_UPZ_2_4</v>
      </c>
      <c r="B55" t="s">
        <v>52</v>
      </c>
      <c r="C55">
        <v>44.249229999999997</v>
      </c>
      <c r="D55">
        <v>-124.11539999999999</v>
      </c>
      <c r="E55" s="8">
        <v>45482</v>
      </c>
      <c r="F55">
        <v>2024</v>
      </c>
      <c r="G55" t="s">
        <v>50</v>
      </c>
      <c r="H55" s="10" t="s">
        <v>45</v>
      </c>
      <c r="I55" s="6">
        <v>2</v>
      </c>
      <c r="J55" s="6">
        <v>4</v>
      </c>
      <c r="K55" t="s">
        <v>46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 t="s">
        <v>44</v>
      </c>
      <c r="R55" s="22" t="s">
        <v>44</v>
      </c>
      <c r="S55" s="22">
        <v>0</v>
      </c>
      <c r="T55" s="23">
        <v>2</v>
      </c>
      <c r="U55" s="23">
        <v>2</v>
      </c>
      <c r="V55" s="18" t="s">
        <v>44</v>
      </c>
      <c r="W55" s="18" t="s">
        <v>44</v>
      </c>
      <c r="X55" s="18" t="s">
        <v>44</v>
      </c>
      <c r="Y55" s="18" t="s">
        <v>44</v>
      </c>
      <c r="Z55" s="18" t="s">
        <v>44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1">
        <f t="shared" si="7"/>
        <v>0</v>
      </c>
      <c r="AG55" s="32"/>
      <c r="AH55" s="6">
        <v>0</v>
      </c>
      <c r="AI55">
        <v>4</v>
      </c>
      <c r="AJ55" s="6">
        <v>1</v>
      </c>
      <c r="AK55">
        <v>0</v>
      </c>
      <c r="AL55" s="9">
        <v>1</v>
      </c>
      <c r="AM55">
        <v>0</v>
      </c>
      <c r="AN55" s="9">
        <v>93</v>
      </c>
      <c r="AO55" s="9">
        <v>0</v>
      </c>
      <c r="AP55" s="9">
        <v>1</v>
      </c>
      <c r="AQ55" s="21">
        <f t="shared" si="1"/>
        <v>1</v>
      </c>
      <c r="AR55" s="12">
        <f t="shared" si="6"/>
        <v>100</v>
      </c>
      <c r="AS55" s="6">
        <v>0</v>
      </c>
      <c r="AT55" s="6">
        <v>2</v>
      </c>
      <c r="AU55" s="6">
        <v>0</v>
      </c>
      <c r="AV55" s="6">
        <v>0</v>
      </c>
      <c r="AW55" s="6">
        <v>0</v>
      </c>
      <c r="AX55">
        <v>14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 t="s">
        <v>44</v>
      </c>
      <c r="BF55" s="6" t="s">
        <v>44</v>
      </c>
      <c r="BG55" s="6" t="s">
        <v>44</v>
      </c>
      <c r="BH55" s="6" t="s">
        <v>44</v>
      </c>
      <c r="BI55" s="6" t="s">
        <v>44</v>
      </c>
      <c r="BJ55" s="6" t="s">
        <v>44</v>
      </c>
      <c r="BK55" s="6">
        <v>0</v>
      </c>
      <c r="BL55" s="6">
        <f t="shared" si="4"/>
        <v>16</v>
      </c>
      <c r="BM55" s="6">
        <f t="shared" si="5"/>
        <v>16</v>
      </c>
      <c r="BN55">
        <v>4</v>
      </c>
      <c r="BO55">
        <f t="shared" si="9"/>
        <v>4</v>
      </c>
      <c r="BP55" s="6">
        <v>1</v>
      </c>
      <c r="BQ55">
        <f>SUM(BP55,BB55,BK55)</f>
        <v>1</v>
      </c>
      <c r="BR55">
        <f t="shared" si="3"/>
        <v>0</v>
      </c>
    </row>
    <row r="56" spans="1:70" hidden="1">
      <c r="A56" s="16" t="str">
        <f t="shared" si="0"/>
        <v>SH_2024_UPZ_2_5</v>
      </c>
      <c r="B56" t="s">
        <v>52</v>
      </c>
      <c r="C56">
        <v>44.249229999999997</v>
      </c>
      <c r="D56">
        <v>-124.11539999999999</v>
      </c>
      <c r="E56" s="8">
        <v>45482</v>
      </c>
      <c r="F56">
        <v>2024</v>
      </c>
      <c r="G56" t="s">
        <v>50</v>
      </c>
      <c r="H56" s="10" t="s">
        <v>45</v>
      </c>
      <c r="I56" s="6">
        <v>2</v>
      </c>
      <c r="J56" s="6">
        <v>5</v>
      </c>
      <c r="K56" t="s">
        <v>46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 t="s">
        <v>44</v>
      </c>
      <c r="R56" s="22" t="s">
        <v>44</v>
      </c>
      <c r="S56" s="22">
        <v>0</v>
      </c>
      <c r="T56" s="23">
        <v>1</v>
      </c>
      <c r="U56" s="23">
        <v>1</v>
      </c>
      <c r="V56" s="18" t="s">
        <v>44</v>
      </c>
      <c r="W56" s="18" t="s">
        <v>44</v>
      </c>
      <c r="X56" s="18" t="s">
        <v>44</v>
      </c>
      <c r="Y56" s="18" t="s">
        <v>44</v>
      </c>
      <c r="Z56" s="18" t="s">
        <v>44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1">
        <f t="shared" si="7"/>
        <v>0</v>
      </c>
      <c r="AG56" s="32"/>
      <c r="AH56" s="6">
        <v>0</v>
      </c>
      <c r="AI56">
        <v>14</v>
      </c>
      <c r="AJ56" s="6">
        <v>0.1</v>
      </c>
      <c r="AK56">
        <v>0</v>
      </c>
      <c r="AL56" s="9">
        <v>14</v>
      </c>
      <c r="AM56">
        <v>0</v>
      </c>
      <c r="AN56" s="9">
        <v>67</v>
      </c>
      <c r="AO56" s="9">
        <v>0.1</v>
      </c>
      <c r="AP56" s="9">
        <v>5</v>
      </c>
      <c r="AQ56" s="21">
        <f t="shared" si="1"/>
        <v>5</v>
      </c>
      <c r="AR56" s="12">
        <f t="shared" si="6"/>
        <v>100.19999999999999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>
        <v>15</v>
      </c>
      <c r="AY56" s="6">
        <v>0</v>
      </c>
      <c r="AZ56" s="6">
        <v>0</v>
      </c>
      <c r="BA56" s="6">
        <v>0</v>
      </c>
      <c r="BB56" s="6">
        <v>0</v>
      </c>
      <c r="BC56">
        <v>2</v>
      </c>
      <c r="BD56" s="6">
        <v>0</v>
      </c>
      <c r="BE56" s="6" t="s">
        <v>44</v>
      </c>
      <c r="BF56" s="6" t="s">
        <v>44</v>
      </c>
      <c r="BG56" s="6" t="s">
        <v>44</v>
      </c>
      <c r="BH56" s="6" t="s">
        <v>44</v>
      </c>
      <c r="BI56" s="6" t="s">
        <v>44</v>
      </c>
      <c r="BJ56" s="6" t="s">
        <v>44</v>
      </c>
      <c r="BK56" s="6">
        <v>0</v>
      </c>
      <c r="BL56" s="6">
        <f t="shared" si="4"/>
        <v>17</v>
      </c>
      <c r="BM56" s="6">
        <f t="shared" si="5"/>
        <v>17</v>
      </c>
      <c r="BN56">
        <v>14</v>
      </c>
      <c r="BO56">
        <f t="shared" si="9"/>
        <v>14</v>
      </c>
      <c r="BP56" s="6">
        <v>0.1</v>
      </c>
      <c r="BQ56">
        <f>SUM(BP56,BB56,BK56)</f>
        <v>0.1</v>
      </c>
      <c r="BR56">
        <f t="shared" si="3"/>
        <v>0</v>
      </c>
    </row>
    <row r="57" spans="1:70" hidden="1">
      <c r="A57" s="16" t="str">
        <f t="shared" si="0"/>
        <v>SH_2024_AZ_1_1</v>
      </c>
      <c r="B57" t="s">
        <v>52</v>
      </c>
      <c r="C57">
        <v>44.249229999999997</v>
      </c>
      <c r="D57">
        <v>-124.11539999999999</v>
      </c>
      <c r="E57" s="8">
        <v>45466</v>
      </c>
      <c r="F57">
        <v>2024</v>
      </c>
      <c r="G57" t="s">
        <v>50</v>
      </c>
      <c r="H57" s="10" t="s">
        <v>42</v>
      </c>
      <c r="I57" s="6">
        <v>1</v>
      </c>
      <c r="J57" s="6">
        <v>1</v>
      </c>
      <c r="K57" t="s">
        <v>46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 t="s">
        <v>44</v>
      </c>
      <c r="R57" s="22" t="s">
        <v>44</v>
      </c>
      <c r="S57" s="22">
        <v>0</v>
      </c>
      <c r="T57" s="23">
        <v>0</v>
      </c>
      <c r="U57" s="23">
        <v>0</v>
      </c>
      <c r="V57" s="18" t="s">
        <v>44</v>
      </c>
      <c r="W57" s="18" t="s">
        <v>44</v>
      </c>
      <c r="X57" s="18" t="s">
        <v>44</v>
      </c>
      <c r="Y57" s="18" t="s">
        <v>44</v>
      </c>
      <c r="Z57" s="18" t="s">
        <v>44</v>
      </c>
      <c r="AA57" s="11" t="s">
        <v>44</v>
      </c>
      <c r="AB57" s="11" t="s">
        <v>44</v>
      </c>
      <c r="AC57" s="11" t="s">
        <v>44</v>
      </c>
      <c r="AD57" s="11" t="s">
        <v>44</v>
      </c>
      <c r="AE57" s="11" t="s">
        <v>44</v>
      </c>
      <c r="AF57" s="11" t="s">
        <v>44</v>
      </c>
      <c r="AG57" s="32"/>
      <c r="AH57" s="6">
        <v>7</v>
      </c>
      <c r="AI57" s="6">
        <v>70</v>
      </c>
      <c r="AJ57" s="6">
        <v>0</v>
      </c>
      <c r="AK57" s="9">
        <v>4</v>
      </c>
      <c r="AL57" s="9">
        <v>1</v>
      </c>
      <c r="AM57" s="9">
        <v>0.1</v>
      </c>
      <c r="AN57" s="9">
        <v>1</v>
      </c>
      <c r="AO57" s="9">
        <v>14</v>
      </c>
      <c r="AP57" s="6">
        <v>3</v>
      </c>
      <c r="AQ57" s="21">
        <f t="shared" si="1"/>
        <v>3</v>
      </c>
      <c r="AR57" s="12">
        <f t="shared" si="6"/>
        <v>100.1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>
        <v>6</v>
      </c>
      <c r="AY57" s="6">
        <v>0</v>
      </c>
      <c r="AZ57">
        <v>31</v>
      </c>
      <c r="BA57" s="6">
        <v>0</v>
      </c>
      <c r="BB57" s="6">
        <v>0</v>
      </c>
      <c r="BC57">
        <v>60</v>
      </c>
      <c r="BD57" s="6">
        <v>0</v>
      </c>
      <c r="BE57" s="6" t="s">
        <v>44</v>
      </c>
      <c r="BF57" s="6" t="s">
        <v>44</v>
      </c>
      <c r="BG57" s="6" t="s">
        <v>44</v>
      </c>
      <c r="BH57" s="6" t="s">
        <v>44</v>
      </c>
      <c r="BI57" s="6" t="s">
        <v>44</v>
      </c>
      <c r="BJ57" s="6" t="s">
        <v>44</v>
      </c>
      <c r="BK57" s="6">
        <v>0</v>
      </c>
      <c r="BL57" s="6">
        <f t="shared" si="4"/>
        <v>97</v>
      </c>
      <c r="BM57" s="6">
        <f t="shared" si="5"/>
        <v>97</v>
      </c>
      <c r="BN57" s="6">
        <v>70</v>
      </c>
      <c r="BO57">
        <f t="shared" si="9"/>
        <v>70</v>
      </c>
      <c r="BP57" s="6">
        <v>0</v>
      </c>
      <c r="BQ57">
        <f>SUM(BP57,BB57,BK57)</f>
        <v>0</v>
      </c>
      <c r="BR57">
        <f t="shared" si="3"/>
        <v>0</v>
      </c>
    </row>
    <row r="58" spans="1:70" hidden="1">
      <c r="A58" s="16" t="str">
        <f t="shared" si="0"/>
        <v>SH_2024_AZ_1_2</v>
      </c>
      <c r="B58" t="s">
        <v>52</v>
      </c>
      <c r="C58">
        <v>44.249229999999997</v>
      </c>
      <c r="D58">
        <v>-124.11539999999999</v>
      </c>
      <c r="E58" s="8">
        <v>45466</v>
      </c>
      <c r="F58">
        <v>2024</v>
      </c>
      <c r="G58" t="s">
        <v>50</v>
      </c>
      <c r="H58" s="10" t="s">
        <v>42</v>
      </c>
      <c r="I58" s="6">
        <v>1</v>
      </c>
      <c r="J58" s="6">
        <v>2</v>
      </c>
      <c r="K58" t="s">
        <v>46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 t="s">
        <v>44</v>
      </c>
      <c r="R58" s="22" t="s">
        <v>44</v>
      </c>
      <c r="S58" s="22">
        <v>0</v>
      </c>
      <c r="T58" s="23">
        <v>0</v>
      </c>
      <c r="U58" s="23">
        <v>0</v>
      </c>
      <c r="V58" s="18" t="s">
        <v>44</v>
      </c>
      <c r="W58" s="18" t="s">
        <v>44</v>
      </c>
      <c r="X58" s="18" t="s">
        <v>44</v>
      </c>
      <c r="Y58" s="18" t="s">
        <v>44</v>
      </c>
      <c r="Z58" s="18" t="s">
        <v>44</v>
      </c>
      <c r="AA58" s="11" t="s">
        <v>44</v>
      </c>
      <c r="AB58" s="11" t="s">
        <v>44</v>
      </c>
      <c r="AC58" s="11" t="s">
        <v>44</v>
      </c>
      <c r="AD58" s="11" t="s">
        <v>44</v>
      </c>
      <c r="AE58" s="11" t="s">
        <v>44</v>
      </c>
      <c r="AF58" s="11" t="s">
        <v>44</v>
      </c>
      <c r="AG58" s="32"/>
      <c r="AH58" s="6">
        <v>11</v>
      </c>
      <c r="AI58" s="6">
        <v>80</v>
      </c>
      <c r="AJ58" s="6">
        <v>0</v>
      </c>
      <c r="AK58" s="9">
        <v>0.1</v>
      </c>
      <c r="AL58" s="9">
        <v>1</v>
      </c>
      <c r="AM58" s="9">
        <v>1</v>
      </c>
      <c r="AN58" s="9">
        <v>4</v>
      </c>
      <c r="AO58" s="9">
        <v>3</v>
      </c>
      <c r="AP58" s="6">
        <v>0</v>
      </c>
      <c r="AQ58" s="21">
        <f t="shared" si="1"/>
        <v>0</v>
      </c>
      <c r="AR58" s="12">
        <f t="shared" si="6"/>
        <v>100.1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>
        <v>86</v>
      </c>
      <c r="BD58" s="6">
        <v>0</v>
      </c>
      <c r="BE58" s="6" t="s">
        <v>44</v>
      </c>
      <c r="BF58" s="6" t="s">
        <v>44</v>
      </c>
      <c r="BG58" s="6" t="s">
        <v>44</v>
      </c>
      <c r="BH58" s="6" t="s">
        <v>44</v>
      </c>
      <c r="BI58" s="6" t="s">
        <v>44</v>
      </c>
      <c r="BJ58" s="6" t="s">
        <v>44</v>
      </c>
      <c r="BK58" s="6">
        <v>0</v>
      </c>
      <c r="BL58" s="6">
        <f t="shared" si="4"/>
        <v>86</v>
      </c>
      <c r="BM58" s="6">
        <f t="shared" si="5"/>
        <v>86</v>
      </c>
      <c r="BN58" s="6">
        <v>80</v>
      </c>
      <c r="BO58">
        <f t="shared" si="9"/>
        <v>80</v>
      </c>
      <c r="BP58" s="6">
        <v>0</v>
      </c>
      <c r="BQ58">
        <f>SUM(BP58,BB58,BK58)</f>
        <v>0</v>
      </c>
      <c r="BR58">
        <f t="shared" si="3"/>
        <v>0</v>
      </c>
    </row>
    <row r="59" spans="1:70" hidden="1">
      <c r="A59" s="16" t="str">
        <f t="shared" si="0"/>
        <v>SH_2024_AZ_1_3</v>
      </c>
      <c r="B59" t="s">
        <v>52</v>
      </c>
      <c r="C59">
        <v>44.249229999999997</v>
      </c>
      <c r="D59">
        <v>-124.11539999999999</v>
      </c>
      <c r="E59" s="8">
        <v>45466</v>
      </c>
      <c r="F59">
        <v>2024</v>
      </c>
      <c r="G59" t="s">
        <v>50</v>
      </c>
      <c r="H59" s="10" t="s">
        <v>42</v>
      </c>
      <c r="I59" s="6">
        <v>1</v>
      </c>
      <c r="J59" s="6">
        <v>3</v>
      </c>
      <c r="K59" t="s">
        <v>46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 t="s">
        <v>44</v>
      </c>
      <c r="R59" s="22" t="s">
        <v>44</v>
      </c>
      <c r="S59" s="22">
        <v>0</v>
      </c>
      <c r="T59" s="23">
        <v>1</v>
      </c>
      <c r="U59" s="23">
        <v>1</v>
      </c>
      <c r="V59" s="18" t="s">
        <v>44</v>
      </c>
      <c r="W59" s="18" t="s">
        <v>44</v>
      </c>
      <c r="X59" s="18" t="s">
        <v>44</v>
      </c>
      <c r="Y59" s="18" t="s">
        <v>44</v>
      </c>
      <c r="Z59" s="18" t="s">
        <v>44</v>
      </c>
      <c r="AA59" s="11" t="s">
        <v>44</v>
      </c>
      <c r="AB59" s="11" t="s">
        <v>44</v>
      </c>
      <c r="AC59" s="11" t="s">
        <v>44</v>
      </c>
      <c r="AD59" s="11" t="s">
        <v>44</v>
      </c>
      <c r="AE59" s="11" t="s">
        <v>44</v>
      </c>
      <c r="AF59" s="11" t="s">
        <v>44</v>
      </c>
      <c r="AG59" s="32"/>
      <c r="AH59" s="6">
        <v>71</v>
      </c>
      <c r="AI59" s="6">
        <v>10</v>
      </c>
      <c r="AJ59" s="6">
        <v>0</v>
      </c>
      <c r="AK59" s="9">
        <v>1</v>
      </c>
      <c r="AL59" s="9">
        <v>5</v>
      </c>
      <c r="AM59" s="9">
        <v>4</v>
      </c>
      <c r="AN59" s="9">
        <v>7</v>
      </c>
      <c r="AO59" s="9">
        <v>1</v>
      </c>
      <c r="AP59" s="6">
        <v>1</v>
      </c>
      <c r="AQ59" s="21">
        <f t="shared" si="1"/>
        <v>1</v>
      </c>
      <c r="AR59" s="12">
        <f t="shared" si="6"/>
        <v>100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>
        <v>90</v>
      </c>
      <c r="BD59" s="6">
        <v>0</v>
      </c>
      <c r="BE59" s="6" t="s">
        <v>44</v>
      </c>
      <c r="BF59" s="6" t="s">
        <v>44</v>
      </c>
      <c r="BG59" s="6" t="s">
        <v>44</v>
      </c>
      <c r="BH59" s="6" t="s">
        <v>44</v>
      </c>
      <c r="BI59" s="6" t="s">
        <v>44</v>
      </c>
      <c r="BJ59" s="6" t="s">
        <v>44</v>
      </c>
      <c r="BK59" s="6">
        <v>0</v>
      </c>
      <c r="BL59" s="6">
        <f t="shared" si="4"/>
        <v>90</v>
      </c>
      <c r="BM59" s="6">
        <f t="shared" si="5"/>
        <v>90</v>
      </c>
      <c r="BN59" s="6">
        <v>10</v>
      </c>
      <c r="BO59">
        <f t="shared" si="9"/>
        <v>10</v>
      </c>
      <c r="BP59" s="6">
        <v>0</v>
      </c>
      <c r="BQ59">
        <f>SUM(BP59,BB59,BK59)</f>
        <v>0</v>
      </c>
      <c r="BR59">
        <f t="shared" si="3"/>
        <v>0</v>
      </c>
    </row>
    <row r="60" spans="1:70" hidden="1">
      <c r="A60" s="16" t="str">
        <f t="shared" si="0"/>
        <v>SH_2024_AZ_1_4</v>
      </c>
      <c r="B60" t="s">
        <v>52</v>
      </c>
      <c r="C60">
        <v>44.249229999999997</v>
      </c>
      <c r="D60">
        <v>-124.11539999999999</v>
      </c>
      <c r="E60" s="8">
        <v>45466</v>
      </c>
      <c r="F60">
        <v>2024</v>
      </c>
      <c r="G60" t="s">
        <v>50</v>
      </c>
      <c r="H60" s="10" t="s">
        <v>42</v>
      </c>
      <c r="I60" s="6">
        <v>1</v>
      </c>
      <c r="J60" s="6">
        <v>4</v>
      </c>
      <c r="K60" t="s">
        <v>46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 t="s">
        <v>44</v>
      </c>
      <c r="R60" s="22" t="s">
        <v>44</v>
      </c>
      <c r="S60" s="22">
        <v>0</v>
      </c>
      <c r="T60" s="23">
        <v>5</v>
      </c>
      <c r="U60" s="23">
        <v>5</v>
      </c>
      <c r="V60" s="18" t="s">
        <v>44</v>
      </c>
      <c r="W60" s="18" t="s">
        <v>44</v>
      </c>
      <c r="X60" s="18" t="s">
        <v>44</v>
      </c>
      <c r="Y60" s="18" t="s">
        <v>44</v>
      </c>
      <c r="Z60" s="18" t="s">
        <v>44</v>
      </c>
      <c r="AA60" s="11" t="s">
        <v>44</v>
      </c>
      <c r="AB60" s="11" t="s">
        <v>44</v>
      </c>
      <c r="AC60" s="11" t="s">
        <v>44</v>
      </c>
      <c r="AD60" s="11" t="s">
        <v>44</v>
      </c>
      <c r="AE60" s="11" t="s">
        <v>44</v>
      </c>
      <c r="AF60" s="11" t="s">
        <v>44</v>
      </c>
      <c r="AG60" s="32"/>
      <c r="AH60" s="6">
        <v>10</v>
      </c>
      <c r="AI60" s="6">
        <v>71</v>
      </c>
      <c r="AJ60" s="6">
        <v>0</v>
      </c>
      <c r="AK60" s="9">
        <v>1</v>
      </c>
      <c r="AL60" s="9">
        <v>8</v>
      </c>
      <c r="AM60" s="9">
        <v>2</v>
      </c>
      <c r="AN60" s="9">
        <v>4</v>
      </c>
      <c r="AO60" s="9">
        <v>3</v>
      </c>
      <c r="AP60" s="6">
        <v>1</v>
      </c>
      <c r="AQ60" s="21">
        <f t="shared" si="1"/>
        <v>1</v>
      </c>
      <c r="AR60" s="12">
        <f t="shared" si="6"/>
        <v>100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>
        <v>96</v>
      </c>
      <c r="BD60" s="6">
        <v>0</v>
      </c>
      <c r="BE60" s="6" t="s">
        <v>44</v>
      </c>
      <c r="BF60" s="6" t="s">
        <v>44</v>
      </c>
      <c r="BG60" s="6" t="s">
        <v>44</v>
      </c>
      <c r="BH60" s="6" t="s">
        <v>44</v>
      </c>
      <c r="BI60" s="6" t="s">
        <v>44</v>
      </c>
      <c r="BJ60" s="6" t="s">
        <v>44</v>
      </c>
      <c r="BK60" s="6">
        <v>0</v>
      </c>
      <c r="BL60" s="6">
        <f t="shared" si="4"/>
        <v>96</v>
      </c>
      <c r="BM60" s="6">
        <f t="shared" si="5"/>
        <v>96</v>
      </c>
      <c r="BN60" s="6">
        <v>71</v>
      </c>
      <c r="BO60">
        <f t="shared" si="9"/>
        <v>71</v>
      </c>
      <c r="BP60" s="6">
        <v>0</v>
      </c>
      <c r="BQ60">
        <f>SUM(BP60,BB60,BK60)</f>
        <v>0</v>
      </c>
      <c r="BR60">
        <f t="shared" si="3"/>
        <v>0</v>
      </c>
    </row>
    <row r="61" spans="1:70" hidden="1">
      <c r="A61" s="16" t="str">
        <f t="shared" si="0"/>
        <v>SH_2024_AZ_1_5</v>
      </c>
      <c r="B61" t="s">
        <v>52</v>
      </c>
      <c r="C61">
        <v>44.249229999999997</v>
      </c>
      <c r="D61">
        <v>-124.11539999999999</v>
      </c>
      <c r="E61" s="8">
        <v>45466</v>
      </c>
      <c r="F61">
        <v>2024</v>
      </c>
      <c r="G61" t="s">
        <v>50</v>
      </c>
      <c r="H61" s="10" t="s">
        <v>42</v>
      </c>
      <c r="I61" s="6">
        <v>1</v>
      </c>
      <c r="J61" s="6">
        <v>5</v>
      </c>
      <c r="K61" t="s">
        <v>46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 t="s">
        <v>44</v>
      </c>
      <c r="R61" s="22" t="s">
        <v>44</v>
      </c>
      <c r="S61" s="22">
        <v>0</v>
      </c>
      <c r="T61" s="23">
        <v>0</v>
      </c>
      <c r="U61" s="23">
        <v>0</v>
      </c>
      <c r="V61" s="18" t="s">
        <v>44</v>
      </c>
      <c r="W61" s="18" t="s">
        <v>44</v>
      </c>
      <c r="X61" s="18" t="s">
        <v>44</v>
      </c>
      <c r="Y61" s="18" t="s">
        <v>44</v>
      </c>
      <c r="Z61" s="18" t="s">
        <v>44</v>
      </c>
      <c r="AA61" s="11" t="s">
        <v>44</v>
      </c>
      <c r="AB61" s="11" t="s">
        <v>44</v>
      </c>
      <c r="AC61" s="11" t="s">
        <v>44</v>
      </c>
      <c r="AD61" s="11" t="s">
        <v>44</v>
      </c>
      <c r="AE61" s="11" t="s">
        <v>44</v>
      </c>
      <c r="AF61" s="11" t="s">
        <v>44</v>
      </c>
      <c r="AG61" s="32"/>
      <c r="AH61" s="6">
        <v>5</v>
      </c>
      <c r="AI61" s="6">
        <v>72</v>
      </c>
      <c r="AJ61" s="6">
        <v>0</v>
      </c>
      <c r="AK61" s="9">
        <v>0</v>
      </c>
      <c r="AL61" s="9">
        <v>0</v>
      </c>
      <c r="AM61" s="9">
        <v>0</v>
      </c>
      <c r="AN61" s="9">
        <v>0</v>
      </c>
      <c r="AO61" s="9">
        <v>23</v>
      </c>
      <c r="AP61" s="6">
        <v>0</v>
      </c>
      <c r="AQ61" s="21">
        <f t="shared" si="1"/>
        <v>0</v>
      </c>
      <c r="AR61" s="12">
        <f t="shared" si="6"/>
        <v>100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>
        <v>100</v>
      </c>
      <c r="BD61" s="6">
        <v>0</v>
      </c>
      <c r="BE61" s="6" t="s">
        <v>44</v>
      </c>
      <c r="BF61" s="6" t="s">
        <v>44</v>
      </c>
      <c r="BG61" s="6" t="s">
        <v>44</v>
      </c>
      <c r="BH61" s="6" t="s">
        <v>44</v>
      </c>
      <c r="BI61" s="6" t="s">
        <v>44</v>
      </c>
      <c r="BJ61" s="6" t="s">
        <v>44</v>
      </c>
      <c r="BK61" s="6">
        <v>0</v>
      </c>
      <c r="BL61" s="6">
        <f t="shared" si="4"/>
        <v>100</v>
      </c>
      <c r="BM61" s="6">
        <f t="shared" si="5"/>
        <v>100</v>
      </c>
      <c r="BN61" s="6">
        <v>72</v>
      </c>
      <c r="BO61">
        <f t="shared" si="9"/>
        <v>72</v>
      </c>
      <c r="BP61" s="6">
        <v>0</v>
      </c>
      <c r="BQ61">
        <f>SUM(BP61,BB61,BK61)</f>
        <v>0</v>
      </c>
      <c r="BR61">
        <f t="shared" si="3"/>
        <v>0</v>
      </c>
    </row>
    <row r="62" spans="1:70" hidden="1">
      <c r="A62" s="16" t="str">
        <f t="shared" si="0"/>
        <v>SH_2024_AZ_2_1</v>
      </c>
      <c r="B62" t="s">
        <v>52</v>
      </c>
      <c r="C62">
        <v>44.249229999999997</v>
      </c>
      <c r="D62">
        <v>-124.11539999999999</v>
      </c>
      <c r="E62" s="8">
        <v>45466</v>
      </c>
      <c r="F62">
        <v>2024</v>
      </c>
      <c r="G62" t="s">
        <v>50</v>
      </c>
      <c r="H62" s="10" t="s">
        <v>42</v>
      </c>
      <c r="I62" s="6">
        <v>2</v>
      </c>
      <c r="J62" s="6">
        <v>1</v>
      </c>
      <c r="K62" t="s">
        <v>46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 t="s">
        <v>44</v>
      </c>
      <c r="R62" s="22" t="s">
        <v>44</v>
      </c>
      <c r="S62" s="22">
        <v>0</v>
      </c>
      <c r="T62" s="23">
        <v>0</v>
      </c>
      <c r="U62" s="23">
        <v>0</v>
      </c>
      <c r="V62" s="18" t="s">
        <v>44</v>
      </c>
      <c r="W62" s="18" t="s">
        <v>44</v>
      </c>
      <c r="X62" s="18" t="s">
        <v>44</v>
      </c>
      <c r="Y62" s="18" t="s">
        <v>44</v>
      </c>
      <c r="Z62" s="18" t="s">
        <v>44</v>
      </c>
      <c r="AA62" s="11" t="s">
        <v>44</v>
      </c>
      <c r="AB62" s="11" t="s">
        <v>44</v>
      </c>
      <c r="AC62" s="11" t="s">
        <v>44</v>
      </c>
      <c r="AD62" s="11" t="s">
        <v>44</v>
      </c>
      <c r="AE62" s="11" t="s">
        <v>44</v>
      </c>
      <c r="AF62" s="11" t="s">
        <v>44</v>
      </c>
      <c r="AG62" s="32"/>
      <c r="AH62" s="6">
        <v>7</v>
      </c>
      <c r="AI62" s="6">
        <v>75</v>
      </c>
      <c r="AJ62" s="6">
        <v>0</v>
      </c>
      <c r="AK62" s="9">
        <v>0</v>
      </c>
      <c r="AL62" s="9">
        <v>1</v>
      </c>
      <c r="AM62" s="9">
        <v>6</v>
      </c>
      <c r="AN62" s="9">
        <v>0</v>
      </c>
      <c r="AO62" s="9">
        <v>11</v>
      </c>
      <c r="AP62" s="6">
        <v>0</v>
      </c>
      <c r="AQ62" s="21">
        <f t="shared" si="1"/>
        <v>0</v>
      </c>
      <c r="AR62" s="12">
        <f t="shared" si="6"/>
        <v>100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>
        <v>36</v>
      </c>
      <c r="AY62" s="6">
        <v>0</v>
      </c>
      <c r="AZ62" s="6">
        <v>0</v>
      </c>
      <c r="BA62" s="6">
        <v>0</v>
      </c>
      <c r="BB62" s="6">
        <v>0</v>
      </c>
      <c r="BC62">
        <v>60</v>
      </c>
      <c r="BD62" s="6">
        <v>0</v>
      </c>
      <c r="BE62" s="6" t="s">
        <v>44</v>
      </c>
      <c r="BF62" s="6" t="s">
        <v>44</v>
      </c>
      <c r="BG62" s="6" t="s">
        <v>44</v>
      </c>
      <c r="BH62" s="6" t="s">
        <v>44</v>
      </c>
      <c r="BI62" s="6" t="s">
        <v>44</v>
      </c>
      <c r="BJ62" s="6" t="s">
        <v>44</v>
      </c>
      <c r="BK62" s="6">
        <v>0</v>
      </c>
      <c r="BL62" s="6">
        <f t="shared" si="4"/>
        <v>96</v>
      </c>
      <c r="BM62" s="6">
        <f t="shared" si="5"/>
        <v>96</v>
      </c>
      <c r="BN62" s="6">
        <v>75</v>
      </c>
      <c r="BO62">
        <f t="shared" si="9"/>
        <v>75</v>
      </c>
      <c r="BP62" s="6">
        <v>0</v>
      </c>
      <c r="BQ62">
        <f>SUM(BP62,BB62,BK62)</f>
        <v>0</v>
      </c>
      <c r="BR62">
        <f t="shared" si="3"/>
        <v>0</v>
      </c>
    </row>
    <row r="63" spans="1:70" hidden="1">
      <c r="A63" s="16" t="str">
        <f t="shared" si="0"/>
        <v>SH_2024_AZ_2_2</v>
      </c>
      <c r="B63" t="s">
        <v>52</v>
      </c>
      <c r="C63">
        <v>44.249229999999997</v>
      </c>
      <c r="D63">
        <v>-124.11539999999999</v>
      </c>
      <c r="E63" s="8">
        <v>45466</v>
      </c>
      <c r="F63">
        <v>2024</v>
      </c>
      <c r="G63" t="s">
        <v>50</v>
      </c>
      <c r="H63" s="10" t="s">
        <v>42</v>
      </c>
      <c r="I63" s="6">
        <v>2</v>
      </c>
      <c r="J63" s="6">
        <v>2</v>
      </c>
      <c r="K63" t="s">
        <v>46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 t="s">
        <v>44</v>
      </c>
      <c r="R63" s="22" t="s">
        <v>44</v>
      </c>
      <c r="S63" s="22">
        <v>0</v>
      </c>
      <c r="T63" s="23">
        <v>0</v>
      </c>
      <c r="U63" s="23">
        <v>0</v>
      </c>
      <c r="V63" s="18" t="s">
        <v>44</v>
      </c>
      <c r="W63" s="18" t="s">
        <v>44</v>
      </c>
      <c r="X63" s="18" t="s">
        <v>44</v>
      </c>
      <c r="Y63" s="18" t="s">
        <v>44</v>
      </c>
      <c r="Z63" s="18" t="s">
        <v>44</v>
      </c>
      <c r="AA63" s="11" t="s">
        <v>44</v>
      </c>
      <c r="AB63" s="11" t="s">
        <v>44</v>
      </c>
      <c r="AC63" s="11" t="s">
        <v>44</v>
      </c>
      <c r="AD63" s="11" t="s">
        <v>44</v>
      </c>
      <c r="AE63" s="11" t="s">
        <v>44</v>
      </c>
      <c r="AF63" s="11" t="s">
        <v>44</v>
      </c>
      <c r="AG63" s="32"/>
      <c r="AH63" s="6">
        <v>2</v>
      </c>
      <c r="AI63" s="6">
        <v>80</v>
      </c>
      <c r="AJ63" s="6">
        <v>1</v>
      </c>
      <c r="AK63" s="9">
        <v>0</v>
      </c>
      <c r="AL63" s="9">
        <v>2</v>
      </c>
      <c r="AM63" s="9">
        <v>8</v>
      </c>
      <c r="AN63" s="9">
        <v>1</v>
      </c>
      <c r="AO63" s="9">
        <v>5</v>
      </c>
      <c r="AP63" s="6">
        <v>1</v>
      </c>
      <c r="AQ63" s="21">
        <f t="shared" si="1"/>
        <v>1</v>
      </c>
      <c r="AR63" s="12">
        <f t="shared" si="6"/>
        <v>100</v>
      </c>
      <c r="AS63">
        <v>14</v>
      </c>
      <c r="AT63">
        <v>25</v>
      </c>
      <c r="AU63" s="6">
        <v>0</v>
      </c>
      <c r="AV63" s="6">
        <v>0</v>
      </c>
      <c r="AW63" s="6">
        <v>0</v>
      </c>
      <c r="AX63">
        <v>40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 t="s">
        <v>44</v>
      </c>
      <c r="BF63" s="6" t="s">
        <v>44</v>
      </c>
      <c r="BG63" s="6" t="s">
        <v>44</v>
      </c>
      <c r="BH63" s="6" t="s">
        <v>44</v>
      </c>
      <c r="BI63" s="6" t="s">
        <v>44</v>
      </c>
      <c r="BJ63" s="6" t="s">
        <v>44</v>
      </c>
      <c r="BK63" s="6">
        <v>0</v>
      </c>
      <c r="BL63" s="6">
        <f t="shared" si="4"/>
        <v>79</v>
      </c>
      <c r="BM63" s="6">
        <f t="shared" si="5"/>
        <v>79</v>
      </c>
      <c r="BN63" s="6">
        <v>80</v>
      </c>
      <c r="BO63">
        <f t="shared" si="9"/>
        <v>80</v>
      </c>
      <c r="BP63" s="6">
        <v>1</v>
      </c>
      <c r="BQ63">
        <f>SUM(BP63,BB63,BK63)</f>
        <v>1</v>
      </c>
      <c r="BR63">
        <f t="shared" si="3"/>
        <v>0</v>
      </c>
    </row>
    <row r="64" spans="1:70" hidden="1">
      <c r="A64" s="16" t="str">
        <f t="shared" si="0"/>
        <v>SH_2024_AZ_2_3</v>
      </c>
      <c r="B64" t="s">
        <v>52</v>
      </c>
      <c r="C64">
        <v>44.249229999999997</v>
      </c>
      <c r="D64">
        <v>-124.11539999999999</v>
      </c>
      <c r="E64" s="8">
        <v>45466</v>
      </c>
      <c r="F64">
        <v>2024</v>
      </c>
      <c r="G64" t="s">
        <v>50</v>
      </c>
      <c r="H64" s="10" t="s">
        <v>42</v>
      </c>
      <c r="I64" s="6">
        <v>2</v>
      </c>
      <c r="J64" s="6">
        <v>3</v>
      </c>
      <c r="K64" t="s">
        <v>46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 t="s">
        <v>44</v>
      </c>
      <c r="R64" s="22" t="s">
        <v>44</v>
      </c>
      <c r="S64" s="22">
        <v>0</v>
      </c>
      <c r="T64" s="23">
        <v>0</v>
      </c>
      <c r="U64" s="23">
        <v>0</v>
      </c>
      <c r="V64" s="18" t="s">
        <v>44</v>
      </c>
      <c r="W64" s="18" t="s">
        <v>44</v>
      </c>
      <c r="X64" s="18" t="s">
        <v>44</v>
      </c>
      <c r="Y64" s="18" t="s">
        <v>44</v>
      </c>
      <c r="Z64" s="18" t="s">
        <v>44</v>
      </c>
      <c r="AA64" s="11" t="s">
        <v>44</v>
      </c>
      <c r="AB64" s="11" t="s">
        <v>44</v>
      </c>
      <c r="AC64" s="11" t="s">
        <v>44</v>
      </c>
      <c r="AD64" s="11" t="s">
        <v>44</v>
      </c>
      <c r="AE64" s="11" t="s">
        <v>44</v>
      </c>
      <c r="AF64" s="11" t="s">
        <v>44</v>
      </c>
      <c r="AG64" s="32"/>
      <c r="AH64" s="6">
        <v>4</v>
      </c>
      <c r="AI64" s="6">
        <v>24</v>
      </c>
      <c r="AJ64" s="6">
        <v>0</v>
      </c>
      <c r="AK64" s="9">
        <v>0.1</v>
      </c>
      <c r="AL64" s="9">
        <v>1</v>
      </c>
      <c r="AM64" s="9">
        <v>4</v>
      </c>
      <c r="AN64" s="9">
        <v>2</v>
      </c>
      <c r="AO64" s="9">
        <v>0</v>
      </c>
      <c r="AP64" s="6">
        <v>65</v>
      </c>
      <c r="AQ64" s="21">
        <f t="shared" si="1"/>
        <v>65</v>
      </c>
      <c r="AR64" s="12">
        <f t="shared" si="6"/>
        <v>100.1</v>
      </c>
      <c r="AS64" s="6">
        <v>0</v>
      </c>
      <c r="AT64">
        <v>18</v>
      </c>
      <c r="AU64" s="6">
        <v>0</v>
      </c>
      <c r="AV64" s="6">
        <v>0</v>
      </c>
      <c r="AW64" s="6">
        <v>0</v>
      </c>
      <c r="AX64">
        <v>50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 t="s">
        <v>44</v>
      </c>
      <c r="BF64" s="6" t="s">
        <v>44</v>
      </c>
      <c r="BG64" s="6" t="s">
        <v>44</v>
      </c>
      <c r="BH64" s="6" t="s">
        <v>44</v>
      </c>
      <c r="BI64" s="6" t="s">
        <v>44</v>
      </c>
      <c r="BJ64" s="6" t="s">
        <v>44</v>
      </c>
      <c r="BK64" s="6">
        <v>0</v>
      </c>
      <c r="BL64" s="6">
        <f t="shared" si="4"/>
        <v>68</v>
      </c>
      <c r="BM64" s="6">
        <f t="shared" si="5"/>
        <v>68</v>
      </c>
      <c r="BN64" s="6">
        <v>24</v>
      </c>
      <c r="BO64">
        <f t="shared" si="9"/>
        <v>24</v>
      </c>
      <c r="BP64" s="6">
        <v>0</v>
      </c>
      <c r="BQ64">
        <f>SUM(BP64,BB64,BK64)</f>
        <v>0</v>
      </c>
      <c r="BR64">
        <f t="shared" si="3"/>
        <v>0</v>
      </c>
    </row>
    <row r="65" spans="1:70" hidden="1">
      <c r="A65" s="16" t="str">
        <f t="shared" si="0"/>
        <v>SH_2024_AZ_2_4</v>
      </c>
      <c r="B65" t="s">
        <v>52</v>
      </c>
      <c r="C65">
        <v>44.249229999999997</v>
      </c>
      <c r="D65">
        <v>-124.11539999999999</v>
      </c>
      <c r="E65" s="8">
        <v>45466</v>
      </c>
      <c r="F65">
        <v>2024</v>
      </c>
      <c r="G65" t="s">
        <v>50</v>
      </c>
      <c r="H65" s="10" t="s">
        <v>42</v>
      </c>
      <c r="I65" s="6">
        <v>2</v>
      </c>
      <c r="J65" s="6">
        <v>4</v>
      </c>
      <c r="K65" t="s">
        <v>46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 t="s">
        <v>44</v>
      </c>
      <c r="R65" s="22" t="s">
        <v>44</v>
      </c>
      <c r="S65" s="22">
        <v>0</v>
      </c>
      <c r="T65" s="23">
        <v>0</v>
      </c>
      <c r="U65" s="23">
        <v>0</v>
      </c>
      <c r="V65" s="18" t="s">
        <v>44</v>
      </c>
      <c r="W65" s="18" t="s">
        <v>44</v>
      </c>
      <c r="X65" s="18" t="s">
        <v>44</v>
      </c>
      <c r="Y65" s="18" t="s">
        <v>44</v>
      </c>
      <c r="Z65" s="18" t="s">
        <v>44</v>
      </c>
      <c r="AA65" s="11" t="s">
        <v>44</v>
      </c>
      <c r="AB65" s="11" t="s">
        <v>44</v>
      </c>
      <c r="AC65" s="11" t="s">
        <v>44</v>
      </c>
      <c r="AD65" s="11" t="s">
        <v>44</v>
      </c>
      <c r="AE65" s="11" t="s">
        <v>44</v>
      </c>
      <c r="AF65" s="11" t="s">
        <v>44</v>
      </c>
      <c r="AG65" s="32"/>
      <c r="AH65" s="6">
        <v>1</v>
      </c>
      <c r="AI65" s="6">
        <v>6</v>
      </c>
      <c r="AJ65" s="6">
        <v>0</v>
      </c>
      <c r="AK65" s="9">
        <v>8</v>
      </c>
      <c r="AL65" s="9">
        <v>2</v>
      </c>
      <c r="AM65" s="9">
        <v>5</v>
      </c>
      <c r="AN65" s="9">
        <v>6</v>
      </c>
      <c r="AO65" s="9">
        <v>0</v>
      </c>
      <c r="AP65" s="6">
        <v>72</v>
      </c>
      <c r="AQ65" s="21">
        <f t="shared" si="1"/>
        <v>72</v>
      </c>
      <c r="AR65" s="12">
        <f t="shared" si="6"/>
        <v>100</v>
      </c>
      <c r="AS65" s="6">
        <v>0</v>
      </c>
      <c r="AT65" s="6">
        <v>5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>
        <v>28</v>
      </c>
      <c r="BA65" s="6">
        <v>0</v>
      </c>
      <c r="BB65" s="6">
        <v>0</v>
      </c>
      <c r="BC65" s="6">
        <v>0</v>
      </c>
      <c r="BD65" s="6">
        <v>0</v>
      </c>
      <c r="BE65" s="6" t="s">
        <v>44</v>
      </c>
      <c r="BF65" s="6" t="s">
        <v>44</v>
      </c>
      <c r="BG65" s="6" t="s">
        <v>44</v>
      </c>
      <c r="BH65" s="6" t="s">
        <v>44</v>
      </c>
      <c r="BI65" s="6" t="s">
        <v>44</v>
      </c>
      <c r="BJ65" s="6" t="s">
        <v>44</v>
      </c>
      <c r="BK65" s="6">
        <v>0</v>
      </c>
      <c r="BL65" s="6">
        <f t="shared" si="4"/>
        <v>33</v>
      </c>
      <c r="BM65" s="6">
        <f t="shared" si="5"/>
        <v>33</v>
      </c>
      <c r="BN65" s="6">
        <v>6</v>
      </c>
      <c r="BO65">
        <f t="shared" si="9"/>
        <v>6</v>
      </c>
      <c r="BP65" s="6">
        <v>0</v>
      </c>
      <c r="BQ65">
        <f>SUM(BP65,BB65,BK65)</f>
        <v>0</v>
      </c>
      <c r="BR65">
        <f t="shared" si="3"/>
        <v>0</v>
      </c>
    </row>
    <row r="66" spans="1:70" hidden="1">
      <c r="A66" s="16" t="str">
        <f t="shared" ref="A66:A129" si="10">_xlfn.CONCAT(B66,"_",F66, "_",H66, "_",I66,"_",J66)</f>
        <v>SH_2024_AZ_2_5</v>
      </c>
      <c r="B66" t="s">
        <v>52</v>
      </c>
      <c r="C66">
        <v>44.249229999999997</v>
      </c>
      <c r="D66">
        <v>-124.11539999999999</v>
      </c>
      <c r="E66" s="8">
        <v>45466</v>
      </c>
      <c r="F66">
        <v>2024</v>
      </c>
      <c r="G66" t="s">
        <v>50</v>
      </c>
      <c r="H66" s="10" t="s">
        <v>42</v>
      </c>
      <c r="I66" s="6">
        <v>2</v>
      </c>
      <c r="J66" s="6">
        <v>5</v>
      </c>
      <c r="K66" t="s">
        <v>46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 t="s">
        <v>44</v>
      </c>
      <c r="R66" s="22" t="s">
        <v>44</v>
      </c>
      <c r="S66" s="22">
        <v>0</v>
      </c>
      <c r="T66" s="23">
        <v>0</v>
      </c>
      <c r="U66" s="23">
        <v>0</v>
      </c>
      <c r="V66" s="18" t="s">
        <v>44</v>
      </c>
      <c r="W66" s="18" t="s">
        <v>44</v>
      </c>
      <c r="X66" s="18" t="s">
        <v>44</v>
      </c>
      <c r="Y66" s="18" t="s">
        <v>44</v>
      </c>
      <c r="Z66" s="18" t="s">
        <v>44</v>
      </c>
      <c r="AA66" s="11" t="s">
        <v>44</v>
      </c>
      <c r="AB66" s="11" t="s">
        <v>44</v>
      </c>
      <c r="AC66" s="11" t="s">
        <v>44</v>
      </c>
      <c r="AD66" s="11" t="s">
        <v>44</v>
      </c>
      <c r="AE66" s="11" t="s">
        <v>44</v>
      </c>
      <c r="AF66" s="11" t="s">
        <v>44</v>
      </c>
      <c r="AG66" s="32"/>
      <c r="AH66" s="6">
        <v>1</v>
      </c>
      <c r="AI66" s="6">
        <v>8</v>
      </c>
      <c r="AJ66" s="6">
        <v>0</v>
      </c>
      <c r="AK66" s="9">
        <v>9</v>
      </c>
      <c r="AL66" s="9">
        <v>10</v>
      </c>
      <c r="AM66" s="9">
        <v>1</v>
      </c>
      <c r="AN66" s="9">
        <v>2</v>
      </c>
      <c r="AO66" s="9">
        <v>0</v>
      </c>
      <c r="AP66" s="6">
        <v>69</v>
      </c>
      <c r="AQ66" s="21">
        <f t="shared" ref="AQ66:AQ129" si="11">AP66-AG66</f>
        <v>69</v>
      </c>
      <c r="AR66" s="12">
        <f t="shared" si="6"/>
        <v>100</v>
      </c>
      <c r="AS66" s="6">
        <v>0</v>
      </c>
      <c r="AT66">
        <v>24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>
        <v>32</v>
      </c>
      <c r="BA66" s="6">
        <v>0</v>
      </c>
      <c r="BB66" s="6">
        <v>0</v>
      </c>
      <c r="BC66" s="6">
        <v>0</v>
      </c>
      <c r="BD66" s="6">
        <v>0</v>
      </c>
      <c r="BE66" s="6" t="s">
        <v>44</v>
      </c>
      <c r="BF66" s="6" t="s">
        <v>44</v>
      </c>
      <c r="BG66" s="6" t="s">
        <v>44</v>
      </c>
      <c r="BH66" s="6" t="s">
        <v>44</v>
      </c>
      <c r="BI66" s="6" t="s">
        <v>44</v>
      </c>
      <c r="BJ66" s="6" t="s">
        <v>44</v>
      </c>
      <c r="BK66" s="6">
        <v>0</v>
      </c>
      <c r="BL66" s="6">
        <f t="shared" si="4"/>
        <v>56</v>
      </c>
      <c r="BM66" s="6">
        <f t="shared" ref="BM66:BM129" si="12">SUM(AS66:BJ66)</f>
        <v>56</v>
      </c>
      <c r="BN66" s="6">
        <v>8</v>
      </c>
      <c r="BO66">
        <f t="shared" si="9"/>
        <v>8</v>
      </c>
      <c r="BP66" s="6">
        <v>0</v>
      </c>
      <c r="BQ66">
        <f>SUM(BP66,BB66,BK66)</f>
        <v>0</v>
      </c>
      <c r="BR66">
        <f t="shared" ref="BR66:BR129" si="13">BQ66-BP66</f>
        <v>0</v>
      </c>
    </row>
    <row r="67" spans="1:70" hidden="1">
      <c r="A67" s="16" t="str">
        <f t="shared" si="10"/>
        <v>SH_2024_UPZ_1_1</v>
      </c>
      <c r="B67" t="s">
        <v>52</v>
      </c>
      <c r="C67">
        <v>44.249229999999997</v>
      </c>
      <c r="D67">
        <v>-124.11539999999999</v>
      </c>
      <c r="E67" s="8">
        <v>45466</v>
      </c>
      <c r="F67">
        <v>2024</v>
      </c>
      <c r="G67" t="s">
        <v>50</v>
      </c>
      <c r="H67" s="10" t="s">
        <v>45</v>
      </c>
      <c r="I67" s="6">
        <v>1</v>
      </c>
      <c r="J67" s="6">
        <v>1</v>
      </c>
      <c r="K67" s="10" t="s">
        <v>43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 t="s">
        <v>44</v>
      </c>
      <c r="R67" s="22" t="s">
        <v>44</v>
      </c>
      <c r="S67" s="22">
        <v>0</v>
      </c>
      <c r="T67" s="23">
        <v>2</v>
      </c>
      <c r="U67" s="23">
        <v>2</v>
      </c>
      <c r="V67" s="18" t="s">
        <v>44</v>
      </c>
      <c r="W67" s="18" t="s">
        <v>44</v>
      </c>
      <c r="X67" s="18" t="s">
        <v>44</v>
      </c>
      <c r="Y67" s="18" t="s">
        <v>44</v>
      </c>
      <c r="Z67" s="18" t="s">
        <v>44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1">
        <f t="shared" ref="AF67:AF130" si="14">SUM(AA67:AE67)</f>
        <v>0</v>
      </c>
      <c r="AG67" s="32"/>
      <c r="AH67" s="6">
        <v>1</v>
      </c>
      <c r="AI67">
        <v>72</v>
      </c>
      <c r="AJ67" s="6">
        <v>0</v>
      </c>
      <c r="AK67" s="9">
        <v>0</v>
      </c>
      <c r="AL67" s="9">
        <v>2</v>
      </c>
      <c r="AM67" s="9">
        <v>5</v>
      </c>
      <c r="AN67" s="9">
        <v>20</v>
      </c>
      <c r="AO67" s="9">
        <v>0</v>
      </c>
      <c r="AP67" s="9">
        <v>0</v>
      </c>
      <c r="AQ67" s="21">
        <f t="shared" si="11"/>
        <v>0</v>
      </c>
      <c r="AR67" s="12">
        <f t="shared" ref="AR67:AR130" si="15">SUM(AH67:AP67)</f>
        <v>100</v>
      </c>
      <c r="AS67" s="6">
        <v>0</v>
      </c>
      <c r="AT67" s="6">
        <v>5</v>
      </c>
      <c r="AU67" s="6">
        <v>0</v>
      </c>
      <c r="AV67" s="6">
        <v>0</v>
      </c>
      <c r="AW67" s="6">
        <v>0</v>
      </c>
      <c r="AX67">
        <v>3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 t="s">
        <v>44</v>
      </c>
      <c r="BF67" s="6" t="s">
        <v>44</v>
      </c>
      <c r="BG67" s="6" t="s">
        <v>44</v>
      </c>
      <c r="BH67" s="6" t="s">
        <v>44</v>
      </c>
      <c r="BI67" s="6" t="s">
        <v>44</v>
      </c>
      <c r="BJ67" s="6" t="s">
        <v>44</v>
      </c>
      <c r="BK67" s="6">
        <v>0</v>
      </c>
      <c r="BL67" s="6">
        <f t="shared" ref="BL67:BL130" si="16">SUM(AS67:AT67,AV67:AW67,AX67:BA67,BC67:BF67,BJ67)</f>
        <v>8</v>
      </c>
      <c r="BM67" s="6">
        <f t="shared" si="12"/>
        <v>8</v>
      </c>
      <c r="BN67">
        <v>72</v>
      </c>
      <c r="BO67">
        <f t="shared" si="9"/>
        <v>72</v>
      </c>
      <c r="BP67" s="6">
        <v>0</v>
      </c>
      <c r="BQ67">
        <f>SUM(BP67,BB67,BK67)</f>
        <v>0</v>
      </c>
      <c r="BR67">
        <f t="shared" si="13"/>
        <v>0</v>
      </c>
    </row>
    <row r="68" spans="1:70" hidden="1">
      <c r="A68" s="16" t="str">
        <f t="shared" si="10"/>
        <v>SH_2024_UPZ_1_2</v>
      </c>
      <c r="B68" t="s">
        <v>52</v>
      </c>
      <c r="C68">
        <v>44.249229999999997</v>
      </c>
      <c r="D68">
        <v>-124.11539999999999</v>
      </c>
      <c r="E68" s="8">
        <v>45466</v>
      </c>
      <c r="F68">
        <v>2024</v>
      </c>
      <c r="G68" t="s">
        <v>50</v>
      </c>
      <c r="H68" s="10" t="s">
        <v>45</v>
      </c>
      <c r="I68" s="6">
        <v>1</v>
      </c>
      <c r="J68" s="6">
        <v>2</v>
      </c>
      <c r="K68" s="10" t="s">
        <v>46</v>
      </c>
      <c r="L68" s="23">
        <v>9</v>
      </c>
      <c r="M68" s="23">
        <v>9</v>
      </c>
      <c r="N68" s="23">
        <v>0</v>
      </c>
      <c r="O68" s="23">
        <v>0</v>
      </c>
      <c r="P68" s="23">
        <v>0</v>
      </c>
      <c r="Q68" s="23" t="s">
        <v>44</v>
      </c>
      <c r="R68" s="22" t="s">
        <v>44</v>
      </c>
      <c r="S68" s="22">
        <v>0</v>
      </c>
      <c r="T68" s="23">
        <v>0</v>
      </c>
      <c r="U68" s="23">
        <v>9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1">
        <f t="shared" si="14"/>
        <v>0</v>
      </c>
      <c r="AG68" s="32"/>
      <c r="AH68" s="6">
        <v>0</v>
      </c>
      <c r="AI68">
        <v>71</v>
      </c>
      <c r="AJ68" s="6">
        <v>0</v>
      </c>
      <c r="AK68" s="9">
        <v>0</v>
      </c>
      <c r="AL68" s="9">
        <v>3</v>
      </c>
      <c r="AM68" s="9">
        <v>2</v>
      </c>
      <c r="AN68" s="9">
        <v>24</v>
      </c>
      <c r="AO68" s="9">
        <v>0</v>
      </c>
      <c r="AP68" s="9">
        <v>0</v>
      </c>
      <c r="AQ68" s="21">
        <f t="shared" si="11"/>
        <v>0</v>
      </c>
      <c r="AR68" s="12">
        <f t="shared" si="15"/>
        <v>100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>
        <v>1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 t="s">
        <v>44</v>
      </c>
      <c r="BF68" s="6" t="s">
        <v>44</v>
      </c>
      <c r="BG68" s="6" t="s">
        <v>44</v>
      </c>
      <c r="BH68" s="6" t="s">
        <v>44</v>
      </c>
      <c r="BI68" s="6" t="s">
        <v>44</v>
      </c>
      <c r="BJ68" s="6" t="s">
        <v>44</v>
      </c>
      <c r="BK68" s="6">
        <v>0</v>
      </c>
      <c r="BL68" s="6">
        <f t="shared" si="16"/>
        <v>1</v>
      </c>
      <c r="BM68" s="6">
        <f t="shared" si="12"/>
        <v>1</v>
      </c>
      <c r="BN68">
        <v>71</v>
      </c>
      <c r="BO68">
        <f t="shared" si="9"/>
        <v>71</v>
      </c>
      <c r="BP68" s="6">
        <v>0</v>
      </c>
      <c r="BQ68">
        <f>SUM(BP68,BB68,BK68)</f>
        <v>0</v>
      </c>
      <c r="BR68">
        <f t="shared" si="13"/>
        <v>0</v>
      </c>
    </row>
    <row r="69" spans="1:70" hidden="1">
      <c r="A69" s="16" t="str">
        <f t="shared" si="10"/>
        <v>SH_2024_UPZ_1_3</v>
      </c>
      <c r="B69" t="s">
        <v>52</v>
      </c>
      <c r="C69">
        <v>44.249229999999997</v>
      </c>
      <c r="D69">
        <v>-124.11539999999999</v>
      </c>
      <c r="E69" s="8">
        <v>45466</v>
      </c>
      <c r="F69">
        <v>2024</v>
      </c>
      <c r="G69" t="s">
        <v>50</v>
      </c>
      <c r="H69" s="10" t="s">
        <v>45</v>
      </c>
      <c r="I69" s="6">
        <v>1</v>
      </c>
      <c r="J69" s="6">
        <v>3</v>
      </c>
      <c r="K69" s="10" t="s">
        <v>46</v>
      </c>
      <c r="L69" s="23">
        <v>3</v>
      </c>
      <c r="M69" s="23">
        <v>3</v>
      </c>
      <c r="N69" s="23">
        <v>0</v>
      </c>
      <c r="O69" s="23">
        <v>0</v>
      </c>
      <c r="P69" s="23">
        <v>0</v>
      </c>
      <c r="Q69" s="23" t="s">
        <v>44</v>
      </c>
      <c r="R69" s="22" t="s">
        <v>44</v>
      </c>
      <c r="S69" s="22">
        <v>0</v>
      </c>
      <c r="T69" s="23">
        <v>0</v>
      </c>
      <c r="U69" s="23">
        <v>3</v>
      </c>
      <c r="Y69" s="18" t="s">
        <v>44</v>
      </c>
      <c r="Z69" s="18" t="s">
        <v>44</v>
      </c>
      <c r="AA69" s="15">
        <v>0</v>
      </c>
      <c r="AB69" s="15">
        <v>1</v>
      </c>
      <c r="AC69" s="15">
        <v>0</v>
      </c>
      <c r="AD69" s="15">
        <v>0</v>
      </c>
      <c r="AE69" s="15">
        <v>1</v>
      </c>
      <c r="AF69" s="11">
        <f t="shared" si="14"/>
        <v>2</v>
      </c>
      <c r="AG69" s="32"/>
      <c r="AH69" s="6">
        <v>0.1</v>
      </c>
      <c r="AI69">
        <v>84</v>
      </c>
      <c r="AJ69" s="6">
        <v>0</v>
      </c>
      <c r="AK69" s="9">
        <v>0</v>
      </c>
      <c r="AL69" s="9">
        <v>2</v>
      </c>
      <c r="AM69" s="9">
        <v>0</v>
      </c>
      <c r="AN69" s="9">
        <v>14</v>
      </c>
      <c r="AO69" s="9">
        <v>0.1</v>
      </c>
      <c r="AP69" s="9">
        <v>0</v>
      </c>
      <c r="AQ69" s="21">
        <f t="shared" si="11"/>
        <v>0</v>
      </c>
      <c r="AR69" s="12">
        <f t="shared" si="15"/>
        <v>100.19999999999999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>
        <v>8</v>
      </c>
      <c r="AY69" s="6">
        <v>0</v>
      </c>
      <c r="AZ69" s="6">
        <v>0</v>
      </c>
      <c r="BA69" s="6">
        <v>0</v>
      </c>
      <c r="BB69" s="6">
        <v>0</v>
      </c>
      <c r="BC69">
        <v>1</v>
      </c>
      <c r="BD69" s="6">
        <v>0</v>
      </c>
      <c r="BE69" s="6" t="s">
        <v>44</v>
      </c>
      <c r="BF69" s="6" t="s">
        <v>44</v>
      </c>
      <c r="BG69" s="6" t="s">
        <v>44</v>
      </c>
      <c r="BH69" s="6" t="s">
        <v>44</v>
      </c>
      <c r="BI69" s="6" t="s">
        <v>44</v>
      </c>
      <c r="BJ69" s="6" t="s">
        <v>44</v>
      </c>
      <c r="BK69" s="6">
        <v>0</v>
      </c>
      <c r="BL69" s="6">
        <f t="shared" si="16"/>
        <v>9</v>
      </c>
      <c r="BM69" s="6">
        <f t="shared" si="12"/>
        <v>9</v>
      </c>
      <c r="BN69">
        <v>84</v>
      </c>
      <c r="BO69">
        <f t="shared" si="9"/>
        <v>84</v>
      </c>
      <c r="BP69" s="6">
        <v>0</v>
      </c>
      <c r="BQ69">
        <f>SUM(BP69,BB69,BK69)</f>
        <v>0</v>
      </c>
      <c r="BR69">
        <f t="shared" si="13"/>
        <v>0</v>
      </c>
    </row>
    <row r="70" spans="1:70" hidden="1">
      <c r="A70" s="16" t="str">
        <f t="shared" si="10"/>
        <v>SH_2024_UPZ_1_4</v>
      </c>
      <c r="B70" t="s">
        <v>52</v>
      </c>
      <c r="C70">
        <v>44.249229999999997</v>
      </c>
      <c r="D70">
        <v>-124.11539999999999</v>
      </c>
      <c r="E70" s="8">
        <v>45466</v>
      </c>
      <c r="F70">
        <v>2024</v>
      </c>
      <c r="G70" t="s">
        <v>50</v>
      </c>
      <c r="H70" s="10" t="s">
        <v>45</v>
      </c>
      <c r="I70" s="6">
        <v>1</v>
      </c>
      <c r="J70" s="6">
        <v>4</v>
      </c>
      <c r="K70" t="s">
        <v>43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 t="s">
        <v>44</v>
      </c>
      <c r="R70" s="22" t="s">
        <v>44</v>
      </c>
      <c r="S70" s="22">
        <v>0</v>
      </c>
      <c r="T70" s="23">
        <v>0</v>
      </c>
      <c r="U70" s="23">
        <v>0</v>
      </c>
      <c r="V70" s="18" t="s">
        <v>44</v>
      </c>
      <c r="W70" s="18" t="s">
        <v>44</v>
      </c>
      <c r="X70" s="18" t="s">
        <v>44</v>
      </c>
      <c r="Y70" s="18" t="s">
        <v>44</v>
      </c>
      <c r="Z70" s="18" t="s">
        <v>44</v>
      </c>
      <c r="AA70" s="15">
        <v>1</v>
      </c>
      <c r="AB70" s="15">
        <v>0</v>
      </c>
      <c r="AC70" s="15">
        <v>0</v>
      </c>
      <c r="AD70" s="15">
        <v>0</v>
      </c>
      <c r="AE70" s="15">
        <v>1</v>
      </c>
      <c r="AF70" s="11">
        <f t="shared" si="14"/>
        <v>2</v>
      </c>
      <c r="AG70" s="32"/>
      <c r="AH70" s="6">
        <v>3</v>
      </c>
      <c r="AI70">
        <v>32</v>
      </c>
      <c r="AJ70" s="6">
        <v>0</v>
      </c>
      <c r="AK70" s="9">
        <v>8</v>
      </c>
      <c r="AL70" s="9">
        <v>1</v>
      </c>
      <c r="AM70" s="9">
        <v>0</v>
      </c>
      <c r="AN70" s="9">
        <v>53</v>
      </c>
      <c r="AO70" s="9">
        <v>1</v>
      </c>
      <c r="AP70" s="9">
        <v>2</v>
      </c>
      <c r="AQ70" s="21">
        <f t="shared" si="11"/>
        <v>2</v>
      </c>
      <c r="AR70" s="12">
        <f t="shared" si="15"/>
        <v>100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>
        <v>15</v>
      </c>
      <c r="BA70" s="6">
        <v>0</v>
      </c>
      <c r="BB70" s="6">
        <v>0</v>
      </c>
      <c r="BC70">
        <v>36</v>
      </c>
      <c r="BD70" s="6">
        <v>0</v>
      </c>
      <c r="BE70" s="6" t="s">
        <v>44</v>
      </c>
      <c r="BF70" s="6" t="s">
        <v>44</v>
      </c>
      <c r="BG70" s="6" t="s">
        <v>44</v>
      </c>
      <c r="BH70" s="6" t="s">
        <v>44</v>
      </c>
      <c r="BI70" s="6" t="s">
        <v>44</v>
      </c>
      <c r="BJ70" s="6" t="s">
        <v>44</v>
      </c>
      <c r="BK70" s="6">
        <v>0</v>
      </c>
      <c r="BL70" s="6">
        <f t="shared" si="16"/>
        <v>51</v>
      </c>
      <c r="BM70" s="6">
        <f t="shared" si="12"/>
        <v>51</v>
      </c>
      <c r="BN70">
        <v>32</v>
      </c>
      <c r="BO70">
        <f t="shared" si="9"/>
        <v>32</v>
      </c>
      <c r="BP70" s="6">
        <v>0</v>
      </c>
      <c r="BQ70">
        <f>SUM(BP70,BB70,BK70)</f>
        <v>0</v>
      </c>
      <c r="BR70">
        <f t="shared" si="13"/>
        <v>0</v>
      </c>
    </row>
    <row r="71" spans="1:70" hidden="1">
      <c r="A71" s="16" t="str">
        <f t="shared" si="10"/>
        <v>SH_2025_UPZ_1_5</v>
      </c>
      <c r="B71" t="s">
        <v>52</v>
      </c>
      <c r="C71">
        <v>44.249229999999997</v>
      </c>
      <c r="D71">
        <v>-124.11539999999999</v>
      </c>
      <c r="E71" s="8">
        <v>45466</v>
      </c>
      <c r="F71">
        <v>2025</v>
      </c>
      <c r="G71" t="s">
        <v>50</v>
      </c>
      <c r="H71" s="10" t="s">
        <v>45</v>
      </c>
      <c r="I71" s="6">
        <v>1</v>
      </c>
      <c r="J71" s="6">
        <v>5</v>
      </c>
      <c r="K71" t="s">
        <v>43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 t="s">
        <v>44</v>
      </c>
      <c r="R71" s="22" t="s">
        <v>44</v>
      </c>
      <c r="S71" s="22">
        <v>0</v>
      </c>
      <c r="T71" s="23">
        <v>0</v>
      </c>
      <c r="U71" s="23">
        <v>0</v>
      </c>
      <c r="V71" s="18" t="s">
        <v>44</v>
      </c>
      <c r="W71" s="18" t="s">
        <v>44</v>
      </c>
      <c r="X71" s="18" t="s">
        <v>44</v>
      </c>
      <c r="Y71" s="18" t="s">
        <v>44</v>
      </c>
      <c r="Z71" s="18" t="s">
        <v>44</v>
      </c>
      <c r="AA71" s="15">
        <v>0</v>
      </c>
      <c r="AB71" s="15">
        <v>1</v>
      </c>
      <c r="AC71" s="15">
        <v>0</v>
      </c>
      <c r="AD71" s="15">
        <v>1</v>
      </c>
      <c r="AE71" s="15">
        <v>0</v>
      </c>
      <c r="AF71" s="11">
        <f t="shared" si="14"/>
        <v>2</v>
      </c>
      <c r="AG71" s="32"/>
      <c r="AH71" s="6">
        <v>0</v>
      </c>
      <c r="AI71">
        <v>3</v>
      </c>
      <c r="AJ71" s="6">
        <v>0</v>
      </c>
      <c r="AK71" s="9">
        <v>80</v>
      </c>
      <c r="AL71" s="9">
        <v>1</v>
      </c>
      <c r="AM71" s="9">
        <v>5</v>
      </c>
      <c r="AN71" s="9">
        <v>2</v>
      </c>
      <c r="AO71" s="9">
        <v>6</v>
      </c>
      <c r="AP71" s="9">
        <v>3</v>
      </c>
      <c r="AQ71" s="21">
        <f t="shared" si="11"/>
        <v>3</v>
      </c>
      <c r="AR71" s="12">
        <f t="shared" si="15"/>
        <v>100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>
        <v>100</v>
      </c>
      <c r="BA71" s="6">
        <v>0</v>
      </c>
      <c r="BB71" s="6">
        <v>0</v>
      </c>
      <c r="BC71" s="6">
        <v>0</v>
      </c>
      <c r="BD71" s="6">
        <v>0</v>
      </c>
      <c r="BE71" s="6" t="s">
        <v>44</v>
      </c>
      <c r="BF71" s="6" t="s">
        <v>44</v>
      </c>
      <c r="BG71" s="6" t="s">
        <v>44</v>
      </c>
      <c r="BH71" s="6" t="s">
        <v>44</v>
      </c>
      <c r="BI71" s="6" t="s">
        <v>44</v>
      </c>
      <c r="BJ71" s="6" t="s">
        <v>44</v>
      </c>
      <c r="BK71" s="6">
        <v>0</v>
      </c>
      <c r="BL71" s="6">
        <f t="shared" si="16"/>
        <v>100</v>
      </c>
      <c r="BM71" s="6">
        <f t="shared" si="12"/>
        <v>100</v>
      </c>
      <c r="BN71">
        <v>3</v>
      </c>
      <c r="BO71">
        <f t="shared" si="9"/>
        <v>3</v>
      </c>
      <c r="BP71" s="6">
        <v>0</v>
      </c>
      <c r="BQ71">
        <f>SUM(BP71,BB71,BK71)</f>
        <v>0</v>
      </c>
      <c r="BR71">
        <f t="shared" si="13"/>
        <v>0</v>
      </c>
    </row>
    <row r="72" spans="1:70" hidden="1">
      <c r="A72" s="16" t="str">
        <f t="shared" si="10"/>
        <v>SC_2024_AZ_1_1</v>
      </c>
      <c r="B72" t="s">
        <v>54</v>
      </c>
      <c r="C72">
        <v>43.303199999999997</v>
      </c>
      <c r="D72">
        <v>-124.3974</v>
      </c>
      <c r="E72" s="8">
        <v>45467</v>
      </c>
      <c r="F72">
        <v>2024</v>
      </c>
      <c r="G72" t="s">
        <v>41</v>
      </c>
      <c r="H72" t="s">
        <v>42</v>
      </c>
      <c r="I72">
        <v>1</v>
      </c>
      <c r="J72">
        <v>1</v>
      </c>
      <c r="K72" t="s">
        <v>43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 t="s">
        <v>44</v>
      </c>
      <c r="R72" s="22" t="s">
        <v>44</v>
      </c>
      <c r="S72" s="22">
        <v>0</v>
      </c>
      <c r="T72" s="23">
        <v>4</v>
      </c>
      <c r="U72" s="23">
        <v>4</v>
      </c>
      <c r="V72" s="18" t="s">
        <v>44</v>
      </c>
      <c r="W72" s="18" t="s">
        <v>44</v>
      </c>
      <c r="X72" s="18" t="s">
        <v>44</v>
      </c>
      <c r="Y72" s="18" t="s">
        <v>44</v>
      </c>
      <c r="Z72" s="18" t="s">
        <v>44</v>
      </c>
      <c r="AA72" s="11" t="s">
        <v>44</v>
      </c>
      <c r="AB72" s="11" t="s">
        <v>44</v>
      </c>
      <c r="AC72" s="11" t="s">
        <v>44</v>
      </c>
      <c r="AD72" s="11" t="s">
        <v>44</v>
      </c>
      <c r="AE72" s="11" t="s">
        <v>44</v>
      </c>
      <c r="AF72" s="11" t="s">
        <v>44</v>
      </c>
      <c r="AG72" s="32"/>
      <c r="AH72">
        <v>0.1</v>
      </c>
      <c r="AI72">
        <v>63</v>
      </c>
      <c r="AJ72" s="6">
        <v>19</v>
      </c>
      <c r="AK72" s="9">
        <v>1</v>
      </c>
      <c r="AL72">
        <v>4</v>
      </c>
      <c r="AM72" s="9">
        <v>1</v>
      </c>
      <c r="AN72">
        <v>0</v>
      </c>
      <c r="AO72">
        <v>12</v>
      </c>
      <c r="AP72">
        <v>0</v>
      </c>
      <c r="AQ72" s="21">
        <f t="shared" si="11"/>
        <v>0</v>
      </c>
      <c r="AR72" s="12">
        <f t="shared" si="15"/>
        <v>100.1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>
        <v>11</v>
      </c>
      <c r="AY72" s="6">
        <v>0</v>
      </c>
      <c r="AZ72">
        <v>2</v>
      </c>
      <c r="BA72" s="6">
        <v>0</v>
      </c>
      <c r="BB72" s="6">
        <v>0</v>
      </c>
      <c r="BC72" s="6">
        <v>0</v>
      </c>
      <c r="BD72" s="6">
        <v>0</v>
      </c>
      <c r="BE72" s="6" t="s">
        <v>44</v>
      </c>
      <c r="BF72" s="6" t="s">
        <v>44</v>
      </c>
      <c r="BG72" s="6" t="s">
        <v>44</v>
      </c>
      <c r="BH72" s="6" t="s">
        <v>44</v>
      </c>
      <c r="BI72" s="6" t="s">
        <v>44</v>
      </c>
      <c r="BJ72" s="6" t="s">
        <v>44</v>
      </c>
      <c r="BK72" s="6">
        <v>0</v>
      </c>
      <c r="BL72" s="6">
        <f t="shared" si="16"/>
        <v>13</v>
      </c>
      <c r="BM72" s="6">
        <f t="shared" si="12"/>
        <v>13</v>
      </c>
      <c r="BN72">
        <v>63</v>
      </c>
      <c r="BO72">
        <f t="shared" si="9"/>
        <v>63</v>
      </c>
      <c r="BP72" s="6">
        <v>19</v>
      </c>
      <c r="BQ72">
        <f>SUM(BP72,BB72,BK72)</f>
        <v>19</v>
      </c>
      <c r="BR72">
        <f t="shared" si="13"/>
        <v>0</v>
      </c>
    </row>
    <row r="73" spans="1:70" hidden="1">
      <c r="A73" s="16" t="str">
        <f t="shared" si="10"/>
        <v>SC_2024_AZ_1_2</v>
      </c>
      <c r="B73" t="s">
        <v>54</v>
      </c>
      <c r="C73">
        <v>43.303199999999997</v>
      </c>
      <c r="D73">
        <v>-124.3974</v>
      </c>
      <c r="E73" s="8">
        <v>45467</v>
      </c>
      <c r="F73">
        <v>2024</v>
      </c>
      <c r="G73" t="s">
        <v>41</v>
      </c>
      <c r="H73" t="s">
        <v>42</v>
      </c>
      <c r="I73">
        <v>1</v>
      </c>
      <c r="J73">
        <v>2</v>
      </c>
      <c r="K73" t="s">
        <v>43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2" t="s">
        <v>44</v>
      </c>
      <c r="S73" s="22">
        <v>0</v>
      </c>
      <c r="T73" s="23">
        <v>0</v>
      </c>
      <c r="U73" s="23">
        <v>0</v>
      </c>
      <c r="V73" s="18" t="s">
        <v>44</v>
      </c>
      <c r="W73" s="18" t="s">
        <v>44</v>
      </c>
      <c r="X73" s="18" t="s">
        <v>44</v>
      </c>
      <c r="Y73" s="18" t="s">
        <v>44</v>
      </c>
      <c r="Z73" s="18" t="s">
        <v>44</v>
      </c>
      <c r="AA73" s="11" t="s">
        <v>44</v>
      </c>
      <c r="AB73" s="11" t="s">
        <v>44</v>
      </c>
      <c r="AC73" s="11" t="s">
        <v>44</v>
      </c>
      <c r="AD73" s="11" t="s">
        <v>44</v>
      </c>
      <c r="AE73" s="11" t="s">
        <v>44</v>
      </c>
      <c r="AF73" s="11" t="s">
        <v>44</v>
      </c>
      <c r="AG73" s="32"/>
      <c r="AH73">
        <v>8</v>
      </c>
      <c r="AI73">
        <v>57</v>
      </c>
      <c r="AJ73">
        <v>10</v>
      </c>
      <c r="AK73" s="9">
        <v>0</v>
      </c>
      <c r="AL73">
        <v>4</v>
      </c>
      <c r="AM73" s="9">
        <v>2</v>
      </c>
      <c r="AN73">
        <v>0</v>
      </c>
      <c r="AO73">
        <v>16</v>
      </c>
      <c r="AP73">
        <v>3</v>
      </c>
      <c r="AQ73" s="21">
        <f t="shared" si="11"/>
        <v>3</v>
      </c>
      <c r="AR73" s="12">
        <f t="shared" si="15"/>
        <v>100</v>
      </c>
      <c r="AS73">
        <v>96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 t="s">
        <v>44</v>
      </c>
      <c r="BF73" s="6" t="s">
        <v>44</v>
      </c>
      <c r="BG73" s="6" t="s">
        <v>44</v>
      </c>
      <c r="BH73" s="6" t="s">
        <v>44</v>
      </c>
      <c r="BI73" s="6" t="s">
        <v>44</v>
      </c>
      <c r="BJ73" s="6" t="s">
        <v>44</v>
      </c>
      <c r="BK73" s="6">
        <v>0</v>
      </c>
      <c r="BL73" s="6">
        <f t="shared" si="16"/>
        <v>96</v>
      </c>
      <c r="BM73" s="6">
        <f t="shared" si="12"/>
        <v>96</v>
      </c>
      <c r="BN73">
        <v>57</v>
      </c>
      <c r="BO73">
        <f t="shared" si="9"/>
        <v>57</v>
      </c>
      <c r="BP73">
        <v>10</v>
      </c>
      <c r="BQ73">
        <f>SUM(BP73,BB73,BK73)</f>
        <v>10</v>
      </c>
      <c r="BR73">
        <f t="shared" si="13"/>
        <v>0</v>
      </c>
    </row>
    <row r="74" spans="1:70" hidden="1">
      <c r="A74" s="16" t="str">
        <f t="shared" si="10"/>
        <v>SC_2024_AZ_1_3</v>
      </c>
      <c r="B74" t="s">
        <v>54</v>
      </c>
      <c r="C74">
        <v>43.303199999999997</v>
      </c>
      <c r="D74">
        <v>-124.3974</v>
      </c>
      <c r="E74" s="8">
        <v>45467</v>
      </c>
      <c r="F74">
        <v>2024</v>
      </c>
      <c r="G74" t="s">
        <v>41</v>
      </c>
      <c r="H74" t="s">
        <v>42</v>
      </c>
      <c r="I74">
        <v>1</v>
      </c>
      <c r="J74">
        <v>3</v>
      </c>
      <c r="K74" t="s">
        <v>43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2" t="s">
        <v>44</v>
      </c>
      <c r="S74" s="22">
        <v>0</v>
      </c>
      <c r="T74" s="23">
        <v>0</v>
      </c>
      <c r="U74" s="23">
        <v>0</v>
      </c>
      <c r="V74" s="18" t="s">
        <v>44</v>
      </c>
      <c r="W74" s="18" t="s">
        <v>44</v>
      </c>
      <c r="X74" s="18" t="s">
        <v>44</v>
      </c>
      <c r="Y74" s="18" t="s">
        <v>44</v>
      </c>
      <c r="Z74" s="18" t="s">
        <v>44</v>
      </c>
      <c r="AA74" s="11" t="s">
        <v>44</v>
      </c>
      <c r="AB74" s="11" t="s">
        <v>44</v>
      </c>
      <c r="AC74" s="11" t="s">
        <v>44</v>
      </c>
      <c r="AD74" s="11" t="s">
        <v>44</v>
      </c>
      <c r="AE74" s="11" t="s">
        <v>44</v>
      </c>
      <c r="AF74" s="11" t="s">
        <v>44</v>
      </c>
      <c r="AG74" s="32">
        <v>0</v>
      </c>
      <c r="AH74">
        <v>0</v>
      </c>
      <c r="AI74">
        <v>20</v>
      </c>
      <c r="AJ74">
        <v>3</v>
      </c>
      <c r="AK74" s="9">
        <v>12</v>
      </c>
      <c r="AL74">
        <v>0</v>
      </c>
      <c r="AM74" s="9">
        <v>0</v>
      </c>
      <c r="AN74">
        <v>0</v>
      </c>
      <c r="AO74">
        <v>65</v>
      </c>
      <c r="AP74">
        <v>0</v>
      </c>
      <c r="AQ74" s="21">
        <f t="shared" si="11"/>
        <v>0</v>
      </c>
      <c r="AR74" s="12">
        <f t="shared" si="15"/>
        <v>100</v>
      </c>
      <c r="AS74" s="6">
        <v>0</v>
      </c>
      <c r="AT74" s="6">
        <v>0</v>
      </c>
      <c r="AU74">
        <v>5</v>
      </c>
      <c r="AV74" s="6">
        <v>0</v>
      </c>
      <c r="AW74" s="6">
        <v>0</v>
      </c>
      <c r="AX74">
        <v>3</v>
      </c>
      <c r="AY74" s="6">
        <v>0</v>
      </c>
      <c r="AZ74">
        <v>72</v>
      </c>
      <c r="BA74" s="6">
        <v>0</v>
      </c>
      <c r="BB74" s="6">
        <v>0</v>
      </c>
      <c r="BC74" s="6">
        <v>0</v>
      </c>
      <c r="BD74" s="6">
        <v>0</v>
      </c>
      <c r="BE74" s="6" t="s">
        <v>44</v>
      </c>
      <c r="BF74" s="6" t="s">
        <v>44</v>
      </c>
      <c r="BG74" s="6" t="s">
        <v>44</v>
      </c>
      <c r="BH74" s="6" t="s">
        <v>44</v>
      </c>
      <c r="BI74" s="6" t="s">
        <v>44</v>
      </c>
      <c r="BJ74" s="6" t="s">
        <v>44</v>
      </c>
      <c r="BK74" s="6">
        <v>0</v>
      </c>
      <c r="BL74" s="6">
        <f t="shared" si="16"/>
        <v>75</v>
      </c>
      <c r="BM74" s="6">
        <f t="shared" si="12"/>
        <v>80</v>
      </c>
    </row>
    <row r="75" spans="1:70" hidden="1">
      <c r="A75" s="16" t="str">
        <f t="shared" si="10"/>
        <v>SC_2024_AZ_1_4</v>
      </c>
      <c r="B75" t="s">
        <v>54</v>
      </c>
      <c r="C75">
        <v>43.303199999999997</v>
      </c>
      <c r="D75">
        <v>-124.3974</v>
      </c>
      <c r="E75" s="8">
        <v>45467</v>
      </c>
      <c r="F75">
        <v>2024</v>
      </c>
      <c r="G75" t="s">
        <v>41</v>
      </c>
      <c r="H75" t="s">
        <v>42</v>
      </c>
      <c r="I75">
        <v>1</v>
      </c>
      <c r="J75">
        <v>4</v>
      </c>
      <c r="K75" t="s">
        <v>43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2" t="s">
        <v>44</v>
      </c>
      <c r="S75" s="22">
        <v>0</v>
      </c>
      <c r="T75" s="23">
        <v>0</v>
      </c>
      <c r="U75" s="23">
        <v>0</v>
      </c>
      <c r="V75" s="18" t="s">
        <v>44</v>
      </c>
      <c r="W75" s="18" t="s">
        <v>44</v>
      </c>
      <c r="X75" s="18" t="s">
        <v>44</v>
      </c>
      <c r="Y75" s="18" t="s">
        <v>44</v>
      </c>
      <c r="Z75" s="18" t="s">
        <v>44</v>
      </c>
      <c r="AA75" s="11" t="s">
        <v>44</v>
      </c>
      <c r="AB75" s="11" t="s">
        <v>44</v>
      </c>
      <c r="AC75" s="11" t="s">
        <v>44</v>
      </c>
      <c r="AD75" s="11" t="s">
        <v>44</v>
      </c>
      <c r="AE75" s="11" t="s">
        <v>44</v>
      </c>
      <c r="AF75" s="11" t="s">
        <v>44</v>
      </c>
      <c r="AG75" s="32"/>
      <c r="AH75">
        <v>0</v>
      </c>
      <c r="AI75">
        <v>12</v>
      </c>
      <c r="AJ75">
        <v>11</v>
      </c>
      <c r="AK75" s="9">
        <v>24</v>
      </c>
      <c r="AL75">
        <v>2</v>
      </c>
      <c r="AM75" s="9">
        <v>0</v>
      </c>
      <c r="AN75">
        <v>0</v>
      </c>
      <c r="AO75">
        <v>51</v>
      </c>
      <c r="AP75">
        <v>0</v>
      </c>
      <c r="AQ75" s="21">
        <f t="shared" si="11"/>
        <v>0</v>
      </c>
      <c r="AR75" s="12">
        <f t="shared" si="15"/>
        <v>100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>
        <v>10</v>
      </c>
      <c r="AY75" s="6">
        <v>0</v>
      </c>
      <c r="AZ75">
        <v>41</v>
      </c>
      <c r="BA75" s="6">
        <v>0</v>
      </c>
      <c r="BB75" s="6">
        <v>0</v>
      </c>
      <c r="BC75" s="6">
        <v>0</v>
      </c>
      <c r="BD75" s="6">
        <v>0</v>
      </c>
      <c r="BE75" s="6" t="s">
        <v>44</v>
      </c>
      <c r="BF75" s="6" t="s">
        <v>44</v>
      </c>
      <c r="BG75" s="6" t="s">
        <v>44</v>
      </c>
      <c r="BH75" s="6" t="s">
        <v>44</v>
      </c>
      <c r="BI75" s="6" t="s">
        <v>44</v>
      </c>
      <c r="BJ75" s="6" t="s">
        <v>44</v>
      </c>
      <c r="BK75" s="6">
        <v>0</v>
      </c>
      <c r="BL75" s="6">
        <f t="shared" si="16"/>
        <v>51</v>
      </c>
      <c r="BM75" s="6">
        <f t="shared" si="12"/>
        <v>51</v>
      </c>
      <c r="BN75">
        <v>12</v>
      </c>
      <c r="BO75">
        <f t="shared" si="9"/>
        <v>12</v>
      </c>
      <c r="BP75">
        <v>11</v>
      </c>
      <c r="BQ75">
        <f>SUM(BP75,BB75,BK75)</f>
        <v>11</v>
      </c>
      <c r="BR75">
        <f t="shared" si="13"/>
        <v>0</v>
      </c>
    </row>
    <row r="76" spans="1:70" hidden="1">
      <c r="A76" s="16" t="str">
        <f t="shared" si="10"/>
        <v>SC_2024_AZ_1_5</v>
      </c>
      <c r="B76" t="s">
        <v>54</v>
      </c>
      <c r="C76">
        <v>43.303199999999997</v>
      </c>
      <c r="D76">
        <v>-124.3974</v>
      </c>
      <c r="E76" s="8">
        <v>45467</v>
      </c>
      <c r="F76">
        <v>2024</v>
      </c>
      <c r="G76" t="s">
        <v>41</v>
      </c>
      <c r="H76" t="s">
        <v>42</v>
      </c>
      <c r="I76">
        <v>1</v>
      </c>
      <c r="J76">
        <v>5</v>
      </c>
      <c r="K76" t="s">
        <v>46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2" t="s">
        <v>44</v>
      </c>
      <c r="S76" s="22">
        <v>0</v>
      </c>
      <c r="T76" s="23">
        <v>0</v>
      </c>
      <c r="U76" s="23">
        <v>0</v>
      </c>
      <c r="V76" s="18" t="s">
        <v>44</v>
      </c>
      <c r="W76" s="18" t="s">
        <v>44</v>
      </c>
      <c r="X76" s="18" t="s">
        <v>44</v>
      </c>
      <c r="Y76" s="18" t="s">
        <v>44</v>
      </c>
      <c r="Z76" s="18" t="s">
        <v>44</v>
      </c>
      <c r="AA76" s="11" t="s">
        <v>44</v>
      </c>
      <c r="AB76" s="11" t="s">
        <v>44</v>
      </c>
      <c r="AC76" s="11" t="s">
        <v>44</v>
      </c>
      <c r="AD76" s="11" t="s">
        <v>44</v>
      </c>
      <c r="AE76" s="11" t="s">
        <v>44</v>
      </c>
      <c r="AF76" s="11" t="s">
        <v>44</v>
      </c>
      <c r="AG76" s="32">
        <v>0</v>
      </c>
      <c r="AH76">
        <v>2</v>
      </c>
      <c r="AI76">
        <v>75</v>
      </c>
      <c r="AJ76">
        <v>15</v>
      </c>
      <c r="AK76">
        <v>0</v>
      </c>
      <c r="AL76">
        <v>1</v>
      </c>
      <c r="AM76" s="9">
        <v>5</v>
      </c>
      <c r="AN76">
        <v>0</v>
      </c>
      <c r="AO76">
        <v>1</v>
      </c>
      <c r="AP76">
        <v>1</v>
      </c>
      <c r="AQ76" s="21">
        <f t="shared" si="11"/>
        <v>1</v>
      </c>
      <c r="AR76" s="12">
        <f t="shared" si="15"/>
        <v>100</v>
      </c>
      <c r="AS76" s="6">
        <v>0</v>
      </c>
      <c r="AT76" s="6">
        <v>0</v>
      </c>
      <c r="AU76">
        <v>39</v>
      </c>
      <c r="AV76" s="6">
        <v>0</v>
      </c>
      <c r="AW76" s="6">
        <v>0</v>
      </c>
      <c r="AX76">
        <v>18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 t="s">
        <v>44</v>
      </c>
      <c r="BF76" s="6" t="s">
        <v>44</v>
      </c>
      <c r="BG76" s="6" t="s">
        <v>44</v>
      </c>
      <c r="BH76" s="6" t="s">
        <v>44</v>
      </c>
      <c r="BI76" s="6" t="s">
        <v>44</v>
      </c>
      <c r="BJ76" s="6" t="s">
        <v>44</v>
      </c>
      <c r="BK76" s="6">
        <v>0</v>
      </c>
      <c r="BL76" s="6">
        <f t="shared" si="16"/>
        <v>18</v>
      </c>
      <c r="BM76" s="6">
        <f t="shared" si="12"/>
        <v>57</v>
      </c>
    </row>
    <row r="77" spans="1:70" hidden="1">
      <c r="A77" s="16" t="str">
        <f>_xlfn.CONCAT(B77,"_",F77, "_",H77, "_",I77,"_",J77)</f>
        <v>SC_2024_AZ_2_1</v>
      </c>
      <c r="B77" t="s">
        <v>54</v>
      </c>
      <c r="C77">
        <v>43.303199999999997</v>
      </c>
      <c r="D77">
        <v>-124.3974</v>
      </c>
      <c r="E77" s="8">
        <v>45467</v>
      </c>
      <c r="F77">
        <v>2024</v>
      </c>
      <c r="G77" t="s">
        <v>41</v>
      </c>
      <c r="H77" t="s">
        <v>42</v>
      </c>
      <c r="I77">
        <v>2</v>
      </c>
      <c r="J77">
        <v>1</v>
      </c>
      <c r="K77" t="s">
        <v>43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2" t="s">
        <v>44</v>
      </c>
      <c r="S77" s="22">
        <v>0</v>
      </c>
      <c r="T77" s="23">
        <v>0</v>
      </c>
      <c r="U77" s="23">
        <v>0</v>
      </c>
      <c r="V77" s="18" t="s">
        <v>44</v>
      </c>
      <c r="W77" s="18" t="s">
        <v>44</v>
      </c>
      <c r="X77" s="18" t="s">
        <v>44</v>
      </c>
      <c r="Y77" s="18" t="s">
        <v>44</v>
      </c>
      <c r="Z77" s="18" t="s">
        <v>44</v>
      </c>
      <c r="AA77" s="11" t="s">
        <v>44</v>
      </c>
      <c r="AB77" s="11" t="s">
        <v>44</v>
      </c>
      <c r="AC77" s="11" t="s">
        <v>44</v>
      </c>
      <c r="AD77" s="11" t="s">
        <v>44</v>
      </c>
      <c r="AE77" s="11" t="s">
        <v>44</v>
      </c>
      <c r="AF77" s="11" t="s">
        <v>44</v>
      </c>
      <c r="AG77" s="32">
        <v>0</v>
      </c>
      <c r="AH77">
        <v>0</v>
      </c>
      <c r="AI77">
        <v>78</v>
      </c>
      <c r="AJ77">
        <v>0</v>
      </c>
      <c r="AK77">
        <v>0</v>
      </c>
      <c r="AL77">
        <v>2</v>
      </c>
      <c r="AM77">
        <v>2</v>
      </c>
      <c r="AN77">
        <v>3</v>
      </c>
      <c r="AO77">
        <v>3</v>
      </c>
      <c r="AP77">
        <v>12</v>
      </c>
      <c r="AQ77" s="21">
        <f t="shared" si="11"/>
        <v>12</v>
      </c>
      <c r="AR77" s="12">
        <f t="shared" si="15"/>
        <v>100</v>
      </c>
      <c r="AS77" s="6">
        <v>0</v>
      </c>
      <c r="AT77" s="6">
        <v>0</v>
      </c>
      <c r="AU77">
        <v>44</v>
      </c>
      <c r="AV77" s="6">
        <v>0</v>
      </c>
      <c r="AW77" s="6">
        <v>0</v>
      </c>
      <c r="AX77">
        <v>25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 t="s">
        <v>44</v>
      </c>
      <c r="BF77" s="6" t="s">
        <v>44</v>
      </c>
      <c r="BG77" s="6" t="s">
        <v>44</v>
      </c>
      <c r="BH77" s="6" t="s">
        <v>44</v>
      </c>
      <c r="BI77" s="6" t="s">
        <v>44</v>
      </c>
      <c r="BJ77" s="6" t="s">
        <v>44</v>
      </c>
      <c r="BK77" s="6">
        <v>0</v>
      </c>
      <c r="BL77" s="6">
        <f t="shared" si="16"/>
        <v>25</v>
      </c>
      <c r="BM77" s="6">
        <f t="shared" si="12"/>
        <v>69</v>
      </c>
    </row>
    <row r="78" spans="1:70" hidden="1">
      <c r="A78" s="16" t="str">
        <f t="shared" si="10"/>
        <v>SC_2024_AZ_2_2</v>
      </c>
      <c r="B78" t="s">
        <v>54</v>
      </c>
      <c r="C78">
        <v>43.303199999999997</v>
      </c>
      <c r="D78">
        <v>-124.3974</v>
      </c>
      <c r="E78" s="8">
        <v>45467</v>
      </c>
      <c r="F78">
        <v>2024</v>
      </c>
      <c r="G78" t="s">
        <v>41</v>
      </c>
      <c r="H78" t="s">
        <v>42</v>
      </c>
      <c r="I78">
        <v>2</v>
      </c>
      <c r="J78">
        <v>2</v>
      </c>
      <c r="K78" t="s">
        <v>46</v>
      </c>
      <c r="L78" s="23">
        <v>2</v>
      </c>
      <c r="M78" s="23">
        <v>2</v>
      </c>
      <c r="N78" s="23">
        <v>0</v>
      </c>
      <c r="O78" s="23">
        <v>0</v>
      </c>
      <c r="P78" s="23">
        <v>0</v>
      </c>
      <c r="Q78" s="23">
        <v>0</v>
      </c>
      <c r="R78" s="22" t="s">
        <v>44</v>
      </c>
      <c r="S78" s="22">
        <v>0</v>
      </c>
      <c r="T78" s="23">
        <v>5</v>
      </c>
      <c r="U78" s="23">
        <v>7</v>
      </c>
      <c r="V78" s="18" t="s">
        <v>44</v>
      </c>
      <c r="W78" s="18" t="s">
        <v>44</v>
      </c>
      <c r="X78" s="18" t="s">
        <v>44</v>
      </c>
      <c r="Y78" s="18" t="s">
        <v>44</v>
      </c>
      <c r="Z78" s="18" t="s">
        <v>44</v>
      </c>
      <c r="AA78" s="11" t="s">
        <v>44</v>
      </c>
      <c r="AB78" s="11" t="s">
        <v>44</v>
      </c>
      <c r="AC78" s="11" t="s">
        <v>44</v>
      </c>
      <c r="AD78" s="11" t="s">
        <v>44</v>
      </c>
      <c r="AE78" s="11" t="s">
        <v>44</v>
      </c>
      <c r="AF78" s="11" t="s">
        <v>44</v>
      </c>
      <c r="AG78" s="32">
        <v>0</v>
      </c>
      <c r="AH78">
        <v>0</v>
      </c>
      <c r="AI78">
        <v>84</v>
      </c>
      <c r="AJ78">
        <v>0</v>
      </c>
      <c r="AK78">
        <v>0</v>
      </c>
      <c r="AL78">
        <v>9</v>
      </c>
      <c r="AM78">
        <v>3</v>
      </c>
      <c r="AN78">
        <v>1</v>
      </c>
      <c r="AO78">
        <v>1</v>
      </c>
      <c r="AP78">
        <v>2</v>
      </c>
      <c r="AQ78" s="21">
        <f t="shared" si="11"/>
        <v>2</v>
      </c>
      <c r="AR78" s="12">
        <f t="shared" si="15"/>
        <v>100</v>
      </c>
      <c r="AS78" s="6">
        <v>0</v>
      </c>
      <c r="AT78" s="6">
        <v>0</v>
      </c>
      <c r="AV78" s="6">
        <v>0</v>
      </c>
      <c r="AW78" s="6">
        <v>0</v>
      </c>
      <c r="AX78">
        <v>36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 t="s">
        <v>44</v>
      </c>
      <c r="BF78" s="6" t="s">
        <v>44</v>
      </c>
      <c r="BG78" s="6" t="s">
        <v>44</v>
      </c>
      <c r="BH78" s="6" t="s">
        <v>44</v>
      </c>
      <c r="BI78" s="6" t="s">
        <v>44</v>
      </c>
      <c r="BJ78" s="6" t="s">
        <v>44</v>
      </c>
      <c r="BK78" s="6">
        <v>0</v>
      </c>
      <c r="BL78" s="6">
        <f t="shared" si="16"/>
        <v>36</v>
      </c>
      <c r="BM78" s="6">
        <f t="shared" si="12"/>
        <v>36</v>
      </c>
    </row>
    <row r="79" spans="1:70" hidden="1">
      <c r="A79" s="16" t="str">
        <f t="shared" si="10"/>
        <v>SC_2024_AZ_2_3</v>
      </c>
      <c r="B79" t="s">
        <v>54</v>
      </c>
      <c r="C79">
        <v>43.303199999999997</v>
      </c>
      <c r="D79">
        <v>-124.3974</v>
      </c>
      <c r="E79" s="8">
        <v>45467</v>
      </c>
      <c r="F79">
        <v>2024</v>
      </c>
      <c r="G79" t="s">
        <v>41</v>
      </c>
      <c r="H79" t="s">
        <v>42</v>
      </c>
      <c r="I79">
        <v>2</v>
      </c>
      <c r="J79">
        <v>3</v>
      </c>
      <c r="K79" t="s">
        <v>46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2" t="s">
        <v>44</v>
      </c>
      <c r="S79" s="22">
        <v>0</v>
      </c>
      <c r="T79" s="23">
        <v>0</v>
      </c>
      <c r="U79" s="23">
        <v>0</v>
      </c>
      <c r="V79" s="18" t="s">
        <v>44</v>
      </c>
      <c r="W79" s="18" t="s">
        <v>44</v>
      </c>
      <c r="X79" s="18" t="s">
        <v>44</v>
      </c>
      <c r="Y79" s="18" t="s">
        <v>44</v>
      </c>
      <c r="Z79" s="18" t="s">
        <v>44</v>
      </c>
      <c r="AA79" s="11" t="s">
        <v>44</v>
      </c>
      <c r="AB79" s="11" t="s">
        <v>44</v>
      </c>
      <c r="AC79" s="11" t="s">
        <v>44</v>
      </c>
      <c r="AD79" s="11" t="s">
        <v>44</v>
      </c>
      <c r="AE79" s="11" t="s">
        <v>44</v>
      </c>
      <c r="AF79" s="11" t="s">
        <v>44</v>
      </c>
      <c r="AG79" s="32">
        <v>0</v>
      </c>
      <c r="AH79">
        <v>0</v>
      </c>
      <c r="AI79">
        <v>70</v>
      </c>
      <c r="AJ79">
        <v>0</v>
      </c>
      <c r="AK79">
        <v>0</v>
      </c>
      <c r="AL79">
        <v>8</v>
      </c>
      <c r="AM79">
        <v>3</v>
      </c>
      <c r="AN79">
        <v>0</v>
      </c>
      <c r="AO79">
        <v>0</v>
      </c>
      <c r="AP79">
        <v>19</v>
      </c>
      <c r="AQ79" s="21">
        <f t="shared" si="11"/>
        <v>19</v>
      </c>
      <c r="AR79" s="12">
        <f t="shared" si="15"/>
        <v>100</v>
      </c>
      <c r="AS79" s="6">
        <v>0</v>
      </c>
      <c r="AT79" s="6">
        <v>0</v>
      </c>
      <c r="AU79">
        <v>1</v>
      </c>
      <c r="AV79" s="6">
        <v>0</v>
      </c>
      <c r="AW79" s="6">
        <v>0</v>
      </c>
      <c r="AX79">
        <v>39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 t="s">
        <v>44</v>
      </c>
      <c r="BF79" s="6" t="s">
        <v>44</v>
      </c>
      <c r="BG79" s="6" t="s">
        <v>44</v>
      </c>
      <c r="BH79" s="6" t="s">
        <v>44</v>
      </c>
      <c r="BI79" s="6" t="s">
        <v>44</v>
      </c>
      <c r="BJ79" s="6" t="s">
        <v>44</v>
      </c>
      <c r="BK79" s="6">
        <v>0</v>
      </c>
      <c r="BL79" s="6">
        <f t="shared" si="16"/>
        <v>39</v>
      </c>
      <c r="BM79" s="6">
        <f t="shared" si="12"/>
        <v>40</v>
      </c>
    </row>
    <row r="80" spans="1:70" hidden="1">
      <c r="A80" s="16" t="str">
        <f t="shared" si="10"/>
        <v>SC_2024_AZ_2_4</v>
      </c>
      <c r="B80" t="s">
        <v>54</v>
      </c>
      <c r="C80">
        <v>43.303199999999997</v>
      </c>
      <c r="D80">
        <v>-124.3974</v>
      </c>
      <c r="E80" s="8">
        <v>45467</v>
      </c>
      <c r="F80">
        <v>2024</v>
      </c>
      <c r="G80" t="s">
        <v>41</v>
      </c>
      <c r="H80" t="s">
        <v>42</v>
      </c>
      <c r="I80">
        <v>2</v>
      </c>
      <c r="J80">
        <v>4</v>
      </c>
      <c r="K80" t="s">
        <v>43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2" t="s">
        <v>44</v>
      </c>
      <c r="S80" s="22">
        <v>0</v>
      </c>
      <c r="T80" s="23">
        <v>0</v>
      </c>
      <c r="U80" s="23">
        <v>0</v>
      </c>
      <c r="V80" s="18" t="s">
        <v>44</v>
      </c>
      <c r="W80" s="18" t="s">
        <v>44</v>
      </c>
      <c r="X80" s="18" t="s">
        <v>44</v>
      </c>
      <c r="Y80" s="18" t="s">
        <v>44</v>
      </c>
      <c r="Z80" s="18" t="s">
        <v>44</v>
      </c>
      <c r="AA80" s="11" t="s">
        <v>44</v>
      </c>
      <c r="AB80" s="11" t="s">
        <v>44</v>
      </c>
      <c r="AC80" s="11" t="s">
        <v>44</v>
      </c>
      <c r="AD80" s="11" t="s">
        <v>44</v>
      </c>
      <c r="AE80" s="11" t="s">
        <v>44</v>
      </c>
      <c r="AF80" s="11" t="s">
        <v>44</v>
      </c>
      <c r="AG80" s="32">
        <v>0</v>
      </c>
      <c r="AH80">
        <v>0</v>
      </c>
      <c r="AI80">
        <v>91</v>
      </c>
      <c r="AJ80">
        <v>0</v>
      </c>
      <c r="AK80">
        <v>0</v>
      </c>
      <c r="AL80">
        <v>1</v>
      </c>
      <c r="AM80">
        <v>2</v>
      </c>
      <c r="AN80">
        <v>0.1</v>
      </c>
      <c r="AO80">
        <v>0</v>
      </c>
      <c r="AP80">
        <v>6</v>
      </c>
      <c r="AQ80" s="21">
        <f t="shared" si="11"/>
        <v>6</v>
      </c>
      <c r="AR80" s="12">
        <f t="shared" si="15"/>
        <v>100.1</v>
      </c>
      <c r="AS80" s="6">
        <v>0</v>
      </c>
      <c r="AT80" s="6">
        <v>0</v>
      </c>
      <c r="AU80">
        <v>0.1</v>
      </c>
      <c r="AV80" s="6">
        <v>0</v>
      </c>
      <c r="AW80" s="6">
        <v>0</v>
      </c>
      <c r="AX80">
        <v>36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 t="s">
        <v>44</v>
      </c>
      <c r="BF80" s="6" t="s">
        <v>44</v>
      </c>
      <c r="BG80" s="6" t="s">
        <v>44</v>
      </c>
      <c r="BH80" s="6" t="s">
        <v>44</v>
      </c>
      <c r="BI80" s="6" t="s">
        <v>44</v>
      </c>
      <c r="BJ80" s="6" t="s">
        <v>44</v>
      </c>
      <c r="BK80" s="6">
        <v>0</v>
      </c>
      <c r="BL80" s="6">
        <f t="shared" si="16"/>
        <v>36</v>
      </c>
      <c r="BM80" s="6">
        <f t="shared" si="12"/>
        <v>36.1</v>
      </c>
    </row>
    <row r="81" spans="1:70" hidden="1">
      <c r="A81" s="16" t="str">
        <f t="shared" si="10"/>
        <v>SC_2024_AZ_2_5</v>
      </c>
      <c r="B81" t="s">
        <v>54</v>
      </c>
      <c r="C81">
        <v>43.303199999999997</v>
      </c>
      <c r="D81">
        <v>-124.3974</v>
      </c>
      <c r="E81" s="8">
        <v>45467</v>
      </c>
      <c r="F81">
        <v>2024</v>
      </c>
      <c r="G81" t="s">
        <v>41</v>
      </c>
      <c r="H81" t="s">
        <v>42</v>
      </c>
      <c r="I81">
        <v>2</v>
      </c>
      <c r="J81">
        <v>5</v>
      </c>
      <c r="K81" t="s">
        <v>43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2" t="s">
        <v>44</v>
      </c>
      <c r="S81" s="22">
        <v>0</v>
      </c>
      <c r="T81" s="23">
        <v>3</v>
      </c>
      <c r="U81" s="23">
        <v>3</v>
      </c>
      <c r="V81" s="18" t="s">
        <v>44</v>
      </c>
      <c r="W81" s="18" t="s">
        <v>44</v>
      </c>
      <c r="X81" s="18" t="s">
        <v>44</v>
      </c>
      <c r="Y81" s="18" t="s">
        <v>44</v>
      </c>
      <c r="Z81" s="18" t="s">
        <v>44</v>
      </c>
      <c r="AA81" s="11" t="s">
        <v>44</v>
      </c>
      <c r="AB81" s="11" t="s">
        <v>44</v>
      </c>
      <c r="AC81" s="11" t="s">
        <v>44</v>
      </c>
      <c r="AD81" s="11" t="s">
        <v>44</v>
      </c>
      <c r="AE81" s="11" t="s">
        <v>44</v>
      </c>
      <c r="AF81" s="11" t="s">
        <v>44</v>
      </c>
      <c r="AG81" s="32">
        <v>0</v>
      </c>
      <c r="AH81">
        <v>0</v>
      </c>
      <c r="AI81">
        <v>88</v>
      </c>
      <c r="AJ81">
        <v>0</v>
      </c>
      <c r="AK81">
        <v>0</v>
      </c>
      <c r="AL81">
        <v>8</v>
      </c>
      <c r="AM81">
        <v>2</v>
      </c>
      <c r="AN81">
        <v>0</v>
      </c>
      <c r="AO81">
        <v>0</v>
      </c>
      <c r="AP81">
        <v>2</v>
      </c>
      <c r="AQ81" s="21">
        <f t="shared" si="11"/>
        <v>2</v>
      </c>
      <c r="AR81" s="12">
        <f t="shared" si="15"/>
        <v>100</v>
      </c>
      <c r="AS81" s="6">
        <v>0</v>
      </c>
      <c r="AT81" s="6">
        <v>0</v>
      </c>
      <c r="AU81">
        <v>6</v>
      </c>
      <c r="AV81" s="6">
        <v>0</v>
      </c>
      <c r="AW81" s="6">
        <v>0</v>
      </c>
      <c r="AX81">
        <v>80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 t="s">
        <v>44</v>
      </c>
      <c r="BF81" s="6" t="s">
        <v>44</v>
      </c>
      <c r="BG81" s="6" t="s">
        <v>44</v>
      </c>
      <c r="BH81" s="6" t="s">
        <v>44</v>
      </c>
      <c r="BI81" s="6" t="s">
        <v>44</v>
      </c>
      <c r="BJ81" s="6" t="s">
        <v>44</v>
      </c>
      <c r="BK81" s="6">
        <v>0</v>
      </c>
      <c r="BL81" s="6">
        <f t="shared" si="16"/>
        <v>80</v>
      </c>
      <c r="BM81" s="6">
        <f t="shared" si="12"/>
        <v>86</v>
      </c>
    </row>
    <row r="82" spans="1:70" hidden="1">
      <c r="A82" s="16" t="str">
        <f t="shared" si="10"/>
        <v>SC_2024_UPZ_1_1</v>
      </c>
      <c r="B82" t="s">
        <v>54</v>
      </c>
      <c r="C82">
        <v>43.303199999999997</v>
      </c>
      <c r="D82">
        <v>-124.3974</v>
      </c>
      <c r="E82" s="8">
        <v>45467</v>
      </c>
      <c r="F82">
        <v>2024</v>
      </c>
      <c r="G82" t="s">
        <v>41</v>
      </c>
      <c r="H82" t="s">
        <v>45</v>
      </c>
      <c r="I82">
        <v>1</v>
      </c>
      <c r="J82">
        <v>1</v>
      </c>
      <c r="K82" t="s">
        <v>46</v>
      </c>
      <c r="L82" s="23">
        <v>61</v>
      </c>
      <c r="M82" s="23">
        <v>58</v>
      </c>
      <c r="N82" s="23">
        <v>0</v>
      </c>
      <c r="O82" s="23">
        <v>3</v>
      </c>
      <c r="P82" s="23">
        <v>5</v>
      </c>
      <c r="Q82" s="23">
        <v>1</v>
      </c>
      <c r="R82" s="22" t="s">
        <v>44</v>
      </c>
      <c r="S82" s="22">
        <v>0</v>
      </c>
      <c r="T82" s="23">
        <v>15</v>
      </c>
      <c r="U82" s="23">
        <v>72</v>
      </c>
      <c r="V82" s="18">
        <v>2.8</v>
      </c>
      <c r="W82" s="18">
        <v>3.7</v>
      </c>
      <c r="X82" s="18">
        <v>3</v>
      </c>
      <c r="Y82" s="18">
        <v>4</v>
      </c>
      <c r="Z82" s="18">
        <v>3.2</v>
      </c>
      <c r="AA82" s="17">
        <v>1</v>
      </c>
      <c r="AB82" s="17">
        <v>0</v>
      </c>
      <c r="AC82" s="17">
        <v>0</v>
      </c>
      <c r="AD82" s="17">
        <v>1</v>
      </c>
      <c r="AE82" s="17">
        <v>0</v>
      </c>
      <c r="AF82" s="11">
        <f t="shared" si="14"/>
        <v>2</v>
      </c>
      <c r="AG82" s="32"/>
      <c r="AH82">
        <v>0</v>
      </c>
      <c r="AI82">
        <v>9</v>
      </c>
      <c r="AJ82">
        <v>2</v>
      </c>
      <c r="AK82">
        <v>0</v>
      </c>
      <c r="AL82">
        <v>21</v>
      </c>
      <c r="AM82">
        <v>0</v>
      </c>
      <c r="AN82">
        <v>1</v>
      </c>
      <c r="AO82">
        <v>8</v>
      </c>
      <c r="AP82">
        <v>59</v>
      </c>
      <c r="AQ82" s="21">
        <f t="shared" si="11"/>
        <v>59</v>
      </c>
      <c r="AR82" s="12">
        <f t="shared" si="15"/>
        <v>100</v>
      </c>
      <c r="AS82" s="6">
        <v>0</v>
      </c>
      <c r="AT82" s="6">
        <v>0</v>
      </c>
      <c r="AU82">
        <v>0</v>
      </c>
      <c r="AV82" s="6">
        <v>0</v>
      </c>
      <c r="AW82" s="6">
        <v>0</v>
      </c>
      <c r="AX82">
        <v>0.1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 t="s">
        <v>44</v>
      </c>
      <c r="BF82" s="6" t="s">
        <v>44</v>
      </c>
      <c r="BG82" s="6" t="s">
        <v>44</v>
      </c>
      <c r="BH82" s="6" t="s">
        <v>44</v>
      </c>
      <c r="BI82" s="6" t="s">
        <v>44</v>
      </c>
      <c r="BJ82" s="6" t="s">
        <v>44</v>
      </c>
      <c r="BK82" s="6">
        <v>0</v>
      </c>
      <c r="BL82" s="6">
        <f t="shared" si="16"/>
        <v>0.1</v>
      </c>
      <c r="BM82" s="6">
        <f t="shared" si="12"/>
        <v>0.1</v>
      </c>
      <c r="BN82">
        <v>9</v>
      </c>
      <c r="BO82">
        <f t="shared" si="9"/>
        <v>9</v>
      </c>
      <c r="BP82">
        <v>2</v>
      </c>
      <c r="BQ82">
        <f>SUM(BP82,BB82,BK82)</f>
        <v>2</v>
      </c>
      <c r="BR82">
        <f t="shared" si="13"/>
        <v>0</v>
      </c>
    </row>
    <row r="83" spans="1:70" hidden="1">
      <c r="A83" s="16" t="str">
        <f t="shared" si="10"/>
        <v>SC_2024_UPZ_1_2</v>
      </c>
      <c r="B83" t="s">
        <v>54</v>
      </c>
      <c r="C83">
        <v>43.303199999999997</v>
      </c>
      <c r="D83">
        <v>-124.3974</v>
      </c>
      <c r="E83" s="8">
        <v>45467</v>
      </c>
      <c r="F83">
        <v>2024</v>
      </c>
      <c r="G83" t="s">
        <v>41</v>
      </c>
      <c r="H83" t="s">
        <v>45</v>
      </c>
      <c r="I83">
        <v>1</v>
      </c>
      <c r="J83">
        <v>2</v>
      </c>
      <c r="K83" t="s">
        <v>43</v>
      </c>
      <c r="L83" s="23">
        <v>18</v>
      </c>
      <c r="M83" s="23">
        <v>18</v>
      </c>
      <c r="N83" s="23">
        <v>0</v>
      </c>
      <c r="O83" s="23">
        <v>0</v>
      </c>
      <c r="P83" s="23">
        <v>2</v>
      </c>
      <c r="Q83" s="23">
        <v>0</v>
      </c>
      <c r="R83" s="22" t="s">
        <v>44</v>
      </c>
      <c r="S83" s="22">
        <v>0</v>
      </c>
      <c r="T83" s="23">
        <v>11</v>
      </c>
      <c r="U83" s="23">
        <v>29</v>
      </c>
      <c r="V83" s="18">
        <v>3</v>
      </c>
      <c r="W83" s="18">
        <v>4.5</v>
      </c>
      <c r="X83" s="18">
        <v>4</v>
      </c>
      <c r="Y83" s="18">
        <v>3.3</v>
      </c>
      <c r="Z83" s="18">
        <v>3.9</v>
      </c>
      <c r="AA83" s="17">
        <v>1</v>
      </c>
      <c r="AB83" s="17">
        <v>0</v>
      </c>
      <c r="AC83" s="17">
        <v>0</v>
      </c>
      <c r="AD83" s="17">
        <v>1</v>
      </c>
      <c r="AE83" s="17">
        <v>0</v>
      </c>
      <c r="AF83" s="11">
        <f t="shared" si="14"/>
        <v>2</v>
      </c>
      <c r="AG83" s="32"/>
      <c r="AH83">
        <v>0</v>
      </c>
      <c r="AI83">
        <v>8</v>
      </c>
      <c r="AJ83">
        <v>0.1</v>
      </c>
      <c r="AK83">
        <v>0</v>
      </c>
      <c r="AL83">
        <v>10</v>
      </c>
      <c r="AM83">
        <v>0</v>
      </c>
      <c r="AN83">
        <v>1</v>
      </c>
      <c r="AO83">
        <v>81</v>
      </c>
      <c r="AP83">
        <v>0</v>
      </c>
      <c r="AQ83" s="21">
        <f t="shared" si="11"/>
        <v>0</v>
      </c>
      <c r="AR83" s="12">
        <f t="shared" si="15"/>
        <v>100.1</v>
      </c>
      <c r="AS83" s="6">
        <v>0</v>
      </c>
      <c r="AT83" s="6">
        <v>0</v>
      </c>
      <c r="AU83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 t="s">
        <v>44</v>
      </c>
      <c r="BF83" s="6" t="s">
        <v>44</v>
      </c>
      <c r="BG83" s="6" t="s">
        <v>44</v>
      </c>
      <c r="BH83" s="6" t="s">
        <v>44</v>
      </c>
      <c r="BI83" s="6" t="s">
        <v>44</v>
      </c>
      <c r="BJ83" s="6" t="s">
        <v>44</v>
      </c>
      <c r="BK83" s="6">
        <v>0</v>
      </c>
      <c r="BL83" s="6">
        <f t="shared" si="16"/>
        <v>0</v>
      </c>
      <c r="BM83" s="6">
        <f t="shared" si="12"/>
        <v>0</v>
      </c>
      <c r="BN83">
        <v>8</v>
      </c>
      <c r="BO83">
        <f t="shared" si="9"/>
        <v>8</v>
      </c>
      <c r="BP83">
        <v>0.1</v>
      </c>
      <c r="BQ83">
        <f>SUM(BP83,BB83,BK83)</f>
        <v>0.1</v>
      </c>
      <c r="BR83">
        <f t="shared" si="13"/>
        <v>0</v>
      </c>
    </row>
    <row r="84" spans="1:70" hidden="1">
      <c r="A84" s="16" t="str">
        <f t="shared" si="10"/>
        <v>SC_2024_UPZ_1_3</v>
      </c>
      <c r="B84" t="s">
        <v>54</v>
      </c>
      <c r="C84">
        <v>43.303199999999997</v>
      </c>
      <c r="D84">
        <v>-124.3974</v>
      </c>
      <c r="E84" s="8">
        <v>45467</v>
      </c>
      <c r="F84">
        <v>2024</v>
      </c>
      <c r="G84" t="s">
        <v>41</v>
      </c>
      <c r="H84" t="s">
        <v>45</v>
      </c>
      <c r="I84">
        <v>1</v>
      </c>
      <c r="J84">
        <v>3</v>
      </c>
      <c r="K84" t="s">
        <v>43</v>
      </c>
      <c r="L84" s="23">
        <v>33</v>
      </c>
      <c r="M84" s="23">
        <v>33</v>
      </c>
      <c r="N84" s="23">
        <v>0</v>
      </c>
      <c r="O84" s="23">
        <v>0</v>
      </c>
      <c r="P84" s="23">
        <v>12</v>
      </c>
      <c r="Q84" s="23">
        <v>1</v>
      </c>
      <c r="R84" s="22" t="s">
        <v>44</v>
      </c>
      <c r="S84" s="22">
        <v>0</v>
      </c>
      <c r="T84" s="23">
        <v>21</v>
      </c>
      <c r="U84" s="23">
        <v>54</v>
      </c>
      <c r="V84" s="18">
        <v>4</v>
      </c>
      <c r="W84" s="18">
        <v>4.4000000000000004</v>
      </c>
      <c r="X84" s="18">
        <v>2.9</v>
      </c>
      <c r="Y84" s="18">
        <v>3.3</v>
      </c>
      <c r="Z84" s="18">
        <v>4</v>
      </c>
      <c r="AA84" s="17">
        <v>2</v>
      </c>
      <c r="AB84" s="17">
        <v>1</v>
      </c>
      <c r="AC84" s="17">
        <v>0</v>
      </c>
      <c r="AD84" s="17">
        <v>3</v>
      </c>
      <c r="AE84" s="17">
        <v>0</v>
      </c>
      <c r="AF84" s="11">
        <f t="shared" si="14"/>
        <v>6</v>
      </c>
      <c r="AG84" s="32"/>
      <c r="AH84">
        <v>0</v>
      </c>
      <c r="AI84">
        <v>0</v>
      </c>
      <c r="AJ84">
        <v>0</v>
      </c>
      <c r="AK84">
        <v>0</v>
      </c>
      <c r="AL84">
        <v>17</v>
      </c>
      <c r="AM84">
        <v>0</v>
      </c>
      <c r="AN84">
        <v>0</v>
      </c>
      <c r="AO84">
        <v>13</v>
      </c>
      <c r="AP84">
        <v>70</v>
      </c>
      <c r="AQ84" s="21">
        <f t="shared" si="11"/>
        <v>70</v>
      </c>
      <c r="AR84" s="12">
        <f t="shared" si="15"/>
        <v>100</v>
      </c>
      <c r="AS84" s="6">
        <v>0</v>
      </c>
      <c r="AT84" s="6">
        <v>0</v>
      </c>
      <c r="AU84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 t="s">
        <v>44</v>
      </c>
      <c r="BF84" s="6" t="s">
        <v>44</v>
      </c>
      <c r="BG84" s="6" t="s">
        <v>44</v>
      </c>
      <c r="BH84" s="6" t="s">
        <v>44</v>
      </c>
      <c r="BI84" s="6" t="s">
        <v>44</v>
      </c>
      <c r="BJ84" s="6" t="s">
        <v>44</v>
      </c>
      <c r="BK84" s="6">
        <v>0</v>
      </c>
      <c r="BL84" s="6">
        <f t="shared" si="16"/>
        <v>0</v>
      </c>
      <c r="BM84" s="6">
        <f t="shared" si="12"/>
        <v>0</v>
      </c>
      <c r="BN84">
        <v>0</v>
      </c>
      <c r="BO84">
        <f t="shared" si="9"/>
        <v>0</v>
      </c>
      <c r="BP84">
        <v>0</v>
      </c>
      <c r="BQ84">
        <f>SUM(BP84,BB84,BK84)</f>
        <v>0</v>
      </c>
      <c r="BR84">
        <f t="shared" si="13"/>
        <v>0</v>
      </c>
    </row>
    <row r="85" spans="1:70" hidden="1">
      <c r="A85" s="16" t="str">
        <f t="shared" si="10"/>
        <v>SC_2024_UPZ_1_4</v>
      </c>
      <c r="B85" t="s">
        <v>54</v>
      </c>
      <c r="C85">
        <v>43.303199999999997</v>
      </c>
      <c r="D85">
        <v>-124.3974</v>
      </c>
      <c r="E85" s="8">
        <v>45467</v>
      </c>
      <c r="F85">
        <v>2024</v>
      </c>
      <c r="G85" t="s">
        <v>41</v>
      </c>
      <c r="H85" t="s">
        <v>45</v>
      </c>
      <c r="I85">
        <v>1</v>
      </c>
      <c r="J85">
        <v>4</v>
      </c>
      <c r="K85" t="s">
        <v>43</v>
      </c>
      <c r="L85" s="23">
        <v>35</v>
      </c>
      <c r="M85" s="23">
        <v>35</v>
      </c>
      <c r="N85" s="23">
        <v>0</v>
      </c>
      <c r="O85" s="23">
        <v>0</v>
      </c>
      <c r="P85" s="23">
        <v>1</v>
      </c>
      <c r="Q85" s="23">
        <v>0</v>
      </c>
      <c r="R85" s="22" t="s">
        <v>44</v>
      </c>
      <c r="S85" s="22">
        <v>0</v>
      </c>
      <c r="T85" s="23">
        <v>1</v>
      </c>
      <c r="U85" s="23">
        <v>36</v>
      </c>
      <c r="V85" s="18">
        <v>4.8</v>
      </c>
      <c r="W85" s="18">
        <v>3.3</v>
      </c>
      <c r="X85" s="18">
        <v>3.8</v>
      </c>
      <c r="Y85" s="18">
        <v>4.0999999999999996</v>
      </c>
      <c r="Z85" s="18">
        <v>3.2</v>
      </c>
      <c r="AA85" s="17">
        <v>2</v>
      </c>
      <c r="AB85" s="17">
        <v>0</v>
      </c>
      <c r="AC85" s="17">
        <v>0</v>
      </c>
      <c r="AD85" s="17">
        <v>3</v>
      </c>
      <c r="AE85" s="17">
        <v>0</v>
      </c>
      <c r="AF85" s="11">
        <f t="shared" si="14"/>
        <v>5</v>
      </c>
      <c r="AG85" s="32"/>
      <c r="AH85">
        <v>0</v>
      </c>
      <c r="AI85">
        <v>7</v>
      </c>
      <c r="AJ85">
        <v>4</v>
      </c>
      <c r="AK85">
        <v>0</v>
      </c>
      <c r="AL85">
        <v>4</v>
      </c>
      <c r="AM85">
        <v>0</v>
      </c>
      <c r="AN85">
        <v>2</v>
      </c>
      <c r="AO85">
        <v>13</v>
      </c>
      <c r="AP85">
        <v>70</v>
      </c>
      <c r="AQ85" s="21">
        <f t="shared" si="11"/>
        <v>70</v>
      </c>
      <c r="AR85" s="12">
        <f t="shared" si="15"/>
        <v>100</v>
      </c>
      <c r="AS85" s="6">
        <v>0</v>
      </c>
      <c r="AT85" s="6">
        <v>0</v>
      </c>
      <c r="AU85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 t="s">
        <v>44</v>
      </c>
      <c r="BF85" s="6" t="s">
        <v>44</v>
      </c>
      <c r="BG85" s="6" t="s">
        <v>44</v>
      </c>
      <c r="BH85" s="6" t="s">
        <v>44</v>
      </c>
      <c r="BI85" s="6" t="s">
        <v>44</v>
      </c>
      <c r="BJ85" s="6" t="s">
        <v>44</v>
      </c>
      <c r="BK85" s="6">
        <v>0</v>
      </c>
      <c r="BL85" s="6">
        <f t="shared" si="16"/>
        <v>0</v>
      </c>
      <c r="BM85" s="6">
        <f t="shared" si="12"/>
        <v>0</v>
      </c>
      <c r="BN85">
        <v>7</v>
      </c>
      <c r="BO85">
        <f t="shared" si="9"/>
        <v>7</v>
      </c>
      <c r="BP85">
        <v>4</v>
      </c>
      <c r="BQ85">
        <f>SUM(BP85,BB85,BK85)</f>
        <v>4</v>
      </c>
      <c r="BR85">
        <f t="shared" si="13"/>
        <v>0</v>
      </c>
    </row>
    <row r="86" spans="1:70" hidden="1">
      <c r="A86" s="16" t="str">
        <f t="shared" si="10"/>
        <v>SC_2024_UPZ_1_5</v>
      </c>
      <c r="B86" t="s">
        <v>54</v>
      </c>
      <c r="C86">
        <v>43.303199999999997</v>
      </c>
      <c r="D86">
        <v>-124.3974</v>
      </c>
      <c r="E86" s="8">
        <v>45467</v>
      </c>
      <c r="F86">
        <v>2024</v>
      </c>
      <c r="G86" t="s">
        <v>41</v>
      </c>
      <c r="H86" t="s">
        <v>45</v>
      </c>
      <c r="I86">
        <v>1</v>
      </c>
      <c r="J86">
        <v>5</v>
      </c>
      <c r="K86" t="s">
        <v>46</v>
      </c>
      <c r="L86" s="23">
        <v>7</v>
      </c>
      <c r="M86" s="23">
        <v>7</v>
      </c>
      <c r="N86" s="23">
        <v>0</v>
      </c>
      <c r="O86" s="23">
        <v>0</v>
      </c>
      <c r="P86" s="23">
        <v>0</v>
      </c>
      <c r="Q86" s="23">
        <v>0</v>
      </c>
      <c r="R86" s="22" t="s">
        <v>44</v>
      </c>
      <c r="S86" s="22">
        <v>0</v>
      </c>
      <c r="T86" s="23">
        <v>13</v>
      </c>
      <c r="U86" s="23">
        <v>20</v>
      </c>
      <c r="V86" s="18">
        <v>3.2</v>
      </c>
      <c r="W86" s="18">
        <v>3.7</v>
      </c>
      <c r="X86" s="18">
        <v>4.4000000000000004</v>
      </c>
      <c r="Y86" s="18">
        <v>4.8</v>
      </c>
      <c r="Z86" s="18">
        <v>4.0999999999999996</v>
      </c>
      <c r="AA86" s="17">
        <v>1</v>
      </c>
      <c r="AB86" s="17">
        <v>0</v>
      </c>
      <c r="AC86" s="17">
        <v>1</v>
      </c>
      <c r="AD86" s="17">
        <v>1</v>
      </c>
      <c r="AE86" s="17">
        <v>0</v>
      </c>
      <c r="AF86" s="11">
        <f t="shared" si="14"/>
        <v>3</v>
      </c>
      <c r="AG86" s="32"/>
      <c r="AH86">
        <v>0</v>
      </c>
      <c r="AI86">
        <v>20</v>
      </c>
      <c r="AJ86">
        <v>12</v>
      </c>
      <c r="AK86">
        <v>0</v>
      </c>
      <c r="AL86">
        <v>6</v>
      </c>
      <c r="AM86">
        <v>2</v>
      </c>
      <c r="AN86">
        <v>0</v>
      </c>
      <c r="AO86">
        <v>14</v>
      </c>
      <c r="AP86">
        <v>46</v>
      </c>
      <c r="AQ86" s="21">
        <f t="shared" si="11"/>
        <v>46</v>
      </c>
      <c r="AR86" s="12">
        <f t="shared" si="15"/>
        <v>100</v>
      </c>
      <c r="AS86" s="6">
        <v>0</v>
      </c>
      <c r="AT86" s="6">
        <v>0</v>
      </c>
      <c r="AU8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 t="s">
        <v>44</v>
      </c>
      <c r="BF86" s="6" t="s">
        <v>44</v>
      </c>
      <c r="BG86" s="6" t="s">
        <v>44</v>
      </c>
      <c r="BH86" s="6" t="s">
        <v>44</v>
      </c>
      <c r="BI86" s="6" t="s">
        <v>44</v>
      </c>
      <c r="BJ86" s="6" t="s">
        <v>44</v>
      </c>
      <c r="BK86" s="6">
        <v>0</v>
      </c>
      <c r="BL86" s="6">
        <f t="shared" si="16"/>
        <v>0</v>
      </c>
      <c r="BM86" s="6">
        <f t="shared" si="12"/>
        <v>0</v>
      </c>
      <c r="BN86">
        <v>20</v>
      </c>
      <c r="BO86">
        <f t="shared" si="9"/>
        <v>20</v>
      </c>
      <c r="BP86">
        <v>12</v>
      </c>
      <c r="BQ86">
        <f>SUM(BP86,BB86,BK86)</f>
        <v>12</v>
      </c>
      <c r="BR86">
        <f t="shared" si="13"/>
        <v>0</v>
      </c>
    </row>
    <row r="87" spans="1:70" hidden="1">
      <c r="A87" s="16" t="str">
        <f t="shared" si="10"/>
        <v>SC_2024_UPZ_2_1</v>
      </c>
      <c r="B87" t="s">
        <v>54</v>
      </c>
      <c r="C87">
        <v>43.303199999999997</v>
      </c>
      <c r="D87">
        <v>-124.3974</v>
      </c>
      <c r="E87" s="8">
        <v>45467</v>
      </c>
      <c r="F87">
        <v>2024</v>
      </c>
      <c r="G87" t="s">
        <v>41</v>
      </c>
      <c r="H87" t="s">
        <v>45</v>
      </c>
      <c r="I87">
        <v>2</v>
      </c>
      <c r="J87">
        <v>1</v>
      </c>
      <c r="K87" t="s">
        <v>46</v>
      </c>
      <c r="L87" s="23">
        <v>20</v>
      </c>
      <c r="M87" s="23">
        <v>8</v>
      </c>
      <c r="N87" s="23">
        <v>7</v>
      </c>
      <c r="O87" s="23">
        <v>5</v>
      </c>
      <c r="P87" s="23">
        <v>0</v>
      </c>
      <c r="Q87" s="23">
        <v>0</v>
      </c>
      <c r="R87" s="22" t="s">
        <v>44</v>
      </c>
      <c r="S87" s="22">
        <v>0</v>
      </c>
      <c r="T87" s="23">
        <v>5</v>
      </c>
      <c r="U87" s="23">
        <v>13</v>
      </c>
      <c r="V87" s="18">
        <v>3.6</v>
      </c>
      <c r="W87" s="18">
        <v>4.2</v>
      </c>
      <c r="X87" s="18">
        <v>3.4</v>
      </c>
      <c r="Y87" s="18">
        <v>4.5</v>
      </c>
      <c r="Z87" s="18">
        <v>4.3</v>
      </c>
      <c r="AA87" s="17" t="s">
        <v>55</v>
      </c>
      <c r="AB87" s="17" t="s">
        <v>55</v>
      </c>
      <c r="AC87" s="17" t="s">
        <v>55</v>
      </c>
      <c r="AD87" s="17" t="s">
        <v>55</v>
      </c>
      <c r="AE87" s="17" t="s">
        <v>55</v>
      </c>
      <c r="AF87" s="11">
        <f t="shared" si="14"/>
        <v>0</v>
      </c>
      <c r="AG87" s="32"/>
      <c r="AH87">
        <v>5</v>
      </c>
      <c r="AI87">
        <v>25</v>
      </c>
      <c r="AJ87">
        <v>0</v>
      </c>
      <c r="AK87">
        <v>0</v>
      </c>
      <c r="AL87">
        <v>13</v>
      </c>
      <c r="AM87">
        <v>11</v>
      </c>
      <c r="AN87">
        <v>3</v>
      </c>
      <c r="AO87">
        <v>0</v>
      </c>
      <c r="AP87">
        <v>43</v>
      </c>
      <c r="AQ87" s="21">
        <f t="shared" si="11"/>
        <v>43</v>
      </c>
      <c r="AR87" s="12">
        <f t="shared" si="15"/>
        <v>100</v>
      </c>
      <c r="AS87" s="6">
        <v>0</v>
      </c>
      <c r="AT87">
        <v>7</v>
      </c>
      <c r="AU87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 t="s">
        <v>44</v>
      </c>
      <c r="BF87" s="6" t="s">
        <v>44</v>
      </c>
      <c r="BG87" s="6" t="s">
        <v>44</v>
      </c>
      <c r="BH87" s="6" t="s">
        <v>44</v>
      </c>
      <c r="BI87" s="6" t="s">
        <v>44</v>
      </c>
      <c r="BJ87" s="6" t="s">
        <v>44</v>
      </c>
      <c r="BK87" s="6">
        <v>0</v>
      </c>
      <c r="BL87" s="6">
        <f t="shared" si="16"/>
        <v>7</v>
      </c>
      <c r="BM87" s="6">
        <f t="shared" si="12"/>
        <v>7</v>
      </c>
      <c r="BN87">
        <v>25</v>
      </c>
      <c r="BO87">
        <f t="shared" si="9"/>
        <v>25</v>
      </c>
      <c r="BP87">
        <v>0</v>
      </c>
      <c r="BQ87">
        <f>SUM(BP87,BB87,BK87)</f>
        <v>0</v>
      </c>
      <c r="BR87">
        <f t="shared" si="13"/>
        <v>0</v>
      </c>
    </row>
    <row r="88" spans="1:70" hidden="1">
      <c r="A88" s="16" t="str">
        <f t="shared" si="10"/>
        <v>SC_2024_UPZ_2_2</v>
      </c>
      <c r="B88" t="s">
        <v>54</v>
      </c>
      <c r="C88">
        <v>43.303199999999997</v>
      </c>
      <c r="D88">
        <v>-124.3974</v>
      </c>
      <c r="E88" s="8">
        <v>45467</v>
      </c>
      <c r="F88">
        <v>2024</v>
      </c>
      <c r="G88" t="s">
        <v>41</v>
      </c>
      <c r="H88" t="s">
        <v>45</v>
      </c>
      <c r="I88">
        <v>2</v>
      </c>
      <c r="J88">
        <v>2</v>
      </c>
      <c r="K88" t="s">
        <v>58</v>
      </c>
      <c r="L88" s="23">
        <v>14</v>
      </c>
      <c r="M88" s="23">
        <v>1</v>
      </c>
      <c r="N88" s="23">
        <v>9</v>
      </c>
      <c r="O88" s="23">
        <v>4</v>
      </c>
      <c r="P88" s="23">
        <v>0</v>
      </c>
      <c r="Q88" s="23" t="s">
        <v>44</v>
      </c>
      <c r="R88" s="22" t="s">
        <v>44</v>
      </c>
      <c r="S88" s="22">
        <v>0</v>
      </c>
      <c r="T88" s="23">
        <v>1</v>
      </c>
      <c r="U88" s="23">
        <v>2</v>
      </c>
      <c r="V88" s="18">
        <v>5</v>
      </c>
      <c r="W88" s="18">
        <v>4.5999999999999996</v>
      </c>
      <c r="X88" s="18">
        <v>3.4</v>
      </c>
      <c r="Y88" s="18">
        <v>3.7</v>
      </c>
      <c r="Z88" s="18">
        <v>3.4</v>
      </c>
      <c r="AA88" s="17">
        <v>1</v>
      </c>
      <c r="AB88" s="17">
        <v>0</v>
      </c>
      <c r="AC88" s="17">
        <v>1</v>
      </c>
      <c r="AD88" s="17">
        <v>0</v>
      </c>
      <c r="AE88" s="17">
        <v>0</v>
      </c>
      <c r="AF88" s="11">
        <f t="shared" si="14"/>
        <v>2</v>
      </c>
      <c r="AG88" s="32"/>
      <c r="AH88">
        <v>1</v>
      </c>
      <c r="AI88">
        <v>50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48</v>
      </c>
      <c r="AQ88" s="21">
        <f t="shared" si="11"/>
        <v>48</v>
      </c>
      <c r="AR88" s="12">
        <f t="shared" si="15"/>
        <v>100</v>
      </c>
      <c r="AS88" s="6">
        <v>0</v>
      </c>
      <c r="AT88" s="6">
        <v>0</v>
      </c>
      <c r="AU88">
        <v>0</v>
      </c>
      <c r="AV88" s="6">
        <v>0</v>
      </c>
      <c r="AW88">
        <v>6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 t="s">
        <v>44</v>
      </c>
      <c r="BF88" s="6" t="s">
        <v>44</v>
      </c>
      <c r="BG88" s="6" t="s">
        <v>44</v>
      </c>
      <c r="BH88" s="6" t="s">
        <v>44</v>
      </c>
      <c r="BI88" s="6" t="s">
        <v>44</v>
      </c>
      <c r="BJ88" s="6" t="s">
        <v>44</v>
      </c>
      <c r="BK88" s="6">
        <v>0</v>
      </c>
      <c r="BL88" s="6">
        <f t="shared" si="16"/>
        <v>6</v>
      </c>
      <c r="BM88" s="6">
        <f t="shared" si="12"/>
        <v>6</v>
      </c>
      <c r="BN88">
        <v>50</v>
      </c>
      <c r="BO88">
        <f t="shared" si="9"/>
        <v>50</v>
      </c>
      <c r="BP88">
        <v>0</v>
      </c>
      <c r="BQ88">
        <f>SUM(BP88,BB88,BK88)</f>
        <v>0</v>
      </c>
      <c r="BR88">
        <f t="shared" si="13"/>
        <v>0</v>
      </c>
    </row>
    <row r="89" spans="1:70" hidden="1">
      <c r="A89" s="16" t="str">
        <f t="shared" si="10"/>
        <v>SC_2024_UPZ_2_3</v>
      </c>
      <c r="B89" t="s">
        <v>54</v>
      </c>
      <c r="C89">
        <v>43.303199999999997</v>
      </c>
      <c r="D89">
        <v>-124.3974</v>
      </c>
      <c r="E89" s="8">
        <v>45467</v>
      </c>
      <c r="F89">
        <v>2024</v>
      </c>
      <c r="G89" t="s">
        <v>41</v>
      </c>
      <c r="H89" t="s">
        <v>45</v>
      </c>
      <c r="I89">
        <v>2</v>
      </c>
      <c r="J89">
        <v>3</v>
      </c>
      <c r="K89" t="s">
        <v>43</v>
      </c>
      <c r="L89" s="23">
        <v>50</v>
      </c>
      <c r="M89" s="23">
        <v>49</v>
      </c>
      <c r="N89" s="23">
        <v>0</v>
      </c>
      <c r="O89" s="23">
        <v>1</v>
      </c>
      <c r="P89" s="23">
        <v>5</v>
      </c>
      <c r="Q89" s="23">
        <v>0</v>
      </c>
      <c r="R89" s="22" t="s">
        <v>44</v>
      </c>
      <c r="S89" s="22">
        <v>0</v>
      </c>
      <c r="T89" s="23">
        <v>2</v>
      </c>
      <c r="U89" s="23">
        <v>52</v>
      </c>
      <c r="V89" s="18">
        <v>4.2</v>
      </c>
      <c r="W89" s="18">
        <v>3.8</v>
      </c>
      <c r="X89" s="18">
        <v>5.3</v>
      </c>
      <c r="Y89" s="18">
        <v>3.7</v>
      </c>
      <c r="Z89" s="18">
        <v>4.0999999999999996</v>
      </c>
      <c r="AA89" s="17">
        <v>1</v>
      </c>
      <c r="AB89" s="17">
        <v>0</v>
      </c>
      <c r="AC89" s="17">
        <v>0</v>
      </c>
      <c r="AD89" s="17">
        <v>3</v>
      </c>
      <c r="AE89" s="17">
        <v>0</v>
      </c>
      <c r="AF89" s="11">
        <f t="shared" si="14"/>
        <v>4</v>
      </c>
      <c r="AG89" s="32"/>
      <c r="AH89">
        <v>0.1</v>
      </c>
      <c r="AI89">
        <v>37</v>
      </c>
      <c r="AJ89">
        <v>0.1</v>
      </c>
      <c r="AK89">
        <v>0</v>
      </c>
      <c r="AL89">
        <v>12</v>
      </c>
      <c r="AM89">
        <v>0</v>
      </c>
      <c r="AN89">
        <v>1</v>
      </c>
      <c r="AO89">
        <v>0</v>
      </c>
      <c r="AP89">
        <v>50</v>
      </c>
      <c r="AQ89" s="21">
        <f t="shared" si="11"/>
        <v>50</v>
      </c>
      <c r="AR89" s="12">
        <f t="shared" si="15"/>
        <v>100.2</v>
      </c>
      <c r="AS89" s="6">
        <v>0</v>
      </c>
      <c r="AT89" s="6">
        <v>0</v>
      </c>
      <c r="AU89">
        <v>4</v>
      </c>
      <c r="AV89" s="6">
        <v>0</v>
      </c>
      <c r="AW89">
        <v>2</v>
      </c>
      <c r="AX89">
        <v>4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 t="s">
        <v>44</v>
      </c>
      <c r="BF89" s="6" t="s">
        <v>44</v>
      </c>
      <c r="BG89" s="6" t="s">
        <v>44</v>
      </c>
      <c r="BH89" s="6" t="s">
        <v>44</v>
      </c>
      <c r="BI89" s="6" t="s">
        <v>44</v>
      </c>
      <c r="BJ89" s="6" t="s">
        <v>44</v>
      </c>
      <c r="BK89" s="6">
        <v>0</v>
      </c>
      <c r="BL89" s="6">
        <f t="shared" si="16"/>
        <v>6</v>
      </c>
      <c r="BM89" s="6">
        <f t="shared" si="12"/>
        <v>10</v>
      </c>
    </row>
    <row r="90" spans="1:70" hidden="1">
      <c r="A90" s="16" t="str">
        <f t="shared" si="10"/>
        <v>SC_2024_UPZ_2_4</v>
      </c>
      <c r="B90" t="s">
        <v>54</v>
      </c>
      <c r="C90">
        <v>43.303199999999997</v>
      </c>
      <c r="D90">
        <v>-124.3974</v>
      </c>
      <c r="E90" s="8">
        <v>45467</v>
      </c>
      <c r="F90">
        <v>2024</v>
      </c>
      <c r="G90" t="s">
        <v>41</v>
      </c>
      <c r="H90" t="s">
        <v>45</v>
      </c>
      <c r="I90">
        <v>2</v>
      </c>
      <c r="J90">
        <v>4</v>
      </c>
      <c r="K90" t="s">
        <v>43</v>
      </c>
      <c r="L90" s="23">
        <v>16</v>
      </c>
      <c r="M90" s="23">
        <v>16</v>
      </c>
      <c r="N90" s="23">
        <v>0</v>
      </c>
      <c r="O90" s="23">
        <v>0</v>
      </c>
      <c r="P90" s="23">
        <v>0</v>
      </c>
      <c r="Q90" s="23">
        <v>0</v>
      </c>
      <c r="R90" s="22" t="s">
        <v>44</v>
      </c>
      <c r="S90" s="22">
        <v>0</v>
      </c>
      <c r="T90" s="23">
        <v>2</v>
      </c>
      <c r="U90" s="23">
        <v>18</v>
      </c>
      <c r="V90" s="18">
        <v>4.5999999999999996</v>
      </c>
      <c r="W90" s="18">
        <v>4.9000000000000004</v>
      </c>
      <c r="X90" s="18">
        <v>4.0999999999999996</v>
      </c>
      <c r="Y90" s="18">
        <v>4.0999999999999996</v>
      </c>
      <c r="Z90" s="18">
        <v>5</v>
      </c>
      <c r="AA90" s="17">
        <v>0</v>
      </c>
      <c r="AB90" s="17">
        <v>1</v>
      </c>
      <c r="AC90" s="17">
        <v>0</v>
      </c>
      <c r="AD90" s="17">
        <v>0</v>
      </c>
      <c r="AE90" s="17">
        <v>0</v>
      </c>
      <c r="AF90" s="11">
        <f t="shared" si="14"/>
        <v>1</v>
      </c>
      <c r="AG90" s="32"/>
      <c r="AH90">
        <v>0</v>
      </c>
      <c r="AI90">
        <v>44</v>
      </c>
      <c r="AJ90">
        <v>2</v>
      </c>
      <c r="AK90">
        <v>0</v>
      </c>
      <c r="AL90">
        <v>12</v>
      </c>
      <c r="AM90">
        <v>2</v>
      </c>
      <c r="AN90">
        <v>1</v>
      </c>
      <c r="AO90">
        <v>0</v>
      </c>
      <c r="AP90">
        <v>39</v>
      </c>
      <c r="AQ90" s="21">
        <f t="shared" si="11"/>
        <v>39</v>
      </c>
      <c r="AR90" s="12">
        <f t="shared" si="15"/>
        <v>100</v>
      </c>
      <c r="AS90" s="6">
        <v>0</v>
      </c>
      <c r="AT90" s="6">
        <v>0</v>
      </c>
      <c r="AU90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 t="s">
        <v>44</v>
      </c>
      <c r="BF90" s="6" t="s">
        <v>44</v>
      </c>
      <c r="BG90" s="6" t="s">
        <v>44</v>
      </c>
      <c r="BH90" s="6" t="s">
        <v>44</v>
      </c>
      <c r="BI90" s="6" t="s">
        <v>44</v>
      </c>
      <c r="BJ90" s="6" t="s">
        <v>44</v>
      </c>
      <c r="BK90" s="6">
        <v>0</v>
      </c>
      <c r="BL90" s="6">
        <f t="shared" si="16"/>
        <v>0</v>
      </c>
      <c r="BM90" s="6">
        <f t="shared" si="12"/>
        <v>0</v>
      </c>
      <c r="BN90">
        <v>44</v>
      </c>
      <c r="BO90">
        <f t="shared" si="9"/>
        <v>44</v>
      </c>
      <c r="BP90">
        <v>2</v>
      </c>
      <c r="BQ90">
        <f>SUM(BP90,BB90,BK90)</f>
        <v>2</v>
      </c>
      <c r="BR90">
        <f t="shared" si="13"/>
        <v>0</v>
      </c>
    </row>
    <row r="91" spans="1:70" hidden="1">
      <c r="A91" s="16" t="str">
        <f t="shared" si="10"/>
        <v>SC_2024_UPZ_2_5</v>
      </c>
      <c r="B91" t="s">
        <v>54</v>
      </c>
      <c r="C91">
        <v>43.303199999999997</v>
      </c>
      <c r="D91">
        <v>-124.3974</v>
      </c>
      <c r="E91" s="8">
        <v>45467</v>
      </c>
      <c r="F91">
        <v>2024</v>
      </c>
      <c r="G91" t="s">
        <v>41</v>
      </c>
      <c r="H91" t="s">
        <v>45</v>
      </c>
      <c r="I91">
        <v>2</v>
      </c>
      <c r="J91">
        <v>5</v>
      </c>
      <c r="K91" t="s">
        <v>43</v>
      </c>
      <c r="L91" s="23">
        <v>21</v>
      </c>
      <c r="M91" s="23">
        <v>21</v>
      </c>
      <c r="N91" s="23">
        <v>0</v>
      </c>
      <c r="O91" s="23">
        <v>0</v>
      </c>
      <c r="P91" s="23">
        <v>2</v>
      </c>
      <c r="Q91" s="23">
        <v>0</v>
      </c>
      <c r="R91" s="22" t="s">
        <v>44</v>
      </c>
      <c r="S91" s="22">
        <v>0</v>
      </c>
      <c r="T91" s="23">
        <v>2</v>
      </c>
      <c r="U91" s="23">
        <v>23</v>
      </c>
      <c r="V91" s="18">
        <v>4.2</v>
      </c>
      <c r="W91" s="18">
        <v>3.9</v>
      </c>
      <c r="X91" s="18">
        <v>3.8</v>
      </c>
      <c r="Y91" s="18">
        <v>5</v>
      </c>
      <c r="Z91" s="18">
        <v>4.5999999999999996</v>
      </c>
      <c r="AA91" s="17">
        <v>0</v>
      </c>
      <c r="AB91" s="17">
        <v>0</v>
      </c>
      <c r="AC91" s="17">
        <v>1</v>
      </c>
      <c r="AD91" s="17">
        <v>0</v>
      </c>
      <c r="AE91" s="17">
        <v>0</v>
      </c>
      <c r="AF91" s="11">
        <f t="shared" si="14"/>
        <v>1</v>
      </c>
      <c r="AG91" s="32"/>
      <c r="AH91">
        <v>0</v>
      </c>
      <c r="AI91">
        <v>35</v>
      </c>
      <c r="AJ91">
        <v>0</v>
      </c>
      <c r="AK91">
        <v>0</v>
      </c>
      <c r="AL91">
        <v>11</v>
      </c>
      <c r="AM91">
        <v>0</v>
      </c>
      <c r="AN91">
        <v>0</v>
      </c>
      <c r="AO91">
        <v>3</v>
      </c>
      <c r="AP91">
        <v>51</v>
      </c>
      <c r="AQ91" s="21">
        <f t="shared" si="11"/>
        <v>51</v>
      </c>
      <c r="AR91" s="12">
        <f t="shared" si="15"/>
        <v>100</v>
      </c>
      <c r="AS91" s="6">
        <v>0</v>
      </c>
      <c r="AT91" s="6">
        <v>0</v>
      </c>
      <c r="AU91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 t="s">
        <v>44</v>
      </c>
      <c r="BF91" s="6" t="s">
        <v>44</v>
      </c>
      <c r="BG91" s="6" t="s">
        <v>44</v>
      </c>
      <c r="BH91" s="6" t="s">
        <v>44</v>
      </c>
      <c r="BI91" s="6" t="s">
        <v>44</v>
      </c>
      <c r="BJ91" s="6" t="s">
        <v>44</v>
      </c>
      <c r="BK91" s="6">
        <v>0</v>
      </c>
      <c r="BL91" s="6">
        <f t="shared" si="16"/>
        <v>0</v>
      </c>
      <c r="BM91" s="6">
        <f t="shared" si="12"/>
        <v>0</v>
      </c>
      <c r="BN91">
        <v>35</v>
      </c>
      <c r="BO91">
        <f t="shared" si="9"/>
        <v>35</v>
      </c>
      <c r="BP91">
        <v>0</v>
      </c>
      <c r="BQ91">
        <f>SUM(BP91,BB91,BK91)</f>
        <v>0</v>
      </c>
      <c r="BR91">
        <f t="shared" si="13"/>
        <v>0</v>
      </c>
    </row>
    <row r="92" spans="1:70" hidden="1">
      <c r="A92" s="16" t="str">
        <f t="shared" si="10"/>
        <v>SC_2024_NPZ_1_1</v>
      </c>
      <c r="B92" t="s">
        <v>54</v>
      </c>
      <c r="C92">
        <v>43.303199999999997</v>
      </c>
      <c r="D92">
        <v>-124.3974</v>
      </c>
      <c r="E92" s="8">
        <v>45467</v>
      </c>
      <c r="F92">
        <v>2024</v>
      </c>
      <c r="G92" t="s">
        <v>41</v>
      </c>
      <c r="H92" t="s">
        <v>48</v>
      </c>
      <c r="I92">
        <v>1</v>
      </c>
      <c r="J92">
        <v>1</v>
      </c>
      <c r="K92" t="s">
        <v>47</v>
      </c>
      <c r="L92" s="23">
        <v>21</v>
      </c>
      <c r="M92" s="23">
        <v>0</v>
      </c>
      <c r="N92" s="23">
        <v>21</v>
      </c>
      <c r="O92" s="23">
        <v>0</v>
      </c>
      <c r="P92" s="23">
        <v>2</v>
      </c>
      <c r="Q92" s="23">
        <v>0</v>
      </c>
      <c r="R92" s="22" t="s">
        <v>44</v>
      </c>
      <c r="S92" s="22">
        <v>0</v>
      </c>
      <c r="T92" s="23">
        <v>0</v>
      </c>
      <c r="U92" s="23">
        <v>0</v>
      </c>
      <c r="V92" s="18">
        <v>7.1</v>
      </c>
      <c r="W92" s="18">
        <v>5.0999999999999996</v>
      </c>
      <c r="X92" s="18">
        <v>4.9000000000000004</v>
      </c>
      <c r="Y92" s="18">
        <v>4.7</v>
      </c>
      <c r="Z92" s="18">
        <v>5.3</v>
      </c>
      <c r="AA92" s="17">
        <v>1</v>
      </c>
      <c r="AB92" s="17">
        <v>0</v>
      </c>
      <c r="AC92" s="17">
        <v>0</v>
      </c>
      <c r="AD92" s="17">
        <v>1</v>
      </c>
      <c r="AE92" s="17">
        <v>0</v>
      </c>
      <c r="AF92" s="11">
        <f t="shared" si="14"/>
        <v>2</v>
      </c>
      <c r="AG92" s="32"/>
      <c r="AH92">
        <v>0</v>
      </c>
      <c r="AI92">
        <v>3</v>
      </c>
      <c r="AJ92">
        <v>0</v>
      </c>
      <c r="AK92">
        <v>0</v>
      </c>
      <c r="AL92">
        <v>26</v>
      </c>
      <c r="AM92">
        <v>9</v>
      </c>
      <c r="AN92">
        <v>1</v>
      </c>
      <c r="AO92">
        <v>0</v>
      </c>
      <c r="AP92">
        <v>62</v>
      </c>
      <c r="AQ92" s="21">
        <f t="shared" si="11"/>
        <v>62</v>
      </c>
      <c r="AR92" s="12">
        <f t="shared" si="15"/>
        <v>101</v>
      </c>
      <c r="AS92" s="6">
        <v>0</v>
      </c>
      <c r="AT92" s="6">
        <v>0</v>
      </c>
      <c r="AU92">
        <v>1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 t="s">
        <v>44</v>
      </c>
      <c r="BF92" s="6" t="s">
        <v>44</v>
      </c>
      <c r="BG92" s="6" t="s">
        <v>44</v>
      </c>
      <c r="BH92" s="6" t="s">
        <v>44</v>
      </c>
      <c r="BI92" s="6" t="s">
        <v>44</v>
      </c>
      <c r="BJ92" s="6" t="s">
        <v>44</v>
      </c>
      <c r="BK92" s="6">
        <v>0</v>
      </c>
      <c r="BL92" s="6">
        <f t="shared" si="16"/>
        <v>0</v>
      </c>
      <c r="BM92" s="6">
        <f t="shared" si="12"/>
        <v>1</v>
      </c>
    </row>
    <row r="93" spans="1:70" hidden="1">
      <c r="A93" s="16" t="str">
        <f t="shared" si="10"/>
        <v>SC_2024_NPZ_1_2</v>
      </c>
      <c r="B93" t="s">
        <v>54</v>
      </c>
      <c r="C93">
        <v>43.303199999999997</v>
      </c>
      <c r="D93">
        <v>-124.3974</v>
      </c>
      <c r="E93" s="8">
        <v>45467</v>
      </c>
      <c r="F93">
        <v>2024</v>
      </c>
      <c r="G93" t="s">
        <v>41</v>
      </c>
      <c r="H93" t="s">
        <v>48</v>
      </c>
      <c r="I93">
        <v>1</v>
      </c>
      <c r="J93">
        <v>2</v>
      </c>
      <c r="K93" t="s">
        <v>47</v>
      </c>
      <c r="L93" s="23">
        <v>15</v>
      </c>
      <c r="M93" s="23">
        <v>14</v>
      </c>
      <c r="N93" s="23">
        <v>1</v>
      </c>
      <c r="O93" s="23">
        <v>0</v>
      </c>
      <c r="P93" s="23">
        <v>0</v>
      </c>
      <c r="Q93" s="23">
        <v>0</v>
      </c>
      <c r="R93" s="22" t="s">
        <v>44</v>
      </c>
      <c r="S93" s="22">
        <v>0</v>
      </c>
      <c r="T93" s="23">
        <v>1</v>
      </c>
      <c r="U93" s="23">
        <v>15</v>
      </c>
      <c r="V93" s="18">
        <v>3.8</v>
      </c>
      <c r="W93" s="18">
        <v>3.8</v>
      </c>
      <c r="X93" s="18">
        <v>4.9000000000000004</v>
      </c>
      <c r="Y93" s="18">
        <v>4</v>
      </c>
      <c r="Z93" s="18">
        <v>4.0999999999999996</v>
      </c>
      <c r="AA93" s="17">
        <v>0</v>
      </c>
      <c r="AB93" s="17">
        <v>0</v>
      </c>
      <c r="AC93" s="17">
        <v>0</v>
      </c>
      <c r="AD93" s="17">
        <v>1</v>
      </c>
      <c r="AE93" s="17">
        <v>0</v>
      </c>
      <c r="AF93" s="11">
        <f t="shared" si="14"/>
        <v>1</v>
      </c>
      <c r="AG93" s="32"/>
      <c r="AH93">
        <v>0</v>
      </c>
      <c r="AI93">
        <v>68</v>
      </c>
      <c r="AJ93">
        <v>0</v>
      </c>
      <c r="AK93">
        <v>8</v>
      </c>
      <c r="AL93">
        <v>10</v>
      </c>
      <c r="AM93">
        <v>6</v>
      </c>
      <c r="AN93">
        <v>0</v>
      </c>
      <c r="AO93">
        <v>0</v>
      </c>
      <c r="AP93">
        <v>8</v>
      </c>
      <c r="AQ93" s="21">
        <f t="shared" si="11"/>
        <v>8</v>
      </c>
      <c r="AR93" s="12">
        <f t="shared" si="15"/>
        <v>100</v>
      </c>
      <c r="AS93" s="6">
        <v>0</v>
      </c>
      <c r="AT93" s="6">
        <v>0</v>
      </c>
      <c r="AU93">
        <v>0</v>
      </c>
      <c r="AV93" s="6">
        <v>0</v>
      </c>
      <c r="AW93" s="6">
        <v>0</v>
      </c>
      <c r="AX93">
        <v>5</v>
      </c>
      <c r="AY93" s="6">
        <v>0</v>
      </c>
      <c r="AZ93">
        <v>10</v>
      </c>
      <c r="BA93" s="6">
        <v>0</v>
      </c>
      <c r="BB93" s="6">
        <v>0</v>
      </c>
      <c r="BC93" s="6">
        <v>0</v>
      </c>
      <c r="BD93" s="6">
        <v>0</v>
      </c>
      <c r="BE93" s="6" t="s">
        <v>44</v>
      </c>
      <c r="BF93" s="6" t="s">
        <v>44</v>
      </c>
      <c r="BG93" s="6" t="s">
        <v>44</v>
      </c>
      <c r="BH93" s="6" t="s">
        <v>44</v>
      </c>
      <c r="BI93" s="6" t="s">
        <v>44</v>
      </c>
      <c r="BJ93" s="6" t="s">
        <v>44</v>
      </c>
      <c r="BK93" s="6">
        <v>0</v>
      </c>
      <c r="BL93" s="6">
        <f t="shared" si="16"/>
        <v>15</v>
      </c>
      <c r="BM93" s="6">
        <f t="shared" si="12"/>
        <v>15</v>
      </c>
      <c r="BN93">
        <v>68</v>
      </c>
      <c r="BO93">
        <f t="shared" si="9"/>
        <v>68</v>
      </c>
      <c r="BP93">
        <v>0</v>
      </c>
      <c r="BQ93">
        <f>SUM(BP93,BB93,BK93)</f>
        <v>0</v>
      </c>
      <c r="BR93">
        <f t="shared" si="13"/>
        <v>0</v>
      </c>
    </row>
    <row r="94" spans="1:70" hidden="1">
      <c r="A94" s="16" t="str">
        <f t="shared" si="10"/>
        <v>SC_2024_NPZ_1_3</v>
      </c>
      <c r="B94" t="s">
        <v>54</v>
      </c>
      <c r="C94">
        <v>43.303199999999997</v>
      </c>
      <c r="D94">
        <v>-124.3974</v>
      </c>
      <c r="E94" s="8">
        <v>45467</v>
      </c>
      <c r="F94">
        <v>2024</v>
      </c>
      <c r="G94" t="s">
        <v>41</v>
      </c>
      <c r="H94" t="s">
        <v>48</v>
      </c>
      <c r="I94">
        <v>1</v>
      </c>
      <c r="J94">
        <v>3</v>
      </c>
      <c r="K94" t="s">
        <v>47</v>
      </c>
      <c r="L94" s="23">
        <v>56</v>
      </c>
      <c r="M94" s="23">
        <v>16</v>
      </c>
      <c r="N94" s="23">
        <v>2</v>
      </c>
      <c r="O94" s="23">
        <v>38</v>
      </c>
      <c r="P94" s="23">
        <v>5</v>
      </c>
      <c r="Q94" s="23">
        <v>1</v>
      </c>
      <c r="R94" s="22" t="s">
        <v>44</v>
      </c>
      <c r="S94" s="22">
        <v>0</v>
      </c>
      <c r="T94" s="23">
        <v>1</v>
      </c>
      <c r="U94" s="23">
        <v>17</v>
      </c>
      <c r="V94" s="18">
        <v>4.0999999999999996</v>
      </c>
      <c r="W94" s="18">
        <v>6.2</v>
      </c>
      <c r="X94" s="18">
        <v>4.5999999999999996</v>
      </c>
      <c r="Y94" s="18">
        <v>5.0999999999999996</v>
      </c>
      <c r="Z94" s="18">
        <v>5.3</v>
      </c>
      <c r="AA94" s="17">
        <v>1</v>
      </c>
      <c r="AB94" s="17">
        <v>0</v>
      </c>
      <c r="AC94" s="17">
        <v>0</v>
      </c>
      <c r="AD94" s="17">
        <v>5</v>
      </c>
      <c r="AE94" s="17">
        <v>0</v>
      </c>
      <c r="AF94" s="11">
        <f t="shared" si="14"/>
        <v>6</v>
      </c>
      <c r="AG94" s="32"/>
      <c r="AH94">
        <v>0</v>
      </c>
      <c r="AI94">
        <v>0</v>
      </c>
      <c r="AJ94">
        <v>0</v>
      </c>
      <c r="AK94">
        <v>0</v>
      </c>
      <c r="AL94">
        <v>20</v>
      </c>
      <c r="AM94">
        <v>1</v>
      </c>
      <c r="AN94">
        <v>1</v>
      </c>
      <c r="AO94">
        <v>4</v>
      </c>
      <c r="AP94">
        <v>74</v>
      </c>
      <c r="AQ94" s="21">
        <f t="shared" si="11"/>
        <v>74</v>
      </c>
      <c r="AR94" s="12">
        <f t="shared" si="15"/>
        <v>100</v>
      </c>
      <c r="AS94" s="6">
        <v>0</v>
      </c>
      <c r="AT94" s="6">
        <v>0</v>
      </c>
      <c r="AU94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 t="s">
        <v>44</v>
      </c>
      <c r="BF94" s="6" t="s">
        <v>44</v>
      </c>
      <c r="BG94" s="6" t="s">
        <v>44</v>
      </c>
      <c r="BH94" s="6" t="s">
        <v>44</v>
      </c>
      <c r="BI94" s="6" t="s">
        <v>44</v>
      </c>
      <c r="BJ94" s="6" t="s">
        <v>44</v>
      </c>
      <c r="BK94" s="6">
        <v>0</v>
      </c>
      <c r="BL94" s="6">
        <f t="shared" si="16"/>
        <v>0</v>
      </c>
      <c r="BM94" s="6">
        <f t="shared" si="12"/>
        <v>0</v>
      </c>
      <c r="BN94">
        <v>0</v>
      </c>
      <c r="BO94">
        <f t="shared" si="9"/>
        <v>0</v>
      </c>
      <c r="BP94">
        <v>0</v>
      </c>
      <c r="BQ94">
        <f>SUM(BP94,BB94,BK94)</f>
        <v>0</v>
      </c>
      <c r="BR94">
        <f t="shared" si="13"/>
        <v>0</v>
      </c>
    </row>
    <row r="95" spans="1:70" hidden="1">
      <c r="A95" s="16" t="str">
        <f t="shared" si="10"/>
        <v>SC_2024_NPZ_1_4</v>
      </c>
      <c r="B95" t="s">
        <v>54</v>
      </c>
      <c r="C95">
        <v>43.303199999999997</v>
      </c>
      <c r="D95">
        <v>-124.3974</v>
      </c>
      <c r="E95" s="8">
        <v>45467</v>
      </c>
      <c r="F95">
        <v>2024</v>
      </c>
      <c r="G95" t="s">
        <v>41</v>
      </c>
      <c r="H95" t="s">
        <v>48</v>
      </c>
      <c r="I95">
        <v>1</v>
      </c>
      <c r="J95">
        <v>4</v>
      </c>
      <c r="K95" t="s">
        <v>47</v>
      </c>
      <c r="L95" s="23">
        <v>30</v>
      </c>
      <c r="M95" s="23">
        <v>11</v>
      </c>
      <c r="N95" s="23">
        <v>4</v>
      </c>
      <c r="O95" s="23">
        <v>15</v>
      </c>
      <c r="P95" s="23">
        <v>0</v>
      </c>
      <c r="Q95" s="23">
        <v>0</v>
      </c>
      <c r="R95" s="22" t="s">
        <v>44</v>
      </c>
      <c r="S95" s="22">
        <v>0</v>
      </c>
      <c r="T95" s="23">
        <v>2</v>
      </c>
      <c r="U95" s="23">
        <v>13</v>
      </c>
      <c r="V95" s="18">
        <v>6</v>
      </c>
      <c r="W95" s="18">
        <v>5.2</v>
      </c>
      <c r="X95" s="18">
        <v>4.7</v>
      </c>
      <c r="Y95" s="18">
        <v>4.5999999999999996</v>
      </c>
      <c r="Z95" s="18">
        <v>5.7</v>
      </c>
      <c r="AA95" s="17">
        <v>1</v>
      </c>
      <c r="AB95" s="17">
        <v>0</v>
      </c>
      <c r="AC95" s="17">
        <v>0</v>
      </c>
      <c r="AD95" s="17">
        <v>5</v>
      </c>
      <c r="AE95" s="17">
        <v>0</v>
      </c>
      <c r="AF95" s="11">
        <f t="shared" si="14"/>
        <v>6</v>
      </c>
      <c r="AG95" s="32"/>
      <c r="AH95">
        <v>0</v>
      </c>
      <c r="AI95">
        <v>0</v>
      </c>
      <c r="AJ95">
        <v>0</v>
      </c>
      <c r="AK95">
        <v>0</v>
      </c>
      <c r="AL95">
        <v>15</v>
      </c>
      <c r="AM95">
        <v>6</v>
      </c>
      <c r="AN95">
        <v>1</v>
      </c>
      <c r="AO95">
        <v>5</v>
      </c>
      <c r="AP95">
        <v>73</v>
      </c>
      <c r="AQ95" s="21">
        <f t="shared" si="11"/>
        <v>73</v>
      </c>
      <c r="AR95" s="12">
        <f t="shared" si="15"/>
        <v>100</v>
      </c>
      <c r="AS95" s="6">
        <v>0</v>
      </c>
      <c r="AT95" s="6">
        <v>0</v>
      </c>
      <c r="AU95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 t="s">
        <v>44</v>
      </c>
      <c r="BF95" s="6" t="s">
        <v>44</v>
      </c>
      <c r="BG95" s="6" t="s">
        <v>44</v>
      </c>
      <c r="BH95" s="6" t="s">
        <v>44</v>
      </c>
      <c r="BI95" s="6" t="s">
        <v>44</v>
      </c>
      <c r="BJ95" s="6" t="s">
        <v>44</v>
      </c>
      <c r="BK95" s="6">
        <v>0</v>
      </c>
      <c r="BL95" s="6">
        <f t="shared" si="16"/>
        <v>0</v>
      </c>
      <c r="BM95" s="6">
        <f t="shared" si="12"/>
        <v>0</v>
      </c>
      <c r="BN95">
        <v>0</v>
      </c>
      <c r="BO95">
        <f t="shared" si="9"/>
        <v>0</v>
      </c>
      <c r="BP95">
        <v>0</v>
      </c>
      <c r="BQ95">
        <f>SUM(BP95,BB95,BK95)</f>
        <v>0</v>
      </c>
      <c r="BR95">
        <f t="shared" si="13"/>
        <v>0</v>
      </c>
    </row>
    <row r="96" spans="1:70" hidden="1">
      <c r="A96" s="16" t="str">
        <f t="shared" si="10"/>
        <v>SC_2024_NPZ_1_5</v>
      </c>
      <c r="B96" t="s">
        <v>54</v>
      </c>
      <c r="C96">
        <v>43.303199999999997</v>
      </c>
      <c r="D96">
        <v>-124.3974</v>
      </c>
      <c r="E96" s="8">
        <v>45467</v>
      </c>
      <c r="F96">
        <v>2024</v>
      </c>
      <c r="G96" t="s">
        <v>41</v>
      </c>
      <c r="H96" t="s">
        <v>48</v>
      </c>
      <c r="I96">
        <v>1</v>
      </c>
      <c r="J96">
        <v>5</v>
      </c>
      <c r="K96" t="s">
        <v>47</v>
      </c>
      <c r="L96" s="23">
        <v>17</v>
      </c>
      <c r="M96" s="23">
        <v>8</v>
      </c>
      <c r="N96" s="23">
        <v>7</v>
      </c>
      <c r="O96" s="23">
        <v>2</v>
      </c>
      <c r="P96" s="23">
        <v>0</v>
      </c>
      <c r="Q96" s="23">
        <v>0</v>
      </c>
      <c r="R96" s="22" t="s">
        <v>44</v>
      </c>
      <c r="S96" s="22">
        <v>0</v>
      </c>
      <c r="T96" s="23">
        <v>4</v>
      </c>
      <c r="U96" s="23">
        <v>12</v>
      </c>
      <c r="V96" s="18">
        <v>6.4</v>
      </c>
      <c r="W96" s="18">
        <v>5.5</v>
      </c>
      <c r="X96" s="18">
        <v>5.9</v>
      </c>
      <c r="Y96" s="18">
        <v>4.7</v>
      </c>
      <c r="Z96" s="18">
        <v>5.5</v>
      </c>
      <c r="AA96" s="17">
        <v>1</v>
      </c>
      <c r="AB96" s="17">
        <v>0</v>
      </c>
      <c r="AC96" s="17">
        <v>1</v>
      </c>
      <c r="AD96" s="17">
        <v>2</v>
      </c>
      <c r="AE96" s="17">
        <v>0</v>
      </c>
      <c r="AF96" s="11">
        <f t="shared" si="14"/>
        <v>4</v>
      </c>
      <c r="AG96" s="32"/>
      <c r="AH96">
        <v>0</v>
      </c>
      <c r="AI96">
        <v>0</v>
      </c>
      <c r="AJ96">
        <v>0</v>
      </c>
      <c r="AK96">
        <v>0</v>
      </c>
      <c r="AL96">
        <v>20</v>
      </c>
      <c r="AM96">
        <v>0.1</v>
      </c>
      <c r="AN96">
        <v>1</v>
      </c>
      <c r="AO96">
        <v>10</v>
      </c>
      <c r="AP96">
        <v>69</v>
      </c>
      <c r="AQ96" s="21">
        <f t="shared" si="11"/>
        <v>69</v>
      </c>
      <c r="AR96" s="12">
        <f t="shared" si="15"/>
        <v>100.1</v>
      </c>
      <c r="AS96" s="6">
        <v>0</v>
      </c>
      <c r="AT96" s="6">
        <v>0</v>
      </c>
      <c r="AU9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 t="s">
        <v>44</v>
      </c>
      <c r="BF96" s="6" t="s">
        <v>44</v>
      </c>
      <c r="BG96" s="6" t="s">
        <v>44</v>
      </c>
      <c r="BH96" s="6" t="s">
        <v>44</v>
      </c>
      <c r="BI96" s="6" t="s">
        <v>44</v>
      </c>
      <c r="BJ96" s="6" t="s">
        <v>44</v>
      </c>
      <c r="BK96" s="6">
        <v>0</v>
      </c>
      <c r="BL96" s="6">
        <f t="shared" si="16"/>
        <v>0</v>
      </c>
      <c r="BM96" s="6">
        <f t="shared" si="12"/>
        <v>0</v>
      </c>
      <c r="BN96">
        <v>0</v>
      </c>
      <c r="BO96">
        <f t="shared" ref="BO96:BO159" si="17">SUM(BN96,AU96,BG96,BH96,BI96)</f>
        <v>0</v>
      </c>
      <c r="BP96">
        <v>0</v>
      </c>
      <c r="BQ96">
        <f>SUM(BP96,BB96,BK96)</f>
        <v>0</v>
      </c>
      <c r="BR96">
        <f t="shared" si="13"/>
        <v>0</v>
      </c>
    </row>
    <row r="97" spans="1:70" hidden="1">
      <c r="A97" s="16" t="str">
        <f t="shared" si="10"/>
        <v>SC_2024_NPZ_2_1</v>
      </c>
      <c r="B97" t="s">
        <v>54</v>
      </c>
      <c r="C97">
        <v>43.303199999999997</v>
      </c>
      <c r="D97">
        <v>-124.3974</v>
      </c>
      <c r="E97" s="8">
        <v>45467</v>
      </c>
      <c r="F97">
        <v>2024</v>
      </c>
      <c r="G97" t="s">
        <v>41</v>
      </c>
      <c r="H97" t="s">
        <v>48</v>
      </c>
      <c r="I97">
        <v>2</v>
      </c>
      <c r="J97">
        <v>1</v>
      </c>
      <c r="K97" t="s">
        <v>47</v>
      </c>
      <c r="L97" s="23">
        <v>27</v>
      </c>
      <c r="M97" s="23">
        <v>0</v>
      </c>
      <c r="N97" s="23">
        <v>1</v>
      </c>
      <c r="O97" s="23">
        <v>26</v>
      </c>
      <c r="P97" s="23">
        <v>2</v>
      </c>
      <c r="Q97" s="23">
        <v>0</v>
      </c>
      <c r="R97" s="22" t="s">
        <v>44</v>
      </c>
      <c r="S97" s="22">
        <v>0</v>
      </c>
      <c r="T97" s="23">
        <v>0</v>
      </c>
      <c r="U97" s="23">
        <v>0</v>
      </c>
      <c r="V97" s="18">
        <v>6.7</v>
      </c>
      <c r="W97" s="18">
        <v>6.8</v>
      </c>
      <c r="X97" s="18">
        <v>6.2</v>
      </c>
      <c r="Y97" s="18">
        <v>6.2</v>
      </c>
      <c r="Z97" s="18">
        <v>5.0999999999999996</v>
      </c>
      <c r="AA97" s="17">
        <v>1</v>
      </c>
      <c r="AB97" s="17">
        <v>0</v>
      </c>
      <c r="AC97" s="17">
        <v>0</v>
      </c>
      <c r="AD97" s="17">
        <v>2</v>
      </c>
      <c r="AE97" s="17">
        <v>0</v>
      </c>
      <c r="AF97" s="11">
        <f t="shared" si="14"/>
        <v>3</v>
      </c>
      <c r="AG97" s="32"/>
      <c r="AH97">
        <v>0</v>
      </c>
      <c r="AI97">
        <v>0</v>
      </c>
      <c r="AJ97">
        <v>0</v>
      </c>
      <c r="AK97">
        <v>0</v>
      </c>
      <c r="AL97">
        <v>17</v>
      </c>
      <c r="AM97">
        <v>9</v>
      </c>
      <c r="AN97">
        <v>1</v>
      </c>
      <c r="AO97">
        <v>0.1</v>
      </c>
      <c r="AP97">
        <v>73</v>
      </c>
      <c r="AQ97" s="21">
        <f t="shared" si="11"/>
        <v>73</v>
      </c>
      <c r="AR97" s="12">
        <f t="shared" si="15"/>
        <v>100.1</v>
      </c>
      <c r="AS97" s="6">
        <v>0</v>
      </c>
      <c r="AT97" s="6">
        <v>0</v>
      </c>
      <c r="AU97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 t="s">
        <v>44</v>
      </c>
      <c r="BF97" s="6" t="s">
        <v>44</v>
      </c>
      <c r="BG97" s="6" t="s">
        <v>44</v>
      </c>
      <c r="BH97" s="6" t="s">
        <v>44</v>
      </c>
      <c r="BI97" s="6" t="s">
        <v>44</v>
      </c>
      <c r="BJ97" s="6" t="s">
        <v>44</v>
      </c>
      <c r="BK97" s="6">
        <v>0</v>
      </c>
      <c r="BL97" s="6">
        <f t="shared" si="16"/>
        <v>0</v>
      </c>
      <c r="BM97" s="6">
        <f t="shared" si="12"/>
        <v>0</v>
      </c>
      <c r="BN97">
        <v>0</v>
      </c>
      <c r="BO97">
        <f t="shared" si="17"/>
        <v>0</v>
      </c>
      <c r="BP97">
        <v>0</v>
      </c>
      <c r="BQ97">
        <f>SUM(BP97,BB97,BK97)</f>
        <v>0</v>
      </c>
      <c r="BR97">
        <f t="shared" si="13"/>
        <v>0</v>
      </c>
    </row>
    <row r="98" spans="1:70" hidden="1">
      <c r="A98" s="16" t="str">
        <f t="shared" si="10"/>
        <v>SC_2024_NPZ_2_2</v>
      </c>
      <c r="B98" t="s">
        <v>54</v>
      </c>
      <c r="C98">
        <v>43.303199999999997</v>
      </c>
      <c r="D98">
        <v>-124.3974</v>
      </c>
      <c r="E98" s="8">
        <v>45467</v>
      </c>
      <c r="F98">
        <v>2024</v>
      </c>
      <c r="G98" t="s">
        <v>41</v>
      </c>
      <c r="H98" t="s">
        <v>48</v>
      </c>
      <c r="I98">
        <v>2</v>
      </c>
      <c r="J98">
        <v>2</v>
      </c>
      <c r="K98" t="s">
        <v>47</v>
      </c>
      <c r="L98" s="23">
        <v>39</v>
      </c>
      <c r="M98" s="23">
        <v>3</v>
      </c>
      <c r="N98" s="23">
        <v>13</v>
      </c>
      <c r="O98" s="23">
        <v>23</v>
      </c>
      <c r="P98" s="23">
        <v>1</v>
      </c>
      <c r="Q98" s="23">
        <v>0</v>
      </c>
      <c r="R98" s="22" t="s">
        <v>44</v>
      </c>
      <c r="S98" s="22">
        <v>0</v>
      </c>
      <c r="T98" s="23">
        <v>4</v>
      </c>
      <c r="U98" s="23">
        <v>7</v>
      </c>
      <c r="V98" s="18">
        <v>6.3</v>
      </c>
      <c r="W98" s="18">
        <v>5.4</v>
      </c>
      <c r="X98" s="18">
        <v>5.6</v>
      </c>
      <c r="Y98" s="18">
        <v>4.5999999999999996</v>
      </c>
      <c r="Z98" s="18">
        <v>5.8</v>
      </c>
      <c r="AA98" s="17">
        <v>0</v>
      </c>
      <c r="AB98" s="17">
        <v>0</v>
      </c>
      <c r="AC98" s="17">
        <v>0</v>
      </c>
      <c r="AD98" s="17">
        <v>2</v>
      </c>
      <c r="AE98" s="17">
        <v>0</v>
      </c>
      <c r="AF98" s="11">
        <f t="shared" si="14"/>
        <v>2</v>
      </c>
      <c r="AG98" s="32"/>
      <c r="AH98">
        <v>0</v>
      </c>
      <c r="AI98">
        <v>0</v>
      </c>
      <c r="AJ98">
        <v>0</v>
      </c>
      <c r="AK98">
        <v>0</v>
      </c>
      <c r="AL98">
        <v>15</v>
      </c>
      <c r="AM98">
        <v>8</v>
      </c>
      <c r="AN98">
        <v>0</v>
      </c>
      <c r="AO98">
        <v>7</v>
      </c>
      <c r="AP98">
        <v>70</v>
      </c>
      <c r="AQ98" s="21">
        <f t="shared" si="11"/>
        <v>70</v>
      </c>
      <c r="AR98" s="12">
        <f t="shared" si="15"/>
        <v>100</v>
      </c>
      <c r="AS98" s="6">
        <v>0</v>
      </c>
      <c r="AT98" s="6">
        <v>0</v>
      </c>
      <c r="AU98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 t="s">
        <v>44</v>
      </c>
      <c r="BF98" s="6" t="s">
        <v>44</v>
      </c>
      <c r="BG98" s="6" t="s">
        <v>44</v>
      </c>
      <c r="BH98" s="6" t="s">
        <v>44</v>
      </c>
      <c r="BI98" s="6" t="s">
        <v>44</v>
      </c>
      <c r="BJ98" s="6" t="s">
        <v>44</v>
      </c>
      <c r="BK98" s="6">
        <v>0</v>
      </c>
      <c r="BL98" s="6">
        <f t="shared" si="16"/>
        <v>0</v>
      </c>
      <c r="BM98" s="6">
        <f t="shared" si="12"/>
        <v>0</v>
      </c>
      <c r="BN98">
        <v>0</v>
      </c>
      <c r="BO98">
        <f t="shared" si="17"/>
        <v>0</v>
      </c>
      <c r="BP98">
        <v>0</v>
      </c>
      <c r="BQ98">
        <f>SUM(BP98,BB98,BK98)</f>
        <v>0</v>
      </c>
      <c r="BR98">
        <f t="shared" si="13"/>
        <v>0</v>
      </c>
    </row>
    <row r="99" spans="1:70" hidden="1">
      <c r="A99" s="16" t="str">
        <f t="shared" si="10"/>
        <v>SC_2024_NPZ_2_3</v>
      </c>
      <c r="B99" t="s">
        <v>54</v>
      </c>
      <c r="C99">
        <v>43.303199999999997</v>
      </c>
      <c r="D99">
        <v>-124.3974</v>
      </c>
      <c r="E99" s="8">
        <v>45467</v>
      </c>
      <c r="F99">
        <v>2024</v>
      </c>
      <c r="G99" t="s">
        <v>41</v>
      </c>
      <c r="H99" t="s">
        <v>48</v>
      </c>
      <c r="I99">
        <v>2</v>
      </c>
      <c r="J99">
        <v>3</v>
      </c>
      <c r="K99" t="s">
        <v>47</v>
      </c>
      <c r="L99" s="23">
        <v>33</v>
      </c>
      <c r="M99" s="23">
        <v>12</v>
      </c>
      <c r="N99" s="23">
        <v>0</v>
      </c>
      <c r="O99" s="23">
        <v>21</v>
      </c>
      <c r="P99" s="23">
        <v>1</v>
      </c>
      <c r="Q99" s="23">
        <v>0</v>
      </c>
      <c r="R99" s="22" t="s">
        <v>44</v>
      </c>
      <c r="S99" s="22">
        <v>0</v>
      </c>
      <c r="T99" s="23">
        <v>0</v>
      </c>
      <c r="U99" s="23">
        <v>12</v>
      </c>
      <c r="V99" s="18">
        <v>4.2</v>
      </c>
      <c r="W99" s="18">
        <v>3.9</v>
      </c>
      <c r="X99" s="18">
        <v>4.4000000000000004</v>
      </c>
      <c r="Y99" s="18">
        <v>4</v>
      </c>
      <c r="Z99" s="18">
        <v>5.0999999999999996</v>
      </c>
      <c r="AA99" s="17" t="s">
        <v>55</v>
      </c>
      <c r="AB99" s="17" t="s">
        <v>55</v>
      </c>
      <c r="AC99" s="17" t="s">
        <v>55</v>
      </c>
      <c r="AD99" s="17" t="s">
        <v>55</v>
      </c>
      <c r="AE99" s="17" t="s">
        <v>55</v>
      </c>
      <c r="AF99" s="11">
        <f t="shared" si="14"/>
        <v>0</v>
      </c>
      <c r="AG99" s="32"/>
      <c r="AH99">
        <v>0</v>
      </c>
      <c r="AI99">
        <v>0</v>
      </c>
      <c r="AJ99">
        <v>0</v>
      </c>
      <c r="AK99">
        <v>0</v>
      </c>
      <c r="AL99">
        <v>11</v>
      </c>
      <c r="AM99">
        <v>8</v>
      </c>
      <c r="AN99">
        <v>0</v>
      </c>
      <c r="AO99">
        <v>1</v>
      </c>
      <c r="AP99">
        <v>80</v>
      </c>
      <c r="AQ99" s="21">
        <f t="shared" si="11"/>
        <v>80</v>
      </c>
      <c r="AR99" s="12">
        <f t="shared" si="15"/>
        <v>100</v>
      </c>
      <c r="AS99" s="6">
        <v>0</v>
      </c>
      <c r="AT99" s="6">
        <v>0</v>
      </c>
      <c r="AU99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 t="s">
        <v>44</v>
      </c>
      <c r="BF99" s="6" t="s">
        <v>44</v>
      </c>
      <c r="BG99" s="6" t="s">
        <v>44</v>
      </c>
      <c r="BH99" s="6" t="s">
        <v>44</v>
      </c>
      <c r="BI99" s="6" t="s">
        <v>44</v>
      </c>
      <c r="BJ99" s="6" t="s">
        <v>44</v>
      </c>
      <c r="BK99" s="6">
        <v>0</v>
      </c>
      <c r="BL99" s="6">
        <f t="shared" si="16"/>
        <v>0</v>
      </c>
      <c r="BM99" s="6">
        <f t="shared" si="12"/>
        <v>0</v>
      </c>
      <c r="BN99">
        <v>0</v>
      </c>
      <c r="BO99">
        <f t="shared" si="17"/>
        <v>0</v>
      </c>
      <c r="BP99">
        <v>0</v>
      </c>
      <c r="BQ99">
        <f>SUM(BP99,BB99,BK99)</f>
        <v>0</v>
      </c>
      <c r="BR99">
        <f t="shared" si="13"/>
        <v>0</v>
      </c>
    </row>
    <row r="100" spans="1:70" hidden="1">
      <c r="A100" s="16" t="str">
        <f t="shared" si="10"/>
        <v>SC_2024_NPZ_2_4</v>
      </c>
      <c r="B100" t="s">
        <v>54</v>
      </c>
      <c r="C100">
        <v>43.303199999999997</v>
      </c>
      <c r="D100">
        <v>-124.3974</v>
      </c>
      <c r="E100" s="8">
        <v>45467</v>
      </c>
      <c r="F100">
        <v>2024</v>
      </c>
      <c r="G100" t="s">
        <v>41</v>
      </c>
      <c r="H100" t="s">
        <v>48</v>
      </c>
      <c r="I100">
        <v>2</v>
      </c>
      <c r="J100">
        <v>4</v>
      </c>
      <c r="K100" t="s">
        <v>47</v>
      </c>
      <c r="L100" s="23">
        <v>43</v>
      </c>
      <c r="M100" s="23">
        <v>8</v>
      </c>
      <c r="N100" s="23">
        <v>3</v>
      </c>
      <c r="O100" s="23">
        <v>32</v>
      </c>
      <c r="P100" s="23">
        <v>0</v>
      </c>
      <c r="Q100" s="23">
        <v>0</v>
      </c>
      <c r="R100" s="22" t="s">
        <v>44</v>
      </c>
      <c r="S100" s="22">
        <v>0</v>
      </c>
      <c r="T100" s="23">
        <v>3</v>
      </c>
      <c r="U100" s="23">
        <v>11</v>
      </c>
      <c r="V100" s="18">
        <v>4.7</v>
      </c>
      <c r="W100" s="18">
        <v>4.9000000000000004</v>
      </c>
      <c r="X100" s="18">
        <v>3.9</v>
      </c>
      <c r="Y100" s="18">
        <v>4.7</v>
      </c>
      <c r="Z100" s="18">
        <v>4</v>
      </c>
      <c r="AA100" s="17">
        <v>2</v>
      </c>
      <c r="AB100" s="17">
        <v>1</v>
      </c>
      <c r="AC100" s="17">
        <v>0</v>
      </c>
      <c r="AD100" s="17">
        <v>1</v>
      </c>
      <c r="AE100" s="17">
        <v>0</v>
      </c>
      <c r="AF100" s="11">
        <f t="shared" si="14"/>
        <v>4</v>
      </c>
      <c r="AG100" s="32"/>
      <c r="AH100">
        <v>0</v>
      </c>
      <c r="AI100">
        <v>0</v>
      </c>
      <c r="AJ100">
        <v>0</v>
      </c>
      <c r="AK100">
        <v>0</v>
      </c>
      <c r="AL100">
        <v>23</v>
      </c>
      <c r="AM100">
        <v>4</v>
      </c>
      <c r="AN100">
        <v>0</v>
      </c>
      <c r="AO100">
        <v>10</v>
      </c>
      <c r="AP100">
        <v>63</v>
      </c>
      <c r="AQ100" s="21">
        <f t="shared" si="11"/>
        <v>63</v>
      </c>
      <c r="AR100" s="12">
        <f t="shared" si="15"/>
        <v>100</v>
      </c>
      <c r="AS100" s="6">
        <v>0</v>
      </c>
      <c r="AT100" s="6">
        <v>0</v>
      </c>
      <c r="AU100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 t="s">
        <v>44</v>
      </c>
      <c r="BF100" s="6" t="s">
        <v>44</v>
      </c>
      <c r="BG100" s="6" t="s">
        <v>44</v>
      </c>
      <c r="BH100" s="6" t="s">
        <v>44</v>
      </c>
      <c r="BI100" s="6" t="s">
        <v>44</v>
      </c>
      <c r="BJ100" s="6" t="s">
        <v>44</v>
      </c>
      <c r="BK100" s="6">
        <v>0</v>
      </c>
      <c r="BL100" s="6">
        <f t="shared" si="16"/>
        <v>0</v>
      </c>
      <c r="BM100" s="6">
        <f t="shared" si="12"/>
        <v>0</v>
      </c>
      <c r="BN100">
        <v>0</v>
      </c>
      <c r="BO100">
        <f t="shared" si="17"/>
        <v>0</v>
      </c>
      <c r="BP100">
        <v>0</v>
      </c>
      <c r="BQ100">
        <f>SUM(BP100,BB100,BK100)</f>
        <v>0</v>
      </c>
      <c r="BR100">
        <f t="shared" si="13"/>
        <v>0</v>
      </c>
    </row>
    <row r="101" spans="1:70" hidden="1">
      <c r="A101" s="16" t="str">
        <f t="shared" si="10"/>
        <v>SC_2024_NPZ_2_5</v>
      </c>
      <c r="B101" t="s">
        <v>54</v>
      </c>
      <c r="C101">
        <v>43.303199999999997</v>
      </c>
      <c r="D101">
        <v>-124.3974</v>
      </c>
      <c r="E101" s="8">
        <v>45467</v>
      </c>
      <c r="F101">
        <v>2024</v>
      </c>
      <c r="G101" t="s">
        <v>41</v>
      </c>
      <c r="H101" t="s">
        <v>48</v>
      </c>
      <c r="I101">
        <v>2</v>
      </c>
      <c r="J101">
        <v>5</v>
      </c>
      <c r="K101" t="s">
        <v>47</v>
      </c>
      <c r="L101" s="23">
        <v>25</v>
      </c>
      <c r="M101" s="23">
        <v>0</v>
      </c>
      <c r="N101" s="23">
        <v>6</v>
      </c>
      <c r="O101" s="23">
        <v>19</v>
      </c>
      <c r="P101" s="23">
        <v>0</v>
      </c>
      <c r="Q101" s="23">
        <v>0</v>
      </c>
      <c r="R101" s="22" t="s">
        <v>44</v>
      </c>
      <c r="S101" s="22">
        <v>0</v>
      </c>
      <c r="T101" s="23">
        <v>0</v>
      </c>
      <c r="U101" s="23">
        <v>0</v>
      </c>
      <c r="V101" s="18">
        <v>4.8</v>
      </c>
      <c r="W101" s="18">
        <v>3.2</v>
      </c>
      <c r="X101" s="18">
        <v>4.5</v>
      </c>
      <c r="Y101" s="18">
        <v>5.3</v>
      </c>
      <c r="Z101" s="18">
        <v>5</v>
      </c>
      <c r="AA101" s="17">
        <v>1</v>
      </c>
      <c r="AB101" s="17">
        <v>0</v>
      </c>
      <c r="AC101" s="17">
        <v>0</v>
      </c>
      <c r="AD101" s="17">
        <v>1</v>
      </c>
      <c r="AE101" s="17">
        <v>0</v>
      </c>
      <c r="AF101" s="11">
        <f t="shared" si="14"/>
        <v>2</v>
      </c>
      <c r="AG101" s="32"/>
      <c r="AH101">
        <v>0</v>
      </c>
      <c r="AI101">
        <v>0</v>
      </c>
      <c r="AJ101">
        <v>0</v>
      </c>
      <c r="AK101">
        <v>0</v>
      </c>
      <c r="AL101">
        <v>72</v>
      </c>
      <c r="AM101">
        <v>3</v>
      </c>
      <c r="AN101">
        <v>0</v>
      </c>
      <c r="AO101">
        <v>15</v>
      </c>
      <c r="AP101">
        <v>10</v>
      </c>
      <c r="AQ101" s="21">
        <f t="shared" si="11"/>
        <v>10</v>
      </c>
      <c r="AR101" s="12">
        <f t="shared" si="15"/>
        <v>100</v>
      </c>
      <c r="AS101" s="6">
        <v>0</v>
      </c>
      <c r="AT101" s="6">
        <v>0</v>
      </c>
      <c r="AU101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 t="s">
        <v>44</v>
      </c>
      <c r="BF101" s="6" t="s">
        <v>44</v>
      </c>
      <c r="BG101" s="6" t="s">
        <v>44</v>
      </c>
      <c r="BH101" s="6" t="s">
        <v>44</v>
      </c>
      <c r="BI101" s="6" t="s">
        <v>44</v>
      </c>
      <c r="BJ101" s="6" t="s">
        <v>44</v>
      </c>
      <c r="BK101" s="6">
        <v>0</v>
      </c>
      <c r="BL101" s="6">
        <f t="shared" si="16"/>
        <v>0</v>
      </c>
      <c r="BM101" s="6">
        <f t="shared" si="12"/>
        <v>0</v>
      </c>
      <c r="BN101">
        <v>0</v>
      </c>
      <c r="BO101">
        <f t="shared" si="17"/>
        <v>0</v>
      </c>
      <c r="BP101">
        <v>0</v>
      </c>
      <c r="BQ101">
        <f>SUM(BP101,BB101,BK101)</f>
        <v>0</v>
      </c>
      <c r="BR101">
        <f t="shared" si="13"/>
        <v>0</v>
      </c>
    </row>
    <row r="102" spans="1:70" hidden="1">
      <c r="A102" s="16" t="str">
        <f t="shared" si="10"/>
        <v>CB_2024_AZ_1_1</v>
      </c>
      <c r="B102" t="s">
        <v>56</v>
      </c>
      <c r="C102">
        <v>42.839689999999997</v>
      </c>
      <c r="D102">
        <v>-124.5651</v>
      </c>
      <c r="E102" s="8">
        <v>45468</v>
      </c>
      <c r="F102">
        <v>2024</v>
      </c>
      <c r="G102" t="s">
        <v>56</v>
      </c>
      <c r="H102" t="s">
        <v>42</v>
      </c>
      <c r="I102">
        <v>1</v>
      </c>
      <c r="J102">
        <v>1</v>
      </c>
      <c r="K102" t="s">
        <v>43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2" t="s">
        <v>44</v>
      </c>
      <c r="S102" s="22">
        <v>0</v>
      </c>
      <c r="T102" s="23">
        <v>0</v>
      </c>
      <c r="U102" s="23">
        <v>0</v>
      </c>
      <c r="V102" s="18" t="s">
        <v>44</v>
      </c>
      <c r="W102" s="18" t="s">
        <v>44</v>
      </c>
      <c r="X102" s="18" t="s">
        <v>44</v>
      </c>
      <c r="Y102" s="18" t="s">
        <v>44</v>
      </c>
      <c r="Z102" s="18" t="s">
        <v>44</v>
      </c>
      <c r="AA102" s="11" t="s">
        <v>44</v>
      </c>
      <c r="AB102" s="11" t="s">
        <v>44</v>
      </c>
      <c r="AC102" s="11" t="s">
        <v>44</v>
      </c>
      <c r="AD102" s="11" t="s">
        <v>44</v>
      </c>
      <c r="AE102" s="11" t="s">
        <v>44</v>
      </c>
      <c r="AF102" s="11" t="s">
        <v>44</v>
      </c>
      <c r="AG102" s="32">
        <v>0</v>
      </c>
      <c r="AH102">
        <v>0</v>
      </c>
      <c r="AI102">
        <v>90</v>
      </c>
      <c r="AJ102">
        <v>3</v>
      </c>
      <c r="AK102">
        <v>0</v>
      </c>
      <c r="AL102">
        <v>0</v>
      </c>
      <c r="AM102">
        <v>3</v>
      </c>
      <c r="AN102">
        <v>1</v>
      </c>
      <c r="AO102">
        <v>2</v>
      </c>
      <c r="AP102">
        <v>1</v>
      </c>
      <c r="AQ102" s="21">
        <f t="shared" si="11"/>
        <v>1</v>
      </c>
      <c r="AR102" s="12">
        <f t="shared" si="15"/>
        <v>100</v>
      </c>
      <c r="AS102" s="6">
        <v>0</v>
      </c>
      <c r="AT102">
        <v>4</v>
      </c>
      <c r="AU102">
        <v>40</v>
      </c>
      <c r="AV102" s="6">
        <v>0</v>
      </c>
      <c r="AW102" s="6">
        <v>0</v>
      </c>
      <c r="AX102">
        <v>15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 t="s">
        <v>44</v>
      </c>
      <c r="BF102" s="6" t="s">
        <v>44</v>
      </c>
      <c r="BG102" s="6" t="s">
        <v>44</v>
      </c>
      <c r="BH102" s="6" t="s">
        <v>44</v>
      </c>
      <c r="BI102" s="6" t="s">
        <v>44</v>
      </c>
      <c r="BJ102" s="6" t="s">
        <v>44</v>
      </c>
      <c r="BK102" s="6">
        <v>0</v>
      </c>
      <c r="BL102" s="6">
        <f t="shared" si="16"/>
        <v>19</v>
      </c>
      <c r="BM102" s="6">
        <f t="shared" si="12"/>
        <v>59</v>
      </c>
    </row>
    <row r="103" spans="1:70" hidden="1">
      <c r="A103" s="16" t="str">
        <f t="shared" si="10"/>
        <v>CB_2024_AZ_1_2</v>
      </c>
      <c r="B103" t="s">
        <v>56</v>
      </c>
      <c r="C103">
        <v>42.839689999999997</v>
      </c>
      <c r="D103">
        <v>-124.5651</v>
      </c>
      <c r="E103" s="8">
        <v>45468</v>
      </c>
      <c r="F103">
        <v>2024</v>
      </c>
      <c r="G103" t="s">
        <v>56</v>
      </c>
      <c r="H103" t="s">
        <v>42</v>
      </c>
      <c r="I103">
        <v>1</v>
      </c>
      <c r="J103">
        <v>2</v>
      </c>
      <c r="K103" t="s">
        <v>43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2" t="s">
        <v>44</v>
      </c>
      <c r="S103" s="22">
        <v>0</v>
      </c>
      <c r="T103" s="23">
        <v>0</v>
      </c>
      <c r="U103" s="23">
        <v>0</v>
      </c>
      <c r="V103" s="18" t="s">
        <v>44</v>
      </c>
      <c r="W103" s="18" t="s">
        <v>44</v>
      </c>
      <c r="X103" s="18" t="s">
        <v>44</v>
      </c>
      <c r="Y103" s="18" t="s">
        <v>44</v>
      </c>
      <c r="Z103" s="18" t="s">
        <v>44</v>
      </c>
      <c r="AA103" s="11" t="s">
        <v>44</v>
      </c>
      <c r="AB103" s="11" t="s">
        <v>44</v>
      </c>
      <c r="AC103" s="11" t="s">
        <v>44</v>
      </c>
      <c r="AD103" s="11" t="s">
        <v>44</v>
      </c>
      <c r="AE103" s="11" t="s">
        <v>44</v>
      </c>
      <c r="AF103" s="11" t="s">
        <v>44</v>
      </c>
      <c r="AG103" s="32">
        <v>0</v>
      </c>
      <c r="AH103">
        <v>4</v>
      </c>
      <c r="AI103">
        <v>89</v>
      </c>
      <c r="AJ103">
        <v>4</v>
      </c>
      <c r="AK103">
        <v>0</v>
      </c>
      <c r="AL103">
        <v>1</v>
      </c>
      <c r="AM103">
        <v>2</v>
      </c>
      <c r="AN103">
        <v>0.1</v>
      </c>
      <c r="AO103">
        <v>0.1</v>
      </c>
      <c r="AP103">
        <v>0</v>
      </c>
      <c r="AQ103" s="21">
        <f t="shared" si="11"/>
        <v>0</v>
      </c>
      <c r="AR103" s="12">
        <f t="shared" si="15"/>
        <v>100.19999999999999</v>
      </c>
      <c r="AS103">
        <v>37</v>
      </c>
      <c r="AT103">
        <v>2</v>
      </c>
      <c r="AU103">
        <v>14</v>
      </c>
      <c r="AV103" s="6">
        <v>0</v>
      </c>
      <c r="AW103" s="6">
        <v>0</v>
      </c>
      <c r="AX103">
        <v>42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 t="s">
        <v>44</v>
      </c>
      <c r="BF103" s="6" t="s">
        <v>44</v>
      </c>
      <c r="BG103" s="6" t="s">
        <v>44</v>
      </c>
      <c r="BH103" s="6" t="s">
        <v>44</v>
      </c>
      <c r="BI103" s="6" t="s">
        <v>44</v>
      </c>
      <c r="BJ103" s="6" t="s">
        <v>44</v>
      </c>
      <c r="BK103" s="6">
        <v>0</v>
      </c>
      <c r="BL103" s="6">
        <f t="shared" si="16"/>
        <v>81</v>
      </c>
      <c r="BM103" s="6">
        <f t="shared" si="12"/>
        <v>95</v>
      </c>
    </row>
    <row r="104" spans="1:70" hidden="1">
      <c r="A104" s="16" t="str">
        <f t="shared" si="10"/>
        <v>CB_2024_AZ_1_3</v>
      </c>
      <c r="B104" t="s">
        <v>56</v>
      </c>
      <c r="C104">
        <v>42.839689999999997</v>
      </c>
      <c r="D104">
        <v>-124.5651</v>
      </c>
      <c r="E104" s="8">
        <v>45468</v>
      </c>
      <c r="F104">
        <v>2024</v>
      </c>
      <c r="G104" t="s">
        <v>56</v>
      </c>
      <c r="H104" t="s">
        <v>42</v>
      </c>
      <c r="I104">
        <v>1</v>
      </c>
      <c r="J104">
        <v>3</v>
      </c>
      <c r="K104" t="s">
        <v>43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2" t="s">
        <v>44</v>
      </c>
      <c r="S104" s="22">
        <v>0</v>
      </c>
      <c r="T104" s="23">
        <v>0</v>
      </c>
      <c r="U104" s="23">
        <v>0</v>
      </c>
      <c r="V104" s="18" t="s">
        <v>44</v>
      </c>
      <c r="W104" s="18" t="s">
        <v>44</v>
      </c>
      <c r="X104" s="18" t="s">
        <v>44</v>
      </c>
      <c r="Y104" s="18" t="s">
        <v>44</v>
      </c>
      <c r="Z104" s="18" t="s">
        <v>44</v>
      </c>
      <c r="AA104" s="11" t="s">
        <v>44</v>
      </c>
      <c r="AB104" s="11" t="s">
        <v>44</v>
      </c>
      <c r="AC104" s="11" t="s">
        <v>44</v>
      </c>
      <c r="AD104" s="11" t="s">
        <v>44</v>
      </c>
      <c r="AE104" s="11" t="s">
        <v>44</v>
      </c>
      <c r="AF104" s="11" t="s">
        <v>44</v>
      </c>
      <c r="AG104" s="32"/>
      <c r="AH104">
        <v>0</v>
      </c>
      <c r="AI104">
        <v>65</v>
      </c>
      <c r="AJ104">
        <v>0.1</v>
      </c>
      <c r="AK104">
        <v>0</v>
      </c>
      <c r="AL104">
        <v>0</v>
      </c>
      <c r="AM104">
        <v>0</v>
      </c>
      <c r="AN104">
        <v>0.1</v>
      </c>
      <c r="AO104">
        <v>35</v>
      </c>
      <c r="AP104">
        <v>0</v>
      </c>
      <c r="AQ104" s="21">
        <f t="shared" si="11"/>
        <v>0</v>
      </c>
      <c r="AR104" s="12">
        <f t="shared" si="15"/>
        <v>100.19999999999999</v>
      </c>
      <c r="AS104">
        <v>21</v>
      </c>
      <c r="AT104" s="6">
        <v>0</v>
      </c>
      <c r="AU104">
        <v>0</v>
      </c>
      <c r="AV104" s="6">
        <v>0</v>
      </c>
      <c r="AW104" s="6">
        <v>0</v>
      </c>
      <c r="AX104">
        <v>10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 t="s">
        <v>44</v>
      </c>
      <c r="BF104" s="6" t="s">
        <v>44</v>
      </c>
      <c r="BG104" s="6" t="s">
        <v>44</v>
      </c>
      <c r="BH104" s="6" t="s">
        <v>44</v>
      </c>
      <c r="BI104" s="6" t="s">
        <v>44</v>
      </c>
      <c r="BJ104" s="6" t="s">
        <v>44</v>
      </c>
      <c r="BK104" s="6">
        <v>0</v>
      </c>
      <c r="BL104" s="6">
        <f t="shared" si="16"/>
        <v>31</v>
      </c>
      <c r="BM104" s="6">
        <f t="shared" si="12"/>
        <v>31</v>
      </c>
      <c r="BN104">
        <v>65</v>
      </c>
      <c r="BO104">
        <f t="shared" si="17"/>
        <v>65</v>
      </c>
      <c r="BP104">
        <v>0.1</v>
      </c>
      <c r="BQ104">
        <f>SUM(BP104,BB104,BK104)</f>
        <v>0.1</v>
      </c>
      <c r="BR104">
        <f t="shared" si="13"/>
        <v>0</v>
      </c>
    </row>
    <row r="105" spans="1:70" hidden="1">
      <c r="A105" s="16" t="str">
        <f t="shared" si="10"/>
        <v>CB_2024_AZ_1_4</v>
      </c>
      <c r="B105" t="s">
        <v>56</v>
      </c>
      <c r="C105">
        <v>42.839689999999997</v>
      </c>
      <c r="D105">
        <v>-124.5651</v>
      </c>
      <c r="E105" s="8">
        <v>45468</v>
      </c>
      <c r="F105">
        <v>2024</v>
      </c>
      <c r="G105" t="s">
        <v>56</v>
      </c>
      <c r="H105" t="s">
        <v>42</v>
      </c>
      <c r="I105">
        <v>1</v>
      </c>
      <c r="J105">
        <v>4</v>
      </c>
      <c r="K105" t="s">
        <v>43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2" t="s">
        <v>44</v>
      </c>
      <c r="S105" s="22">
        <v>0</v>
      </c>
      <c r="T105" s="23">
        <v>0</v>
      </c>
      <c r="U105" s="23">
        <v>0</v>
      </c>
      <c r="V105" s="18" t="s">
        <v>44</v>
      </c>
      <c r="W105" s="18" t="s">
        <v>44</v>
      </c>
      <c r="X105" s="18" t="s">
        <v>44</v>
      </c>
      <c r="Y105" s="18" t="s">
        <v>44</v>
      </c>
      <c r="Z105" s="18" t="s">
        <v>44</v>
      </c>
      <c r="AA105" s="11" t="s">
        <v>44</v>
      </c>
      <c r="AB105" s="11" t="s">
        <v>44</v>
      </c>
      <c r="AC105" s="11" t="s">
        <v>44</v>
      </c>
      <c r="AD105" s="11" t="s">
        <v>44</v>
      </c>
      <c r="AE105" s="11" t="s">
        <v>44</v>
      </c>
      <c r="AF105" s="11" t="s">
        <v>44</v>
      </c>
      <c r="AG105" s="32"/>
      <c r="AH105">
        <v>2</v>
      </c>
      <c r="AI105">
        <v>83</v>
      </c>
      <c r="AJ105">
        <v>0.1</v>
      </c>
      <c r="AK105">
        <v>0</v>
      </c>
      <c r="AL105">
        <v>5</v>
      </c>
      <c r="AM105">
        <v>2</v>
      </c>
      <c r="AN105">
        <v>0</v>
      </c>
      <c r="AO105">
        <v>8</v>
      </c>
      <c r="AP105">
        <v>0</v>
      </c>
      <c r="AQ105" s="21">
        <f t="shared" si="11"/>
        <v>0</v>
      </c>
      <c r="AR105" s="12">
        <f t="shared" si="15"/>
        <v>100.1</v>
      </c>
      <c r="AS105">
        <v>18</v>
      </c>
      <c r="AT105">
        <v>20</v>
      </c>
      <c r="AU105">
        <v>0</v>
      </c>
      <c r="AV105" s="6">
        <v>0</v>
      </c>
      <c r="AW105" s="6">
        <v>0</v>
      </c>
      <c r="AX105">
        <v>25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 t="s">
        <v>44</v>
      </c>
      <c r="BF105" s="6" t="s">
        <v>44</v>
      </c>
      <c r="BG105" s="6" t="s">
        <v>44</v>
      </c>
      <c r="BH105" s="6" t="s">
        <v>44</v>
      </c>
      <c r="BI105" s="6" t="s">
        <v>44</v>
      </c>
      <c r="BJ105" s="6" t="s">
        <v>44</v>
      </c>
      <c r="BK105" s="6">
        <v>0</v>
      </c>
      <c r="BL105" s="6">
        <f t="shared" si="16"/>
        <v>63</v>
      </c>
      <c r="BM105" s="6">
        <f t="shared" si="12"/>
        <v>63</v>
      </c>
      <c r="BN105">
        <v>83</v>
      </c>
      <c r="BO105">
        <f t="shared" si="17"/>
        <v>83</v>
      </c>
      <c r="BP105">
        <v>0.1</v>
      </c>
      <c r="BQ105">
        <f>SUM(BP105,BB105,BK105)</f>
        <v>0.1</v>
      </c>
      <c r="BR105">
        <f t="shared" si="13"/>
        <v>0</v>
      </c>
    </row>
    <row r="106" spans="1:70" hidden="1">
      <c r="A106" s="16" t="str">
        <f t="shared" si="10"/>
        <v>CB_2024_AZ_1_5</v>
      </c>
      <c r="B106" t="s">
        <v>56</v>
      </c>
      <c r="C106">
        <v>42.839689999999997</v>
      </c>
      <c r="D106">
        <v>-124.5651</v>
      </c>
      <c r="E106" s="8">
        <v>45468</v>
      </c>
      <c r="F106">
        <v>2024</v>
      </c>
      <c r="G106" t="s">
        <v>56</v>
      </c>
      <c r="H106" t="s">
        <v>42</v>
      </c>
      <c r="I106">
        <v>1</v>
      </c>
      <c r="J106">
        <v>5</v>
      </c>
      <c r="K106" t="s">
        <v>43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2" t="s">
        <v>44</v>
      </c>
      <c r="S106" s="22">
        <v>0</v>
      </c>
      <c r="T106" s="23">
        <v>0</v>
      </c>
      <c r="U106" s="23">
        <v>0</v>
      </c>
      <c r="V106" s="18" t="s">
        <v>44</v>
      </c>
      <c r="W106" s="18" t="s">
        <v>44</v>
      </c>
      <c r="X106" s="18" t="s">
        <v>44</v>
      </c>
      <c r="Y106" s="18" t="s">
        <v>44</v>
      </c>
      <c r="Z106" s="18" t="s">
        <v>44</v>
      </c>
      <c r="AA106" s="11" t="s">
        <v>44</v>
      </c>
      <c r="AB106" s="11" t="s">
        <v>44</v>
      </c>
      <c r="AC106" s="11" t="s">
        <v>44</v>
      </c>
      <c r="AD106" s="11" t="s">
        <v>44</v>
      </c>
      <c r="AE106" s="11" t="s">
        <v>44</v>
      </c>
      <c r="AF106" s="11" t="s">
        <v>44</v>
      </c>
      <c r="AG106" s="32"/>
      <c r="AH106">
        <v>0</v>
      </c>
      <c r="AI106">
        <v>96</v>
      </c>
      <c r="AJ106">
        <v>0</v>
      </c>
      <c r="AK106">
        <v>0</v>
      </c>
      <c r="AL106">
        <v>1</v>
      </c>
      <c r="AM106">
        <v>0.1</v>
      </c>
      <c r="AN106">
        <v>0</v>
      </c>
      <c r="AO106">
        <v>2</v>
      </c>
      <c r="AP106">
        <v>1</v>
      </c>
      <c r="AQ106" s="21">
        <f t="shared" si="11"/>
        <v>1</v>
      </c>
      <c r="AR106" s="12">
        <f t="shared" si="15"/>
        <v>100.1</v>
      </c>
      <c r="AS106">
        <v>0</v>
      </c>
      <c r="AT106">
        <v>0</v>
      </c>
      <c r="AU106">
        <v>0</v>
      </c>
      <c r="AV106" s="6">
        <v>0</v>
      </c>
      <c r="AW106" s="6">
        <v>0</v>
      </c>
      <c r="AX106">
        <v>100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 t="s">
        <v>44</v>
      </c>
      <c r="BF106" s="6" t="s">
        <v>44</v>
      </c>
      <c r="BG106" s="6" t="s">
        <v>44</v>
      </c>
      <c r="BH106" s="6" t="s">
        <v>44</v>
      </c>
      <c r="BI106" s="6" t="s">
        <v>44</v>
      </c>
      <c r="BJ106" s="6" t="s">
        <v>44</v>
      </c>
      <c r="BK106" s="6">
        <v>0</v>
      </c>
      <c r="BL106" s="6">
        <f t="shared" si="16"/>
        <v>100</v>
      </c>
      <c r="BM106" s="6">
        <f t="shared" si="12"/>
        <v>100</v>
      </c>
      <c r="BN106">
        <v>96</v>
      </c>
      <c r="BO106">
        <f t="shared" si="17"/>
        <v>96</v>
      </c>
      <c r="BP106">
        <v>0</v>
      </c>
      <c r="BQ106">
        <f>SUM(BP106,BB106,BK106)</f>
        <v>0</v>
      </c>
      <c r="BR106">
        <f t="shared" si="13"/>
        <v>0</v>
      </c>
    </row>
    <row r="107" spans="1:70" hidden="1">
      <c r="A107" s="16" t="str">
        <f t="shared" si="10"/>
        <v>CB_2024_AZ_2_1</v>
      </c>
      <c r="B107" t="s">
        <v>56</v>
      </c>
      <c r="C107">
        <v>42.839689999999997</v>
      </c>
      <c r="D107">
        <v>-124.5651</v>
      </c>
      <c r="E107" s="8">
        <v>45468</v>
      </c>
      <c r="F107">
        <v>2024</v>
      </c>
      <c r="G107" t="s">
        <v>56</v>
      </c>
      <c r="H107" t="s">
        <v>42</v>
      </c>
      <c r="I107">
        <v>2</v>
      </c>
      <c r="J107">
        <v>1</v>
      </c>
      <c r="K107" t="s">
        <v>51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2" t="s">
        <v>44</v>
      </c>
      <c r="S107" s="22">
        <v>0</v>
      </c>
      <c r="T107" s="23">
        <v>0</v>
      </c>
      <c r="U107" s="23">
        <v>0</v>
      </c>
      <c r="V107" s="18" t="s">
        <v>44</v>
      </c>
      <c r="W107" s="18" t="s">
        <v>44</v>
      </c>
      <c r="X107" s="18" t="s">
        <v>44</v>
      </c>
      <c r="Y107" s="18" t="s">
        <v>44</v>
      </c>
      <c r="Z107" s="18" t="s">
        <v>44</v>
      </c>
      <c r="AA107" s="11" t="s">
        <v>44</v>
      </c>
      <c r="AB107" s="11" t="s">
        <v>44</v>
      </c>
      <c r="AC107" s="11" t="s">
        <v>44</v>
      </c>
      <c r="AD107" s="11" t="s">
        <v>44</v>
      </c>
      <c r="AE107" s="11" t="s">
        <v>44</v>
      </c>
      <c r="AF107" s="11" t="s">
        <v>44</v>
      </c>
      <c r="AG107" s="32"/>
      <c r="AH107">
        <v>6</v>
      </c>
      <c r="AI107">
        <v>68</v>
      </c>
      <c r="AJ107">
        <v>0.1</v>
      </c>
      <c r="AK107">
        <v>0</v>
      </c>
      <c r="AL107">
        <v>7</v>
      </c>
      <c r="AM107">
        <v>14</v>
      </c>
      <c r="AN107">
        <v>0.1</v>
      </c>
      <c r="AO107">
        <v>2</v>
      </c>
      <c r="AP107">
        <v>3</v>
      </c>
      <c r="AQ107" s="21">
        <f t="shared" si="11"/>
        <v>3</v>
      </c>
      <c r="AR107" s="12">
        <f t="shared" si="15"/>
        <v>100.19999999999999</v>
      </c>
      <c r="AS107">
        <v>16</v>
      </c>
      <c r="AT107">
        <v>45</v>
      </c>
      <c r="AU107">
        <v>0</v>
      </c>
      <c r="AV107" s="6">
        <v>0</v>
      </c>
      <c r="AW107" s="6">
        <v>0</v>
      </c>
      <c r="AX107">
        <v>8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 t="s">
        <v>44</v>
      </c>
      <c r="BF107" s="6" t="s">
        <v>44</v>
      </c>
      <c r="BG107" s="6" t="s">
        <v>44</v>
      </c>
      <c r="BH107" s="6" t="s">
        <v>44</v>
      </c>
      <c r="BI107" s="6" t="s">
        <v>44</v>
      </c>
      <c r="BJ107" s="6" t="s">
        <v>44</v>
      </c>
      <c r="BK107" s="6">
        <v>0</v>
      </c>
      <c r="BL107" s="6">
        <f t="shared" si="16"/>
        <v>69</v>
      </c>
      <c r="BM107" s="6">
        <f t="shared" si="12"/>
        <v>69</v>
      </c>
      <c r="BN107">
        <v>68</v>
      </c>
      <c r="BO107">
        <f t="shared" si="17"/>
        <v>68</v>
      </c>
      <c r="BP107">
        <v>0.1</v>
      </c>
      <c r="BQ107">
        <f>SUM(BP107,BB107,BK107)</f>
        <v>0.1</v>
      </c>
      <c r="BR107">
        <f t="shared" si="13"/>
        <v>0</v>
      </c>
    </row>
    <row r="108" spans="1:70" hidden="1">
      <c r="A108" s="16" t="str">
        <f t="shared" si="10"/>
        <v>CB_2024_AZ_2_2</v>
      </c>
      <c r="B108" t="s">
        <v>56</v>
      </c>
      <c r="C108">
        <v>42.839689999999997</v>
      </c>
      <c r="D108">
        <v>-124.5651</v>
      </c>
      <c r="E108" s="8">
        <v>45468</v>
      </c>
      <c r="F108">
        <v>2024</v>
      </c>
      <c r="G108" t="s">
        <v>56</v>
      </c>
      <c r="H108" t="s">
        <v>42</v>
      </c>
      <c r="I108">
        <v>2</v>
      </c>
      <c r="J108">
        <v>2</v>
      </c>
      <c r="K108" t="s">
        <v>51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2" t="s">
        <v>44</v>
      </c>
      <c r="S108" s="22">
        <v>0</v>
      </c>
      <c r="T108" s="23">
        <v>0</v>
      </c>
      <c r="U108" s="23">
        <v>0</v>
      </c>
      <c r="V108" s="18" t="s">
        <v>44</v>
      </c>
      <c r="W108" s="18" t="s">
        <v>44</v>
      </c>
      <c r="X108" s="18" t="s">
        <v>44</v>
      </c>
      <c r="Y108" s="18" t="s">
        <v>44</v>
      </c>
      <c r="Z108" s="18" t="s">
        <v>44</v>
      </c>
      <c r="AA108" s="11" t="s">
        <v>44</v>
      </c>
      <c r="AB108" s="11" t="s">
        <v>44</v>
      </c>
      <c r="AC108" s="11" t="s">
        <v>44</v>
      </c>
      <c r="AD108" s="11" t="s">
        <v>44</v>
      </c>
      <c r="AE108" s="11" t="s">
        <v>44</v>
      </c>
      <c r="AF108" s="11" t="s">
        <v>44</v>
      </c>
      <c r="AG108" s="32"/>
      <c r="AH108">
        <v>0</v>
      </c>
      <c r="AI108">
        <v>84</v>
      </c>
      <c r="AJ108">
        <v>0</v>
      </c>
      <c r="AK108">
        <v>0</v>
      </c>
      <c r="AL108">
        <v>5</v>
      </c>
      <c r="AM108">
        <v>2</v>
      </c>
      <c r="AN108">
        <v>1</v>
      </c>
      <c r="AO108">
        <v>8</v>
      </c>
      <c r="AP108">
        <v>0</v>
      </c>
      <c r="AQ108" s="21">
        <f t="shared" si="11"/>
        <v>0</v>
      </c>
      <c r="AR108" s="12">
        <f t="shared" si="15"/>
        <v>100</v>
      </c>
      <c r="AS108">
        <v>1</v>
      </c>
      <c r="AT108">
        <v>26</v>
      </c>
      <c r="AU108">
        <v>0</v>
      </c>
      <c r="AV108" s="6">
        <v>0</v>
      </c>
      <c r="AW108" s="6">
        <v>0</v>
      </c>
      <c r="AX108">
        <v>7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 t="s">
        <v>44</v>
      </c>
      <c r="BF108" s="6" t="s">
        <v>44</v>
      </c>
      <c r="BG108" s="6" t="s">
        <v>44</v>
      </c>
      <c r="BH108" s="6" t="s">
        <v>44</v>
      </c>
      <c r="BI108" s="6" t="s">
        <v>44</v>
      </c>
      <c r="BJ108" s="6" t="s">
        <v>44</v>
      </c>
      <c r="BK108" s="6">
        <v>0</v>
      </c>
      <c r="BL108" s="6">
        <f t="shared" si="16"/>
        <v>34</v>
      </c>
      <c r="BM108" s="6">
        <f t="shared" si="12"/>
        <v>34</v>
      </c>
      <c r="BN108">
        <v>84</v>
      </c>
      <c r="BO108">
        <f t="shared" si="17"/>
        <v>84</v>
      </c>
      <c r="BP108">
        <v>0</v>
      </c>
      <c r="BQ108">
        <f>SUM(BP108,BB108,BK108)</f>
        <v>0</v>
      </c>
      <c r="BR108">
        <f t="shared" si="13"/>
        <v>0</v>
      </c>
    </row>
    <row r="109" spans="1:70" hidden="1">
      <c r="A109" s="16" t="str">
        <f t="shared" si="10"/>
        <v>CB_2024_AZ_2_3</v>
      </c>
      <c r="B109" t="s">
        <v>56</v>
      </c>
      <c r="C109">
        <v>42.839689999999997</v>
      </c>
      <c r="D109">
        <v>-124.5651</v>
      </c>
      <c r="E109" s="8">
        <v>45468</v>
      </c>
      <c r="F109">
        <v>2024</v>
      </c>
      <c r="G109" t="s">
        <v>56</v>
      </c>
      <c r="H109" t="s">
        <v>42</v>
      </c>
      <c r="I109">
        <v>2</v>
      </c>
      <c r="J109">
        <v>3</v>
      </c>
      <c r="K109" t="s">
        <v>51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2" t="s">
        <v>44</v>
      </c>
      <c r="S109" s="22">
        <v>0</v>
      </c>
      <c r="T109" s="23">
        <v>0</v>
      </c>
      <c r="U109" s="23">
        <v>0</v>
      </c>
      <c r="V109" s="18" t="s">
        <v>44</v>
      </c>
      <c r="W109" s="18" t="s">
        <v>44</v>
      </c>
      <c r="X109" s="18" t="s">
        <v>44</v>
      </c>
      <c r="Y109" s="18" t="s">
        <v>44</v>
      </c>
      <c r="Z109" s="18" t="s">
        <v>44</v>
      </c>
      <c r="AA109" s="11" t="s">
        <v>44</v>
      </c>
      <c r="AB109" s="11" t="s">
        <v>44</v>
      </c>
      <c r="AC109" s="11" t="s">
        <v>44</v>
      </c>
      <c r="AD109" s="11" t="s">
        <v>44</v>
      </c>
      <c r="AE109" s="11" t="s">
        <v>44</v>
      </c>
      <c r="AF109" s="11" t="s">
        <v>44</v>
      </c>
      <c r="AG109" s="32"/>
      <c r="AH109">
        <v>2</v>
      </c>
      <c r="AI109">
        <v>83</v>
      </c>
      <c r="AJ109">
        <v>0</v>
      </c>
      <c r="AK109">
        <v>0</v>
      </c>
      <c r="AL109">
        <v>1</v>
      </c>
      <c r="AM109">
        <v>3</v>
      </c>
      <c r="AN109">
        <v>0.1</v>
      </c>
      <c r="AO109">
        <v>10</v>
      </c>
      <c r="AP109">
        <v>1</v>
      </c>
      <c r="AQ109" s="21">
        <f t="shared" si="11"/>
        <v>1</v>
      </c>
      <c r="AR109" s="12">
        <f t="shared" si="15"/>
        <v>100.1</v>
      </c>
      <c r="AS109">
        <v>0</v>
      </c>
      <c r="AT109">
        <v>1</v>
      </c>
      <c r="AU109">
        <v>0</v>
      </c>
      <c r="AV109" s="6">
        <v>0</v>
      </c>
      <c r="AW109" s="6">
        <v>0</v>
      </c>
      <c r="AX109">
        <v>12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 t="s">
        <v>44</v>
      </c>
      <c r="BF109" s="6" t="s">
        <v>44</v>
      </c>
      <c r="BG109" s="6" t="s">
        <v>44</v>
      </c>
      <c r="BH109" s="6" t="s">
        <v>44</v>
      </c>
      <c r="BI109" s="6" t="s">
        <v>44</v>
      </c>
      <c r="BJ109" s="6" t="s">
        <v>44</v>
      </c>
      <c r="BK109" s="6">
        <v>0</v>
      </c>
      <c r="BL109" s="6">
        <f t="shared" si="16"/>
        <v>13</v>
      </c>
      <c r="BM109" s="6">
        <f t="shared" si="12"/>
        <v>13</v>
      </c>
      <c r="BN109">
        <v>83</v>
      </c>
      <c r="BO109">
        <f t="shared" si="17"/>
        <v>83</v>
      </c>
      <c r="BP109">
        <v>0</v>
      </c>
      <c r="BQ109">
        <f>SUM(BP109,BB109,BK109)</f>
        <v>0</v>
      </c>
      <c r="BR109">
        <f t="shared" si="13"/>
        <v>0</v>
      </c>
    </row>
    <row r="110" spans="1:70" hidden="1">
      <c r="A110" s="16" t="str">
        <f t="shared" si="10"/>
        <v>CB_2024_AZ_2_4</v>
      </c>
      <c r="B110" t="s">
        <v>56</v>
      </c>
      <c r="C110">
        <v>42.839689999999997</v>
      </c>
      <c r="D110">
        <v>-124.5651</v>
      </c>
      <c r="E110" s="8">
        <v>45468</v>
      </c>
      <c r="F110">
        <v>2024</v>
      </c>
      <c r="G110" t="s">
        <v>56</v>
      </c>
      <c r="H110" t="s">
        <v>42</v>
      </c>
      <c r="I110">
        <v>2</v>
      </c>
      <c r="J110">
        <v>4</v>
      </c>
      <c r="K110" t="s">
        <v>51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2" t="s">
        <v>44</v>
      </c>
      <c r="S110" s="22">
        <v>0</v>
      </c>
      <c r="T110" s="23">
        <v>0</v>
      </c>
      <c r="U110" s="23">
        <v>0</v>
      </c>
      <c r="V110" s="18" t="s">
        <v>44</v>
      </c>
      <c r="W110" s="18" t="s">
        <v>44</v>
      </c>
      <c r="X110" s="18" t="s">
        <v>44</v>
      </c>
      <c r="Y110" s="18" t="s">
        <v>44</v>
      </c>
      <c r="Z110" s="18" t="s">
        <v>44</v>
      </c>
      <c r="AA110" s="11" t="s">
        <v>44</v>
      </c>
      <c r="AB110" s="11" t="s">
        <v>44</v>
      </c>
      <c r="AC110" s="11" t="s">
        <v>44</v>
      </c>
      <c r="AD110" s="11" t="s">
        <v>44</v>
      </c>
      <c r="AE110" s="11" t="s">
        <v>44</v>
      </c>
      <c r="AF110" s="11" t="s">
        <v>44</v>
      </c>
      <c r="AG110" s="32">
        <v>0</v>
      </c>
      <c r="AH110">
        <v>0</v>
      </c>
      <c r="AI110">
        <v>86</v>
      </c>
      <c r="AJ110">
        <v>0</v>
      </c>
      <c r="AK110">
        <v>0</v>
      </c>
      <c r="AL110">
        <v>0.1</v>
      </c>
      <c r="AM110">
        <v>3</v>
      </c>
      <c r="AN110">
        <v>2</v>
      </c>
      <c r="AO110">
        <v>1</v>
      </c>
      <c r="AP110">
        <v>8</v>
      </c>
      <c r="AQ110" s="21">
        <f t="shared" si="11"/>
        <v>8</v>
      </c>
      <c r="AR110" s="12">
        <f t="shared" si="15"/>
        <v>100.1</v>
      </c>
      <c r="AS110">
        <v>0</v>
      </c>
      <c r="AT110">
        <v>0</v>
      </c>
      <c r="AU110">
        <v>4</v>
      </c>
      <c r="AV110" s="6">
        <v>0</v>
      </c>
      <c r="AW110" s="6">
        <v>0</v>
      </c>
      <c r="AX110">
        <v>48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 t="s">
        <v>44</v>
      </c>
      <c r="BF110" s="6" t="s">
        <v>44</v>
      </c>
      <c r="BG110" s="6" t="s">
        <v>44</v>
      </c>
      <c r="BH110" s="6" t="s">
        <v>44</v>
      </c>
      <c r="BI110" s="6" t="s">
        <v>44</v>
      </c>
      <c r="BJ110" s="6" t="s">
        <v>44</v>
      </c>
      <c r="BK110" s="6">
        <v>0</v>
      </c>
      <c r="BL110" s="6">
        <f t="shared" si="16"/>
        <v>48</v>
      </c>
      <c r="BM110" s="6">
        <f t="shared" si="12"/>
        <v>52</v>
      </c>
    </row>
    <row r="111" spans="1:70" hidden="1">
      <c r="A111" s="16" t="str">
        <f t="shared" si="10"/>
        <v>CB_2024_AZ_2_5</v>
      </c>
      <c r="B111" t="s">
        <v>56</v>
      </c>
      <c r="C111">
        <v>42.839689999999997</v>
      </c>
      <c r="D111">
        <v>-124.5651</v>
      </c>
      <c r="E111" s="8">
        <v>45468</v>
      </c>
      <c r="F111">
        <v>2024</v>
      </c>
      <c r="G111" t="s">
        <v>56</v>
      </c>
      <c r="H111" t="s">
        <v>42</v>
      </c>
      <c r="I111">
        <v>2</v>
      </c>
      <c r="J111">
        <v>5</v>
      </c>
      <c r="K111" t="s">
        <v>47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2" t="s">
        <v>44</v>
      </c>
      <c r="S111" s="22">
        <v>0</v>
      </c>
      <c r="T111" s="23">
        <v>0</v>
      </c>
      <c r="U111" s="23">
        <v>0</v>
      </c>
      <c r="V111" s="18" t="s">
        <v>44</v>
      </c>
      <c r="W111" s="18" t="s">
        <v>44</v>
      </c>
      <c r="X111" s="18" t="s">
        <v>44</v>
      </c>
      <c r="Y111" s="18" t="s">
        <v>44</v>
      </c>
      <c r="Z111" s="18" t="s">
        <v>44</v>
      </c>
      <c r="AA111" s="11" t="s">
        <v>44</v>
      </c>
      <c r="AB111" s="11" t="s">
        <v>44</v>
      </c>
      <c r="AC111" s="11" t="s">
        <v>44</v>
      </c>
      <c r="AD111" s="11" t="s">
        <v>44</v>
      </c>
      <c r="AE111" s="11" t="s">
        <v>44</v>
      </c>
      <c r="AF111" s="11" t="s">
        <v>44</v>
      </c>
      <c r="AG111" s="32">
        <v>0</v>
      </c>
      <c r="AH111">
        <v>0</v>
      </c>
      <c r="AI111">
        <v>90</v>
      </c>
      <c r="AJ111">
        <v>0</v>
      </c>
      <c r="AK111">
        <v>0</v>
      </c>
      <c r="AL111">
        <v>3</v>
      </c>
      <c r="AM111">
        <v>1</v>
      </c>
      <c r="AN111">
        <v>0</v>
      </c>
      <c r="AO111">
        <v>4</v>
      </c>
      <c r="AP111">
        <v>2</v>
      </c>
      <c r="AQ111" s="21">
        <f t="shared" si="11"/>
        <v>2</v>
      </c>
      <c r="AR111" s="12">
        <f t="shared" si="15"/>
        <v>100</v>
      </c>
      <c r="AS111">
        <v>6</v>
      </c>
      <c r="AT111">
        <v>0</v>
      </c>
      <c r="AU111">
        <v>10</v>
      </c>
      <c r="AV111" s="6">
        <v>0</v>
      </c>
      <c r="AW111" s="6">
        <v>0</v>
      </c>
      <c r="AX111">
        <v>40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 t="s">
        <v>44</v>
      </c>
      <c r="BF111" s="6" t="s">
        <v>44</v>
      </c>
      <c r="BG111" s="6" t="s">
        <v>44</v>
      </c>
      <c r="BH111" s="6" t="s">
        <v>44</v>
      </c>
      <c r="BI111" s="6" t="s">
        <v>44</v>
      </c>
      <c r="BJ111" s="6" t="s">
        <v>44</v>
      </c>
      <c r="BK111" s="6">
        <v>0</v>
      </c>
      <c r="BL111" s="6">
        <f t="shared" si="16"/>
        <v>46</v>
      </c>
      <c r="BM111" s="6">
        <f t="shared" si="12"/>
        <v>56</v>
      </c>
    </row>
    <row r="112" spans="1:70" hidden="1">
      <c r="A112" s="16" t="str">
        <f t="shared" si="10"/>
        <v>CB_2024_NPZ_1_1</v>
      </c>
      <c r="B112" t="s">
        <v>56</v>
      </c>
      <c r="C112">
        <v>42.839689999999997</v>
      </c>
      <c r="D112">
        <v>-124.5651</v>
      </c>
      <c r="E112" s="8">
        <v>45468</v>
      </c>
      <c r="F112">
        <v>2024</v>
      </c>
      <c r="G112" t="s">
        <v>56</v>
      </c>
      <c r="H112" t="s">
        <v>48</v>
      </c>
      <c r="I112">
        <v>1</v>
      </c>
      <c r="J112">
        <v>1</v>
      </c>
      <c r="K112" t="s">
        <v>57</v>
      </c>
      <c r="L112" s="23">
        <v>4</v>
      </c>
      <c r="M112" s="23">
        <v>0</v>
      </c>
      <c r="N112" s="23">
        <v>1</v>
      </c>
      <c r="O112" s="23">
        <v>3</v>
      </c>
      <c r="P112" s="23">
        <v>0</v>
      </c>
      <c r="Q112" s="23">
        <v>0</v>
      </c>
      <c r="R112" s="22" t="s">
        <v>44</v>
      </c>
      <c r="S112" s="22">
        <v>0</v>
      </c>
      <c r="T112" s="23">
        <v>0</v>
      </c>
      <c r="U112" s="23">
        <v>0</v>
      </c>
      <c r="Z112" s="18" t="s">
        <v>44</v>
      </c>
      <c r="AA112" s="15" t="s">
        <v>44</v>
      </c>
      <c r="AB112" s="15" t="s">
        <v>44</v>
      </c>
      <c r="AC112" s="15" t="s">
        <v>44</v>
      </c>
      <c r="AD112" s="15" t="s">
        <v>44</v>
      </c>
      <c r="AE112" s="15" t="s">
        <v>44</v>
      </c>
      <c r="AF112" s="11" t="s">
        <v>44</v>
      </c>
      <c r="AG112" s="32"/>
      <c r="AH112">
        <v>1</v>
      </c>
      <c r="AI112">
        <v>9</v>
      </c>
      <c r="AJ112">
        <v>0.1</v>
      </c>
      <c r="AK112">
        <v>0</v>
      </c>
      <c r="AL112">
        <v>8</v>
      </c>
      <c r="AM112">
        <v>0</v>
      </c>
      <c r="AN112">
        <v>2</v>
      </c>
      <c r="AO112">
        <v>18</v>
      </c>
      <c r="AP112">
        <v>62</v>
      </c>
      <c r="AQ112" s="21">
        <f t="shared" si="11"/>
        <v>62</v>
      </c>
      <c r="AR112" s="12">
        <f t="shared" si="15"/>
        <v>100.1</v>
      </c>
      <c r="AS112">
        <v>4</v>
      </c>
      <c r="AT112">
        <v>0</v>
      </c>
      <c r="AU112">
        <v>0</v>
      </c>
      <c r="AV112" s="6">
        <v>0</v>
      </c>
      <c r="AW112" s="6">
        <v>0</v>
      </c>
      <c r="AX112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 t="s">
        <v>44</v>
      </c>
      <c r="BF112" s="6" t="s">
        <v>44</v>
      </c>
      <c r="BG112" s="6" t="s">
        <v>44</v>
      </c>
      <c r="BH112" s="6" t="s">
        <v>44</v>
      </c>
      <c r="BI112" s="6" t="s">
        <v>44</v>
      </c>
      <c r="BJ112" s="6" t="s">
        <v>44</v>
      </c>
      <c r="BK112" s="6">
        <v>0</v>
      </c>
      <c r="BL112" s="6">
        <f t="shared" si="16"/>
        <v>4</v>
      </c>
      <c r="BM112" s="6">
        <f t="shared" si="12"/>
        <v>4</v>
      </c>
      <c r="BN112">
        <v>9</v>
      </c>
      <c r="BO112">
        <f t="shared" si="17"/>
        <v>9</v>
      </c>
      <c r="BP112">
        <v>0.1</v>
      </c>
      <c r="BQ112">
        <f>SUM(BP112,BB112,BK112)</f>
        <v>0.1</v>
      </c>
      <c r="BR112">
        <f t="shared" si="13"/>
        <v>0</v>
      </c>
    </row>
    <row r="113" spans="1:70" hidden="1">
      <c r="A113" s="16" t="str">
        <f t="shared" si="10"/>
        <v>CB_2024_NPZ_1_2</v>
      </c>
      <c r="B113" t="s">
        <v>56</v>
      </c>
      <c r="C113">
        <v>42.839689999999997</v>
      </c>
      <c r="D113">
        <v>-124.5651</v>
      </c>
      <c r="E113" s="8">
        <v>45468</v>
      </c>
      <c r="F113">
        <v>2024</v>
      </c>
      <c r="G113" t="s">
        <v>56</v>
      </c>
      <c r="H113" t="s">
        <v>48</v>
      </c>
      <c r="I113">
        <v>1</v>
      </c>
      <c r="J113">
        <v>2</v>
      </c>
      <c r="K113" t="s">
        <v>47</v>
      </c>
      <c r="L113" s="23">
        <v>14</v>
      </c>
      <c r="M113" s="23">
        <v>1</v>
      </c>
      <c r="N113" s="23">
        <v>3</v>
      </c>
      <c r="O113" s="23">
        <v>10</v>
      </c>
      <c r="P113" s="23">
        <v>1</v>
      </c>
      <c r="Q113" s="23">
        <v>0</v>
      </c>
      <c r="R113" s="22" t="s">
        <v>44</v>
      </c>
      <c r="S113" s="22">
        <v>0</v>
      </c>
      <c r="T113" s="23">
        <v>0</v>
      </c>
      <c r="U113" s="23">
        <v>1</v>
      </c>
      <c r="V113" s="18">
        <v>6.7</v>
      </c>
      <c r="W113" s="18">
        <v>5.2</v>
      </c>
      <c r="X113" s="18">
        <v>6.3</v>
      </c>
      <c r="Y113" s="18">
        <v>6.9</v>
      </c>
      <c r="Z113" s="18">
        <v>6.2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1">
        <f t="shared" si="14"/>
        <v>0</v>
      </c>
      <c r="AG113" s="32"/>
      <c r="AH113">
        <v>0</v>
      </c>
      <c r="AI113">
        <v>1</v>
      </c>
      <c r="AJ113">
        <v>0</v>
      </c>
      <c r="AK113">
        <v>0</v>
      </c>
      <c r="AL113">
        <v>12</v>
      </c>
      <c r="AM113">
        <v>9</v>
      </c>
      <c r="AN113">
        <v>2</v>
      </c>
      <c r="AO113">
        <v>10</v>
      </c>
      <c r="AP113">
        <v>66</v>
      </c>
      <c r="AQ113" s="21">
        <f t="shared" si="11"/>
        <v>66</v>
      </c>
      <c r="AR113" s="12">
        <f t="shared" si="15"/>
        <v>100</v>
      </c>
      <c r="AS113">
        <v>0</v>
      </c>
      <c r="AT113">
        <v>0</v>
      </c>
      <c r="AU113">
        <v>0</v>
      </c>
      <c r="AV113" s="6">
        <v>0</v>
      </c>
      <c r="AW113" s="6">
        <v>0</v>
      </c>
      <c r="AX113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 t="s">
        <v>44</v>
      </c>
      <c r="BF113" s="6" t="s">
        <v>44</v>
      </c>
      <c r="BG113" s="6" t="s">
        <v>44</v>
      </c>
      <c r="BH113" s="6" t="s">
        <v>44</v>
      </c>
      <c r="BI113" s="6" t="s">
        <v>44</v>
      </c>
      <c r="BJ113" s="6" t="s">
        <v>44</v>
      </c>
      <c r="BK113" s="6">
        <v>0</v>
      </c>
      <c r="BL113" s="6">
        <f t="shared" si="16"/>
        <v>0</v>
      </c>
      <c r="BM113" s="6">
        <f t="shared" si="12"/>
        <v>0</v>
      </c>
      <c r="BN113">
        <v>1</v>
      </c>
      <c r="BO113">
        <f t="shared" si="17"/>
        <v>1</v>
      </c>
      <c r="BP113">
        <v>0</v>
      </c>
      <c r="BQ113">
        <f>SUM(BP113,BB113,BK113)</f>
        <v>0</v>
      </c>
      <c r="BR113">
        <f t="shared" si="13"/>
        <v>0</v>
      </c>
    </row>
    <row r="114" spans="1:70" hidden="1">
      <c r="A114" s="16" t="str">
        <f t="shared" si="10"/>
        <v>CB_2024_NPZ_1_3</v>
      </c>
      <c r="B114" t="s">
        <v>56</v>
      </c>
      <c r="C114">
        <v>42.839689999999997</v>
      </c>
      <c r="D114">
        <v>-124.5651</v>
      </c>
      <c r="E114" s="8">
        <v>45468</v>
      </c>
      <c r="F114">
        <v>2024</v>
      </c>
      <c r="G114" t="s">
        <v>56</v>
      </c>
      <c r="H114" t="s">
        <v>48</v>
      </c>
      <c r="I114">
        <v>1</v>
      </c>
      <c r="J114">
        <v>3</v>
      </c>
      <c r="K114" t="s">
        <v>57</v>
      </c>
      <c r="L114" s="23">
        <v>3</v>
      </c>
      <c r="M114" s="23">
        <v>0</v>
      </c>
      <c r="N114" s="23">
        <v>3</v>
      </c>
      <c r="O114" s="23">
        <v>0</v>
      </c>
      <c r="P114" s="23">
        <v>0</v>
      </c>
      <c r="Q114" s="23">
        <v>0</v>
      </c>
      <c r="R114" s="22" t="s">
        <v>44</v>
      </c>
      <c r="S114" s="22">
        <v>0</v>
      </c>
      <c r="T114" s="23">
        <v>1</v>
      </c>
      <c r="U114" s="23">
        <v>1</v>
      </c>
      <c r="V114" s="18">
        <v>6.6</v>
      </c>
      <c r="W114" s="18">
        <v>5.8</v>
      </c>
      <c r="X114" s="18">
        <v>5.2</v>
      </c>
      <c r="Y114" s="18">
        <v>5.4</v>
      </c>
      <c r="Z114" s="18">
        <v>5.4</v>
      </c>
      <c r="AA114" s="15">
        <v>0</v>
      </c>
      <c r="AB114" s="15">
        <v>1</v>
      </c>
      <c r="AC114" s="15">
        <v>0</v>
      </c>
      <c r="AD114" s="15">
        <v>0</v>
      </c>
      <c r="AE114" s="15">
        <v>0</v>
      </c>
      <c r="AF114" s="11">
        <f t="shared" si="14"/>
        <v>1</v>
      </c>
      <c r="AG114" s="32"/>
      <c r="AH114">
        <v>0</v>
      </c>
      <c r="AI114">
        <v>4</v>
      </c>
      <c r="AJ114">
        <v>1</v>
      </c>
      <c r="AK114">
        <v>0</v>
      </c>
      <c r="AL114">
        <v>13</v>
      </c>
      <c r="AM114">
        <v>9</v>
      </c>
      <c r="AN114">
        <v>4</v>
      </c>
      <c r="AO114">
        <v>3</v>
      </c>
      <c r="AP114">
        <v>66</v>
      </c>
      <c r="AQ114" s="21">
        <f t="shared" si="11"/>
        <v>66</v>
      </c>
      <c r="AR114" s="12">
        <f t="shared" si="15"/>
        <v>100</v>
      </c>
      <c r="AS114">
        <v>0</v>
      </c>
      <c r="AT114">
        <v>0</v>
      </c>
      <c r="AU114">
        <v>0</v>
      </c>
      <c r="AV114" s="6">
        <v>0</v>
      </c>
      <c r="AW114" s="6">
        <v>0</v>
      </c>
      <c r="AX114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 t="s">
        <v>44</v>
      </c>
      <c r="BF114" s="6" t="s">
        <v>44</v>
      </c>
      <c r="BG114" s="6" t="s">
        <v>44</v>
      </c>
      <c r="BH114" s="6" t="s">
        <v>44</v>
      </c>
      <c r="BI114" s="6" t="s">
        <v>44</v>
      </c>
      <c r="BJ114" s="6" t="s">
        <v>44</v>
      </c>
      <c r="BK114" s="6">
        <v>0</v>
      </c>
      <c r="BL114" s="6">
        <f t="shared" si="16"/>
        <v>0</v>
      </c>
      <c r="BM114" s="6">
        <f t="shared" si="12"/>
        <v>0</v>
      </c>
      <c r="BN114">
        <v>4</v>
      </c>
      <c r="BO114">
        <f t="shared" si="17"/>
        <v>4</v>
      </c>
      <c r="BP114">
        <v>1</v>
      </c>
      <c r="BQ114">
        <f>SUM(BP114,BB114,BK114)</f>
        <v>1</v>
      </c>
      <c r="BR114">
        <f t="shared" si="13"/>
        <v>0</v>
      </c>
    </row>
    <row r="115" spans="1:70" hidden="1">
      <c r="A115" s="16" t="str">
        <f t="shared" si="10"/>
        <v>CB_2024_NPZ_1_4</v>
      </c>
      <c r="B115" t="s">
        <v>56</v>
      </c>
      <c r="C115">
        <v>42.839689999999997</v>
      </c>
      <c r="D115">
        <v>-124.5651</v>
      </c>
      <c r="E115" s="8">
        <v>45468</v>
      </c>
      <c r="F115">
        <v>2024</v>
      </c>
      <c r="G115" t="s">
        <v>56</v>
      </c>
      <c r="H115" t="s">
        <v>48</v>
      </c>
      <c r="I115">
        <v>1</v>
      </c>
      <c r="J115">
        <v>4</v>
      </c>
      <c r="K115" t="s">
        <v>47</v>
      </c>
      <c r="L115" s="23">
        <v>7</v>
      </c>
      <c r="M115" s="23">
        <v>0</v>
      </c>
      <c r="N115" s="23">
        <v>7</v>
      </c>
      <c r="O115" s="23">
        <v>0</v>
      </c>
      <c r="P115" s="23">
        <v>0</v>
      </c>
      <c r="Q115" s="23">
        <v>0</v>
      </c>
      <c r="R115" s="22" t="s">
        <v>44</v>
      </c>
      <c r="S115" s="22">
        <v>0</v>
      </c>
      <c r="T115" s="23">
        <v>0</v>
      </c>
      <c r="U115" s="23">
        <v>0</v>
      </c>
      <c r="V115" s="18">
        <v>7.7</v>
      </c>
      <c r="W115" s="18">
        <v>8.3000000000000007</v>
      </c>
      <c r="X115" s="18">
        <v>5.3</v>
      </c>
      <c r="Y115" s="18">
        <v>5.9</v>
      </c>
      <c r="Z115" s="18">
        <v>6.2</v>
      </c>
      <c r="AA115" s="15">
        <v>0</v>
      </c>
      <c r="AB115" s="15">
        <v>1</v>
      </c>
      <c r="AC115" s="15">
        <v>0</v>
      </c>
      <c r="AD115" s="15">
        <v>0</v>
      </c>
      <c r="AE115" s="15">
        <v>0</v>
      </c>
      <c r="AF115" s="11">
        <f t="shared" si="14"/>
        <v>1</v>
      </c>
      <c r="AG115" s="32"/>
      <c r="AH115">
        <v>0</v>
      </c>
      <c r="AI115">
        <v>16</v>
      </c>
      <c r="AJ115">
        <v>0</v>
      </c>
      <c r="AK115">
        <v>0</v>
      </c>
      <c r="AL115">
        <v>16</v>
      </c>
      <c r="AM115">
        <v>5</v>
      </c>
      <c r="AN115">
        <v>2</v>
      </c>
      <c r="AO115">
        <v>45</v>
      </c>
      <c r="AP115">
        <v>16</v>
      </c>
      <c r="AQ115" s="21">
        <f t="shared" si="11"/>
        <v>16</v>
      </c>
      <c r="AR115" s="12">
        <f t="shared" si="15"/>
        <v>100</v>
      </c>
      <c r="AS115">
        <v>0</v>
      </c>
      <c r="AT115">
        <v>0</v>
      </c>
      <c r="AU115">
        <v>0</v>
      </c>
      <c r="AV115" s="6">
        <v>0</v>
      </c>
      <c r="AW115" s="6">
        <v>0</v>
      </c>
      <c r="AX115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 t="s">
        <v>44</v>
      </c>
      <c r="BF115" s="6" t="s">
        <v>44</v>
      </c>
      <c r="BG115" s="6" t="s">
        <v>44</v>
      </c>
      <c r="BH115" s="6" t="s">
        <v>44</v>
      </c>
      <c r="BI115" s="6" t="s">
        <v>44</v>
      </c>
      <c r="BJ115" s="6" t="s">
        <v>44</v>
      </c>
      <c r="BK115" s="6">
        <v>0</v>
      </c>
      <c r="BL115" s="6">
        <f t="shared" si="16"/>
        <v>0</v>
      </c>
      <c r="BM115" s="6">
        <f t="shared" si="12"/>
        <v>0</v>
      </c>
      <c r="BN115">
        <v>16</v>
      </c>
      <c r="BO115">
        <f t="shared" si="17"/>
        <v>16</v>
      </c>
      <c r="BP115">
        <v>0</v>
      </c>
      <c r="BQ115">
        <f>SUM(BP115,BB115,BK115)</f>
        <v>0</v>
      </c>
      <c r="BR115">
        <f t="shared" si="13"/>
        <v>0</v>
      </c>
    </row>
    <row r="116" spans="1:70" hidden="1">
      <c r="A116" s="16" t="str">
        <f t="shared" si="10"/>
        <v>CB_2024_NPZ_1_5</v>
      </c>
      <c r="B116" t="s">
        <v>56</v>
      </c>
      <c r="C116">
        <v>42.839689999999997</v>
      </c>
      <c r="D116">
        <v>-124.5651</v>
      </c>
      <c r="E116" s="8">
        <v>45468</v>
      </c>
      <c r="F116">
        <v>2024</v>
      </c>
      <c r="G116" t="s">
        <v>56</v>
      </c>
      <c r="H116" t="s">
        <v>48</v>
      </c>
      <c r="I116">
        <v>1</v>
      </c>
      <c r="J116">
        <v>5</v>
      </c>
      <c r="K116" t="s">
        <v>56</v>
      </c>
      <c r="L116" s="23">
        <v>20</v>
      </c>
      <c r="M116" s="23">
        <v>0</v>
      </c>
      <c r="N116" s="23">
        <v>20</v>
      </c>
      <c r="O116" s="23">
        <v>0</v>
      </c>
      <c r="P116" s="23">
        <v>0</v>
      </c>
      <c r="Q116" s="23">
        <v>0</v>
      </c>
      <c r="R116" s="22" t="s">
        <v>44</v>
      </c>
      <c r="S116" s="22">
        <v>0</v>
      </c>
      <c r="T116" s="23">
        <v>0</v>
      </c>
      <c r="U116" s="23">
        <v>0</v>
      </c>
      <c r="V116" s="18">
        <v>5.5</v>
      </c>
      <c r="W116" s="18">
        <v>5.3</v>
      </c>
      <c r="X116" s="18">
        <v>5.8</v>
      </c>
      <c r="Y116" s="18">
        <v>3.7</v>
      </c>
      <c r="Z116" s="18">
        <v>3.9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1">
        <f t="shared" si="14"/>
        <v>0</v>
      </c>
      <c r="AG116" s="32"/>
      <c r="AH116">
        <v>0</v>
      </c>
      <c r="AI116">
        <v>0</v>
      </c>
      <c r="AJ116">
        <v>0.1</v>
      </c>
      <c r="AK116">
        <v>0</v>
      </c>
      <c r="AL116">
        <v>4</v>
      </c>
      <c r="AM116">
        <v>5</v>
      </c>
      <c r="AN116">
        <v>0</v>
      </c>
      <c r="AO116">
        <v>10</v>
      </c>
      <c r="AP116">
        <v>81</v>
      </c>
      <c r="AQ116" s="21">
        <f t="shared" si="11"/>
        <v>81</v>
      </c>
      <c r="AR116" s="12">
        <f t="shared" si="15"/>
        <v>100.1</v>
      </c>
      <c r="AS116">
        <v>0</v>
      </c>
      <c r="AT116">
        <v>0</v>
      </c>
      <c r="AU116">
        <v>0</v>
      </c>
      <c r="AV116" s="6">
        <v>0</v>
      </c>
      <c r="AW116" s="6">
        <v>0</v>
      </c>
      <c r="AX11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 t="s">
        <v>44</v>
      </c>
      <c r="BF116" s="6" t="s">
        <v>44</v>
      </c>
      <c r="BG116" s="6" t="s">
        <v>44</v>
      </c>
      <c r="BH116" s="6" t="s">
        <v>44</v>
      </c>
      <c r="BI116" s="6" t="s">
        <v>44</v>
      </c>
      <c r="BJ116" s="6" t="s">
        <v>44</v>
      </c>
      <c r="BK116" s="6">
        <v>0</v>
      </c>
      <c r="BL116" s="6">
        <f t="shared" si="16"/>
        <v>0</v>
      </c>
      <c r="BM116" s="6">
        <f t="shared" si="12"/>
        <v>0</v>
      </c>
      <c r="BN116">
        <v>0</v>
      </c>
      <c r="BO116">
        <f t="shared" si="17"/>
        <v>0</v>
      </c>
      <c r="BP116">
        <v>0.1</v>
      </c>
      <c r="BQ116">
        <f>SUM(BP116,BB116,BK116)</f>
        <v>0.1</v>
      </c>
      <c r="BR116">
        <f t="shared" si="13"/>
        <v>0</v>
      </c>
    </row>
    <row r="117" spans="1:70">
      <c r="A117" s="16" t="str">
        <f t="shared" si="10"/>
        <v>CB_2024_NPZ_2_1</v>
      </c>
      <c r="B117" t="s">
        <v>56</v>
      </c>
      <c r="C117">
        <v>42.839689999999997</v>
      </c>
      <c r="D117">
        <v>-124.5651</v>
      </c>
      <c r="E117" s="8">
        <v>45497</v>
      </c>
      <c r="F117">
        <v>2024</v>
      </c>
      <c r="G117" t="s">
        <v>56</v>
      </c>
      <c r="H117" t="s">
        <v>48</v>
      </c>
      <c r="I117">
        <v>2</v>
      </c>
      <c r="J117">
        <v>1</v>
      </c>
      <c r="K117" t="s">
        <v>47</v>
      </c>
      <c r="L117" s="23">
        <v>13</v>
      </c>
      <c r="M117" s="23">
        <v>3</v>
      </c>
      <c r="N117" s="23">
        <v>6</v>
      </c>
      <c r="O117" s="23">
        <v>4</v>
      </c>
      <c r="P117" s="23">
        <v>0</v>
      </c>
      <c r="Q117" s="23">
        <v>0</v>
      </c>
      <c r="R117" s="22" t="s">
        <v>44</v>
      </c>
      <c r="S117" s="22">
        <v>0</v>
      </c>
      <c r="T117" s="23">
        <v>4</v>
      </c>
      <c r="U117" s="23">
        <v>7</v>
      </c>
      <c r="V117" s="18">
        <v>8</v>
      </c>
      <c r="W117" s="18">
        <v>3</v>
      </c>
      <c r="X117" s="18">
        <v>8.1</v>
      </c>
      <c r="Y117" s="18">
        <v>7.6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1">
        <f t="shared" si="14"/>
        <v>0</v>
      </c>
      <c r="AG117" s="32"/>
      <c r="AH117">
        <v>0</v>
      </c>
      <c r="AI117">
        <v>1</v>
      </c>
      <c r="AJ117">
        <v>5</v>
      </c>
      <c r="AK117">
        <v>0</v>
      </c>
      <c r="AL117">
        <v>10</v>
      </c>
      <c r="AM117">
        <v>9</v>
      </c>
      <c r="AN117">
        <v>1</v>
      </c>
      <c r="AO117">
        <v>3</v>
      </c>
      <c r="AP117">
        <v>71</v>
      </c>
      <c r="AQ117" s="21">
        <f t="shared" si="11"/>
        <v>71</v>
      </c>
      <c r="AR117" s="12">
        <f t="shared" si="15"/>
        <v>100</v>
      </c>
      <c r="AS117">
        <v>0</v>
      </c>
      <c r="AT117">
        <v>0</v>
      </c>
      <c r="AU117">
        <v>0</v>
      </c>
      <c r="AV117" s="6">
        <v>0</v>
      </c>
      <c r="AW117" s="6">
        <v>0</v>
      </c>
      <c r="AX117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 t="s">
        <v>44</v>
      </c>
      <c r="BF117" s="6" t="s">
        <v>44</v>
      </c>
      <c r="BG117" s="6" t="s">
        <v>44</v>
      </c>
      <c r="BH117" s="6" t="s">
        <v>44</v>
      </c>
      <c r="BI117" s="6" t="s">
        <v>44</v>
      </c>
      <c r="BJ117" s="6" t="s">
        <v>44</v>
      </c>
      <c r="BK117">
        <v>69</v>
      </c>
      <c r="BL117" s="6">
        <f t="shared" si="16"/>
        <v>0</v>
      </c>
      <c r="BM117" s="6">
        <f t="shared" si="12"/>
        <v>0</v>
      </c>
      <c r="BN117">
        <v>1</v>
      </c>
      <c r="BO117">
        <f t="shared" si="17"/>
        <v>1</v>
      </c>
      <c r="BP117">
        <v>0</v>
      </c>
    </row>
    <row r="118" spans="1:70">
      <c r="A118" s="16" t="str">
        <f t="shared" si="10"/>
        <v>CB_2024_NPZ_2_2</v>
      </c>
      <c r="B118" t="s">
        <v>56</v>
      </c>
      <c r="C118">
        <v>42.839689999999997</v>
      </c>
      <c r="D118">
        <v>-124.5651</v>
      </c>
      <c r="E118" s="8">
        <v>45497</v>
      </c>
      <c r="F118">
        <v>2024</v>
      </c>
      <c r="G118" t="s">
        <v>56</v>
      </c>
      <c r="H118" t="s">
        <v>48</v>
      </c>
      <c r="I118">
        <v>2</v>
      </c>
      <c r="J118">
        <v>2</v>
      </c>
      <c r="K118" t="s">
        <v>51</v>
      </c>
      <c r="L118" s="23">
        <v>5</v>
      </c>
      <c r="M118" s="23">
        <v>0</v>
      </c>
      <c r="N118" s="23">
        <v>0</v>
      </c>
      <c r="O118" s="23">
        <v>5</v>
      </c>
      <c r="P118" s="23">
        <v>0</v>
      </c>
      <c r="Q118" s="23">
        <v>0</v>
      </c>
      <c r="R118" s="22" t="s">
        <v>44</v>
      </c>
      <c r="S118" s="22">
        <v>0</v>
      </c>
      <c r="T118" s="23">
        <v>0</v>
      </c>
      <c r="U118" s="23">
        <v>0</v>
      </c>
      <c r="V118" s="18">
        <v>8.8000000000000007</v>
      </c>
      <c r="W118" s="18">
        <v>7.2</v>
      </c>
      <c r="X118" s="18">
        <v>6</v>
      </c>
      <c r="Y118" s="18">
        <v>8</v>
      </c>
      <c r="Z118" s="18">
        <v>7.8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1">
        <f t="shared" si="14"/>
        <v>0</v>
      </c>
      <c r="AG118" s="32"/>
      <c r="AH118">
        <v>0</v>
      </c>
      <c r="AI118">
        <v>0</v>
      </c>
      <c r="AJ118">
        <v>10</v>
      </c>
      <c r="AK118">
        <v>0</v>
      </c>
      <c r="AL118">
        <v>9</v>
      </c>
      <c r="AM118">
        <v>3</v>
      </c>
      <c r="AN118">
        <v>2</v>
      </c>
      <c r="AO118">
        <v>0</v>
      </c>
      <c r="AP118">
        <v>76</v>
      </c>
      <c r="AQ118" s="21">
        <f t="shared" si="11"/>
        <v>76</v>
      </c>
      <c r="AR118" s="12">
        <f t="shared" si="15"/>
        <v>100</v>
      </c>
      <c r="AS118">
        <v>0</v>
      </c>
      <c r="AT118">
        <v>0</v>
      </c>
      <c r="AU118">
        <v>0</v>
      </c>
      <c r="AV118" s="6">
        <v>0</v>
      </c>
      <c r="AW118" s="6">
        <v>0</v>
      </c>
      <c r="AX118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 t="s">
        <v>44</v>
      </c>
      <c r="BF118" s="6" t="s">
        <v>44</v>
      </c>
      <c r="BG118" s="6" t="s">
        <v>44</v>
      </c>
      <c r="BH118" s="6" t="s">
        <v>44</v>
      </c>
      <c r="BI118" s="6" t="s">
        <v>44</v>
      </c>
      <c r="BJ118" s="6" t="s">
        <v>44</v>
      </c>
      <c r="BK118">
        <v>85</v>
      </c>
      <c r="BL118" s="6">
        <f t="shared" si="16"/>
        <v>0</v>
      </c>
      <c r="BM118" s="6">
        <f t="shared" si="12"/>
        <v>0</v>
      </c>
      <c r="BN118">
        <v>0</v>
      </c>
      <c r="BO118">
        <f t="shared" si="17"/>
        <v>0</v>
      </c>
    </row>
    <row r="119" spans="1:70">
      <c r="A119" s="16" t="str">
        <f t="shared" si="10"/>
        <v>CB_2024_NPZ_2_3</v>
      </c>
      <c r="B119" t="s">
        <v>56</v>
      </c>
      <c r="C119">
        <v>42.839689999999997</v>
      </c>
      <c r="D119">
        <v>-124.5651</v>
      </c>
      <c r="E119" s="8">
        <v>45497</v>
      </c>
      <c r="F119">
        <v>2024</v>
      </c>
      <c r="G119" t="s">
        <v>56</v>
      </c>
      <c r="H119" t="s">
        <v>48</v>
      </c>
      <c r="I119">
        <v>2</v>
      </c>
      <c r="J119">
        <v>3</v>
      </c>
      <c r="K119" t="s">
        <v>47</v>
      </c>
      <c r="L119" s="23">
        <v>4</v>
      </c>
      <c r="M119" s="23">
        <v>1</v>
      </c>
      <c r="N119" s="23">
        <v>2</v>
      </c>
      <c r="O119" s="23">
        <v>1</v>
      </c>
      <c r="P119" s="23">
        <v>0</v>
      </c>
      <c r="Q119" s="23">
        <v>0</v>
      </c>
      <c r="R119" s="22" t="s">
        <v>44</v>
      </c>
      <c r="S119" s="22">
        <v>0</v>
      </c>
      <c r="T119" s="23">
        <v>0</v>
      </c>
      <c r="U119" s="23">
        <v>1</v>
      </c>
      <c r="V119" s="18">
        <v>7.9</v>
      </c>
      <c r="W119" s="18">
        <v>6.6</v>
      </c>
      <c r="X119" s="18">
        <v>7.5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1">
        <f t="shared" si="14"/>
        <v>0</v>
      </c>
      <c r="AG119" s="32"/>
      <c r="AH119">
        <v>2</v>
      </c>
      <c r="AI119">
        <v>0</v>
      </c>
      <c r="AJ119">
        <v>15</v>
      </c>
      <c r="AK119">
        <v>0</v>
      </c>
      <c r="AL119">
        <v>21</v>
      </c>
      <c r="AM119">
        <v>14</v>
      </c>
      <c r="AN119">
        <v>2</v>
      </c>
      <c r="AO119">
        <v>0</v>
      </c>
      <c r="AP119">
        <v>46</v>
      </c>
      <c r="AQ119" s="21">
        <f t="shared" si="11"/>
        <v>46</v>
      </c>
      <c r="AR119" s="12">
        <f t="shared" si="15"/>
        <v>100</v>
      </c>
      <c r="AS119">
        <v>0</v>
      </c>
      <c r="AT119">
        <v>0</v>
      </c>
      <c r="AU119">
        <v>0</v>
      </c>
      <c r="AV119" s="6">
        <v>0</v>
      </c>
      <c r="AW119">
        <v>4</v>
      </c>
      <c r="AX119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 t="s">
        <v>44</v>
      </c>
      <c r="BF119" s="6" t="s">
        <v>44</v>
      </c>
      <c r="BG119" s="6" t="s">
        <v>44</v>
      </c>
      <c r="BH119" s="6" t="s">
        <v>44</v>
      </c>
      <c r="BI119" s="6" t="s">
        <v>44</v>
      </c>
      <c r="BJ119" s="6" t="s">
        <v>44</v>
      </c>
      <c r="BK119">
        <v>63</v>
      </c>
      <c r="BL119" s="6">
        <f t="shared" si="16"/>
        <v>4</v>
      </c>
      <c r="BM119" s="6">
        <f t="shared" si="12"/>
        <v>4</v>
      </c>
      <c r="BN119">
        <v>0</v>
      </c>
      <c r="BO119">
        <f t="shared" si="17"/>
        <v>0</v>
      </c>
      <c r="BP119">
        <v>0</v>
      </c>
    </row>
    <row r="120" spans="1:70">
      <c r="A120" s="16" t="str">
        <f t="shared" si="10"/>
        <v>CB_2024_NPZ_2_4</v>
      </c>
      <c r="B120" t="s">
        <v>56</v>
      </c>
      <c r="C120">
        <v>42.839689999999997</v>
      </c>
      <c r="D120">
        <v>-124.5651</v>
      </c>
      <c r="E120" s="8">
        <v>45497</v>
      </c>
      <c r="F120">
        <v>2024</v>
      </c>
      <c r="G120" t="s">
        <v>56</v>
      </c>
      <c r="H120" t="s">
        <v>48</v>
      </c>
      <c r="I120">
        <v>2</v>
      </c>
      <c r="J120">
        <v>4</v>
      </c>
      <c r="K120" t="s">
        <v>57</v>
      </c>
      <c r="L120" s="23">
        <v>12</v>
      </c>
      <c r="M120" s="23">
        <v>0</v>
      </c>
      <c r="N120" s="23">
        <v>3</v>
      </c>
      <c r="O120" s="23">
        <v>9</v>
      </c>
      <c r="P120" s="23">
        <v>1</v>
      </c>
      <c r="Q120" s="23">
        <v>0</v>
      </c>
      <c r="R120" s="22" t="s">
        <v>44</v>
      </c>
      <c r="S120" s="22">
        <v>0</v>
      </c>
      <c r="T120" s="23">
        <v>0</v>
      </c>
      <c r="U120" s="23">
        <v>0</v>
      </c>
      <c r="V120" s="18">
        <v>10</v>
      </c>
      <c r="W120" s="18">
        <v>7.6</v>
      </c>
      <c r="X120" s="18">
        <v>9</v>
      </c>
      <c r="Y120" s="18">
        <v>7.3</v>
      </c>
      <c r="Z120" s="18">
        <v>8.1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1">
        <f t="shared" si="14"/>
        <v>0</v>
      </c>
      <c r="AG120" s="32"/>
      <c r="AH120">
        <v>2</v>
      </c>
      <c r="AI120">
        <v>0</v>
      </c>
      <c r="AJ120">
        <v>20</v>
      </c>
      <c r="AK120">
        <v>0</v>
      </c>
      <c r="AL120">
        <v>6</v>
      </c>
      <c r="AM120">
        <v>3</v>
      </c>
      <c r="AN120">
        <v>0.1</v>
      </c>
      <c r="AO120">
        <v>7</v>
      </c>
      <c r="AP120">
        <v>62</v>
      </c>
      <c r="AQ120" s="21">
        <f t="shared" si="11"/>
        <v>62</v>
      </c>
      <c r="AR120" s="12">
        <f t="shared" si="15"/>
        <v>100.1</v>
      </c>
      <c r="AS120">
        <v>0</v>
      </c>
      <c r="AT120">
        <v>0</v>
      </c>
      <c r="AU120">
        <v>0</v>
      </c>
      <c r="AV120" s="6">
        <v>0</v>
      </c>
      <c r="AW120" s="6">
        <v>0</v>
      </c>
      <c r="AX120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 t="s">
        <v>44</v>
      </c>
      <c r="BF120" s="6" t="s">
        <v>44</v>
      </c>
      <c r="BG120" s="6" t="s">
        <v>44</v>
      </c>
      <c r="BH120" s="6" t="s">
        <v>44</v>
      </c>
      <c r="BI120" s="6" t="s">
        <v>44</v>
      </c>
      <c r="BJ120" s="6" t="s">
        <v>44</v>
      </c>
      <c r="BK120">
        <v>79</v>
      </c>
      <c r="BL120" s="6">
        <f t="shared" si="16"/>
        <v>0</v>
      </c>
      <c r="BM120" s="6">
        <f t="shared" si="12"/>
        <v>0</v>
      </c>
      <c r="BN120">
        <v>0</v>
      </c>
      <c r="BO120">
        <f t="shared" si="17"/>
        <v>0</v>
      </c>
      <c r="BP120">
        <v>0</v>
      </c>
    </row>
    <row r="121" spans="1:70">
      <c r="A121" s="16" t="str">
        <f t="shared" si="10"/>
        <v>CB_2024_NPZ_2_5</v>
      </c>
      <c r="B121" t="s">
        <v>56</v>
      </c>
      <c r="C121">
        <v>42.839689999999997</v>
      </c>
      <c r="D121">
        <v>-124.5651</v>
      </c>
      <c r="E121" s="8">
        <v>45497</v>
      </c>
      <c r="F121">
        <v>2024</v>
      </c>
      <c r="G121" t="s">
        <v>56</v>
      </c>
      <c r="H121" t="s">
        <v>48</v>
      </c>
      <c r="I121">
        <v>2</v>
      </c>
      <c r="J121">
        <v>5</v>
      </c>
      <c r="K121" t="s">
        <v>46</v>
      </c>
      <c r="L121" s="23">
        <v>12</v>
      </c>
      <c r="M121" s="23">
        <v>3</v>
      </c>
      <c r="N121" s="23">
        <v>4</v>
      </c>
      <c r="O121" s="23">
        <v>5</v>
      </c>
      <c r="P121" s="23">
        <v>9</v>
      </c>
      <c r="Q121" s="23">
        <v>3</v>
      </c>
      <c r="R121" s="22" t="s">
        <v>44</v>
      </c>
      <c r="S121" s="22">
        <v>0</v>
      </c>
      <c r="T121" s="23">
        <v>7</v>
      </c>
      <c r="U121" s="23">
        <v>10</v>
      </c>
      <c r="V121" s="18">
        <v>7</v>
      </c>
      <c r="W121" s="18">
        <v>6.6</v>
      </c>
      <c r="X121" s="18">
        <v>3.1</v>
      </c>
      <c r="Y121" s="18">
        <v>7</v>
      </c>
      <c r="AA121" s="15">
        <v>0</v>
      </c>
      <c r="AB121" s="15">
        <v>0</v>
      </c>
      <c r="AC121" s="15">
        <v>0</v>
      </c>
      <c r="AD121" s="15">
        <v>0</v>
      </c>
      <c r="AE121" s="15">
        <v>1</v>
      </c>
      <c r="AF121" s="11">
        <f t="shared" si="14"/>
        <v>1</v>
      </c>
      <c r="AG121" s="32"/>
      <c r="AH121">
        <v>3</v>
      </c>
      <c r="AI121">
        <v>1</v>
      </c>
      <c r="AJ121">
        <v>14</v>
      </c>
      <c r="AK121">
        <v>0</v>
      </c>
      <c r="AL121">
        <v>11</v>
      </c>
      <c r="AM121">
        <v>7</v>
      </c>
      <c r="AN121">
        <v>4</v>
      </c>
      <c r="AO121">
        <v>5</v>
      </c>
      <c r="AP121">
        <v>55</v>
      </c>
      <c r="AQ121" s="21">
        <f t="shared" si="11"/>
        <v>55</v>
      </c>
      <c r="AR121" s="12">
        <f t="shared" si="15"/>
        <v>100</v>
      </c>
      <c r="AS121">
        <v>0</v>
      </c>
      <c r="AT121">
        <v>0</v>
      </c>
      <c r="AU121">
        <v>0</v>
      </c>
      <c r="AV121" s="6">
        <v>0</v>
      </c>
      <c r="AW121" s="6">
        <v>0</v>
      </c>
      <c r="AX121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 t="s">
        <v>44</v>
      </c>
      <c r="BF121" s="6" t="s">
        <v>44</v>
      </c>
      <c r="BG121" s="6" t="s">
        <v>44</v>
      </c>
      <c r="BH121" s="6" t="s">
        <v>44</v>
      </c>
      <c r="BI121" s="6" t="s">
        <v>44</v>
      </c>
      <c r="BJ121" s="6" t="s">
        <v>44</v>
      </c>
      <c r="BK121">
        <v>64</v>
      </c>
      <c r="BL121" s="6">
        <f t="shared" si="16"/>
        <v>0</v>
      </c>
      <c r="BM121" s="6">
        <f t="shared" si="12"/>
        <v>0</v>
      </c>
      <c r="BN121">
        <v>1</v>
      </c>
      <c r="BO121">
        <f t="shared" si="17"/>
        <v>1</v>
      </c>
    </row>
    <row r="122" spans="1:70" hidden="1">
      <c r="A122" s="16" t="str">
        <f t="shared" si="10"/>
        <v>CB_2024_UPZ_1_1</v>
      </c>
      <c r="B122" t="s">
        <v>56</v>
      </c>
      <c r="C122">
        <v>42.839689999999997</v>
      </c>
      <c r="D122">
        <v>-124.5651</v>
      </c>
      <c r="E122" s="8">
        <v>45468</v>
      </c>
      <c r="F122">
        <v>2024</v>
      </c>
      <c r="G122" t="s">
        <v>56</v>
      </c>
      <c r="H122" t="s">
        <v>45</v>
      </c>
      <c r="I122">
        <v>1</v>
      </c>
      <c r="J122">
        <v>1</v>
      </c>
      <c r="K122" t="s">
        <v>46</v>
      </c>
      <c r="L122" s="23">
        <v>17</v>
      </c>
      <c r="M122" s="23">
        <v>9</v>
      </c>
      <c r="N122" s="23">
        <v>2</v>
      </c>
      <c r="O122" s="23">
        <v>6</v>
      </c>
      <c r="P122" s="23">
        <v>3</v>
      </c>
      <c r="Q122" s="23">
        <v>3</v>
      </c>
      <c r="R122" s="22" t="s">
        <v>44</v>
      </c>
      <c r="S122" s="22">
        <v>0</v>
      </c>
      <c r="T122" s="23">
        <v>11</v>
      </c>
      <c r="U122" s="23">
        <v>20</v>
      </c>
      <c r="V122" s="18">
        <v>3.3</v>
      </c>
      <c r="W122" s="18">
        <v>2.5</v>
      </c>
      <c r="X122" s="18">
        <v>3.8</v>
      </c>
      <c r="Y122" s="18">
        <v>2.9</v>
      </c>
      <c r="Z122" s="18">
        <v>2.4</v>
      </c>
      <c r="AA122" s="15">
        <v>0</v>
      </c>
      <c r="AB122" s="15">
        <v>1</v>
      </c>
      <c r="AC122" s="15">
        <v>0</v>
      </c>
      <c r="AD122" s="15">
        <v>0</v>
      </c>
      <c r="AE122" s="15">
        <v>0</v>
      </c>
      <c r="AF122" s="11">
        <f t="shared" si="14"/>
        <v>1</v>
      </c>
      <c r="AG122" s="32"/>
      <c r="AH122">
        <v>0</v>
      </c>
      <c r="AI122">
        <v>1</v>
      </c>
      <c r="AJ122">
        <v>0</v>
      </c>
      <c r="AK122">
        <v>0</v>
      </c>
      <c r="AL122">
        <v>10</v>
      </c>
      <c r="AM122">
        <v>9</v>
      </c>
      <c r="AN122">
        <v>1</v>
      </c>
      <c r="AO122">
        <v>4</v>
      </c>
      <c r="AP122">
        <v>75</v>
      </c>
      <c r="AQ122" s="21">
        <f t="shared" si="11"/>
        <v>75</v>
      </c>
      <c r="AR122" s="12">
        <f t="shared" si="15"/>
        <v>100</v>
      </c>
      <c r="AS122">
        <v>0</v>
      </c>
      <c r="AT122">
        <v>0</v>
      </c>
      <c r="AU122">
        <v>0</v>
      </c>
      <c r="AV122" s="6">
        <v>0</v>
      </c>
      <c r="AW122" s="6">
        <v>0</v>
      </c>
      <c r="AX122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 t="s">
        <v>44</v>
      </c>
      <c r="BF122" s="6" t="s">
        <v>44</v>
      </c>
      <c r="BG122" s="6" t="s">
        <v>44</v>
      </c>
      <c r="BH122" s="6" t="s">
        <v>44</v>
      </c>
      <c r="BI122" s="6" t="s">
        <v>44</v>
      </c>
      <c r="BJ122" s="6" t="s">
        <v>44</v>
      </c>
      <c r="BK122" s="6">
        <v>0</v>
      </c>
      <c r="BL122" s="6">
        <f t="shared" si="16"/>
        <v>0</v>
      </c>
      <c r="BM122" s="6">
        <f t="shared" si="12"/>
        <v>0</v>
      </c>
      <c r="BN122">
        <v>1</v>
      </c>
      <c r="BO122">
        <f t="shared" si="17"/>
        <v>1</v>
      </c>
      <c r="BP122">
        <v>0</v>
      </c>
      <c r="BQ122">
        <f>SUM(BP122,BB122,BK122)</f>
        <v>0</v>
      </c>
      <c r="BR122">
        <f t="shared" si="13"/>
        <v>0</v>
      </c>
    </row>
    <row r="123" spans="1:70" hidden="1">
      <c r="A123" s="16" t="str">
        <f t="shared" si="10"/>
        <v>CB_2024_UPZ_1_2</v>
      </c>
      <c r="B123" t="s">
        <v>56</v>
      </c>
      <c r="C123">
        <v>42.839689999999997</v>
      </c>
      <c r="D123">
        <v>-124.5651</v>
      </c>
      <c r="E123" s="8">
        <v>45468</v>
      </c>
      <c r="F123">
        <v>2024</v>
      </c>
      <c r="G123" t="s">
        <v>56</v>
      </c>
      <c r="H123" t="s">
        <v>45</v>
      </c>
      <c r="I123">
        <v>1</v>
      </c>
      <c r="J123">
        <v>2</v>
      </c>
      <c r="K123" t="s">
        <v>58</v>
      </c>
      <c r="L123" s="23">
        <v>20</v>
      </c>
      <c r="M123" s="23">
        <v>8</v>
      </c>
      <c r="N123" s="23">
        <v>7</v>
      </c>
      <c r="O123" s="23">
        <v>5</v>
      </c>
      <c r="P123" s="23">
        <v>1</v>
      </c>
      <c r="Q123" s="23">
        <v>1</v>
      </c>
      <c r="R123" s="22" t="s">
        <v>44</v>
      </c>
      <c r="S123" s="22">
        <v>0</v>
      </c>
      <c r="T123" s="23">
        <v>2</v>
      </c>
      <c r="U123" s="23">
        <v>10</v>
      </c>
      <c r="V123" s="18">
        <v>2.4</v>
      </c>
      <c r="W123" s="18">
        <v>3.7</v>
      </c>
      <c r="X123" s="18">
        <v>3.4</v>
      </c>
      <c r="Y123" s="18">
        <v>4</v>
      </c>
      <c r="Z123" s="18">
        <v>4.4000000000000004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1">
        <f t="shared" si="14"/>
        <v>0</v>
      </c>
      <c r="AG123" s="32"/>
      <c r="AH123">
        <v>0</v>
      </c>
      <c r="AI123">
        <v>16</v>
      </c>
      <c r="AJ123">
        <v>0</v>
      </c>
      <c r="AK123">
        <v>0</v>
      </c>
      <c r="AL123">
        <v>14</v>
      </c>
      <c r="AM123">
        <v>3</v>
      </c>
      <c r="AN123">
        <v>8</v>
      </c>
      <c r="AO123">
        <v>57</v>
      </c>
      <c r="AP123">
        <v>2</v>
      </c>
      <c r="AQ123" s="21">
        <f t="shared" si="11"/>
        <v>2</v>
      </c>
      <c r="AR123" s="12">
        <f t="shared" si="15"/>
        <v>100</v>
      </c>
      <c r="AS123">
        <v>0</v>
      </c>
      <c r="AT123">
        <v>0</v>
      </c>
      <c r="AU123">
        <v>0</v>
      </c>
      <c r="AV123" s="6">
        <v>0</v>
      </c>
      <c r="AW123" s="6">
        <v>0</v>
      </c>
      <c r="AX123">
        <v>9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 t="s">
        <v>44</v>
      </c>
      <c r="BF123" s="6" t="s">
        <v>44</v>
      </c>
      <c r="BG123" s="6" t="s">
        <v>44</v>
      </c>
      <c r="BH123" s="6" t="s">
        <v>44</v>
      </c>
      <c r="BI123" s="6" t="s">
        <v>44</v>
      </c>
      <c r="BJ123" s="6" t="s">
        <v>44</v>
      </c>
      <c r="BK123" s="6">
        <v>0</v>
      </c>
      <c r="BL123" s="6">
        <f t="shared" si="16"/>
        <v>9</v>
      </c>
      <c r="BM123" s="6">
        <f t="shared" si="12"/>
        <v>9</v>
      </c>
      <c r="BN123">
        <v>16</v>
      </c>
      <c r="BO123">
        <f t="shared" si="17"/>
        <v>16</v>
      </c>
      <c r="BP123">
        <v>0</v>
      </c>
      <c r="BQ123">
        <f>SUM(BP123,BB123,BK123)</f>
        <v>0</v>
      </c>
      <c r="BR123">
        <f t="shared" si="13"/>
        <v>0</v>
      </c>
    </row>
    <row r="124" spans="1:70" hidden="1">
      <c r="A124" s="16" t="str">
        <f t="shared" si="10"/>
        <v>CB_2024_UPZ_1_3</v>
      </c>
      <c r="B124" t="s">
        <v>56</v>
      </c>
      <c r="C124">
        <v>42.839689999999997</v>
      </c>
      <c r="D124">
        <v>-124.5651</v>
      </c>
      <c r="E124" s="8">
        <v>45468</v>
      </c>
      <c r="F124">
        <v>2024</v>
      </c>
      <c r="G124" t="s">
        <v>56</v>
      </c>
      <c r="H124" t="s">
        <v>45</v>
      </c>
      <c r="I124">
        <v>1</v>
      </c>
      <c r="J124">
        <v>3</v>
      </c>
      <c r="K124" t="s">
        <v>51</v>
      </c>
      <c r="L124" s="23">
        <v>6</v>
      </c>
      <c r="M124" s="23">
        <v>1</v>
      </c>
      <c r="N124" s="23">
        <v>5</v>
      </c>
      <c r="O124" s="23">
        <v>0</v>
      </c>
      <c r="P124" s="23">
        <v>1</v>
      </c>
      <c r="Q124" s="23">
        <v>0</v>
      </c>
      <c r="R124" s="22" t="s">
        <v>44</v>
      </c>
      <c r="S124" s="22">
        <v>0</v>
      </c>
      <c r="T124" s="23">
        <v>0</v>
      </c>
      <c r="U124" s="23">
        <v>1</v>
      </c>
      <c r="AA124" s="15" t="s">
        <v>44</v>
      </c>
      <c r="AB124" s="15" t="s">
        <v>44</v>
      </c>
      <c r="AC124" s="15" t="s">
        <v>44</v>
      </c>
      <c r="AD124" s="15" t="s">
        <v>44</v>
      </c>
      <c r="AE124" s="15" t="s">
        <v>44</v>
      </c>
      <c r="AF124" s="11" t="s">
        <v>44</v>
      </c>
      <c r="AG124" s="32"/>
      <c r="AH124">
        <v>2</v>
      </c>
      <c r="AI124">
        <v>12</v>
      </c>
      <c r="AJ124">
        <v>0</v>
      </c>
      <c r="AK124">
        <v>0</v>
      </c>
      <c r="AL124">
        <v>6</v>
      </c>
      <c r="AM124">
        <v>8</v>
      </c>
      <c r="AN124">
        <v>4</v>
      </c>
      <c r="AO124">
        <v>0.1</v>
      </c>
      <c r="AP124">
        <v>68</v>
      </c>
      <c r="AQ124" s="21">
        <f t="shared" si="11"/>
        <v>68</v>
      </c>
      <c r="AR124" s="12">
        <f t="shared" si="15"/>
        <v>100.1</v>
      </c>
      <c r="AS124">
        <v>0</v>
      </c>
      <c r="AT124">
        <v>24</v>
      </c>
      <c r="AU124">
        <v>0</v>
      </c>
      <c r="AV124" s="6">
        <v>0</v>
      </c>
      <c r="AW124" s="6">
        <v>0</v>
      </c>
      <c r="AX124">
        <v>42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 t="s">
        <v>44</v>
      </c>
      <c r="BF124" s="6" t="s">
        <v>44</v>
      </c>
      <c r="BG124" s="6" t="s">
        <v>44</v>
      </c>
      <c r="BH124" s="6" t="s">
        <v>44</v>
      </c>
      <c r="BI124" s="6" t="s">
        <v>44</v>
      </c>
      <c r="BJ124" s="6" t="s">
        <v>44</v>
      </c>
      <c r="BK124" s="6">
        <v>0</v>
      </c>
      <c r="BL124" s="6">
        <f t="shared" si="16"/>
        <v>66</v>
      </c>
      <c r="BM124" s="6">
        <f t="shared" si="12"/>
        <v>66</v>
      </c>
      <c r="BN124">
        <v>12</v>
      </c>
      <c r="BO124">
        <f t="shared" si="17"/>
        <v>12</v>
      </c>
      <c r="BP124">
        <v>0</v>
      </c>
      <c r="BQ124">
        <f>SUM(BP124,BB124,BK124)</f>
        <v>0</v>
      </c>
      <c r="BR124">
        <f t="shared" si="13"/>
        <v>0</v>
      </c>
    </row>
    <row r="125" spans="1:70" hidden="1">
      <c r="A125" s="16" t="str">
        <f t="shared" si="10"/>
        <v>CB_2024_UPZ_1_4</v>
      </c>
      <c r="B125" t="s">
        <v>56</v>
      </c>
      <c r="C125">
        <v>42.839689999999997</v>
      </c>
      <c r="D125">
        <v>-124.5651</v>
      </c>
      <c r="E125" s="8">
        <v>45468</v>
      </c>
      <c r="F125">
        <v>2024</v>
      </c>
      <c r="G125" t="s">
        <v>56</v>
      </c>
      <c r="H125" t="s">
        <v>45</v>
      </c>
      <c r="I125">
        <v>1</v>
      </c>
      <c r="J125">
        <v>4</v>
      </c>
      <c r="K125" t="s">
        <v>51</v>
      </c>
      <c r="L125" s="23">
        <v>11</v>
      </c>
      <c r="M125" s="23">
        <v>7</v>
      </c>
      <c r="N125" s="23">
        <v>4</v>
      </c>
      <c r="O125" s="23">
        <v>0</v>
      </c>
      <c r="P125" s="23">
        <v>0</v>
      </c>
      <c r="Q125" s="23">
        <v>0</v>
      </c>
      <c r="R125" s="22" t="s">
        <v>44</v>
      </c>
      <c r="S125" s="22">
        <v>0</v>
      </c>
      <c r="T125" s="23">
        <v>8</v>
      </c>
      <c r="U125" s="23">
        <v>17</v>
      </c>
      <c r="AA125" s="15" t="s">
        <v>44</v>
      </c>
      <c r="AB125" s="15" t="s">
        <v>44</v>
      </c>
      <c r="AC125" s="15" t="s">
        <v>44</v>
      </c>
      <c r="AD125" s="15" t="s">
        <v>44</v>
      </c>
      <c r="AE125" s="15" t="s">
        <v>44</v>
      </c>
      <c r="AF125" s="11" t="s">
        <v>44</v>
      </c>
      <c r="AG125" s="32"/>
      <c r="AH125">
        <v>0</v>
      </c>
      <c r="AI125">
        <v>0.1</v>
      </c>
      <c r="AJ125">
        <v>0</v>
      </c>
      <c r="AK125">
        <v>0</v>
      </c>
      <c r="AL125">
        <v>8</v>
      </c>
      <c r="AM125">
        <v>17</v>
      </c>
      <c r="AN125">
        <v>5</v>
      </c>
      <c r="AO125">
        <v>3</v>
      </c>
      <c r="AP125">
        <v>67</v>
      </c>
      <c r="AQ125" s="21">
        <f t="shared" si="11"/>
        <v>67</v>
      </c>
      <c r="AR125" s="12">
        <f t="shared" si="15"/>
        <v>100.1</v>
      </c>
      <c r="AS125">
        <v>0</v>
      </c>
      <c r="AT125">
        <v>0</v>
      </c>
      <c r="AU125">
        <v>0</v>
      </c>
      <c r="AV125" s="6">
        <v>0</v>
      </c>
      <c r="AW125" s="6">
        <v>0</v>
      </c>
      <c r="AX125">
        <v>0.1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 t="s">
        <v>44</v>
      </c>
      <c r="BF125" s="6" t="s">
        <v>44</v>
      </c>
      <c r="BG125" s="6" t="s">
        <v>44</v>
      </c>
      <c r="BH125" s="6" t="s">
        <v>44</v>
      </c>
      <c r="BI125" s="6" t="s">
        <v>44</v>
      </c>
      <c r="BJ125" s="6" t="s">
        <v>44</v>
      </c>
      <c r="BK125" s="6">
        <v>0</v>
      </c>
      <c r="BL125" s="6">
        <f t="shared" si="16"/>
        <v>0.1</v>
      </c>
      <c r="BM125" s="6">
        <f t="shared" si="12"/>
        <v>0.1</v>
      </c>
      <c r="BN125">
        <v>0.1</v>
      </c>
      <c r="BO125">
        <f t="shared" si="17"/>
        <v>0.1</v>
      </c>
      <c r="BP125">
        <v>0</v>
      </c>
      <c r="BQ125">
        <f>SUM(BP125,BB125,BK125)</f>
        <v>0</v>
      </c>
      <c r="BR125">
        <f t="shared" si="13"/>
        <v>0</v>
      </c>
    </row>
    <row r="126" spans="1:70" hidden="1">
      <c r="A126" s="16" t="str">
        <f t="shared" si="10"/>
        <v>CB_2024_UPZ_1_5</v>
      </c>
      <c r="B126" t="s">
        <v>56</v>
      </c>
      <c r="C126">
        <v>42.839689999999997</v>
      </c>
      <c r="D126">
        <v>-124.5651</v>
      </c>
      <c r="E126" s="8">
        <v>45468</v>
      </c>
      <c r="F126">
        <v>2024</v>
      </c>
      <c r="G126" t="s">
        <v>56</v>
      </c>
      <c r="H126" t="s">
        <v>45</v>
      </c>
      <c r="I126">
        <v>1</v>
      </c>
      <c r="J126">
        <v>5</v>
      </c>
      <c r="K126" t="s">
        <v>47</v>
      </c>
      <c r="L126" s="23">
        <v>12</v>
      </c>
      <c r="M126" s="23">
        <v>7</v>
      </c>
      <c r="N126" s="23">
        <v>1</v>
      </c>
      <c r="O126" s="23">
        <v>4</v>
      </c>
      <c r="P126" s="23">
        <v>4</v>
      </c>
      <c r="Q126" s="23">
        <v>1</v>
      </c>
      <c r="R126" s="22" t="s">
        <v>44</v>
      </c>
      <c r="S126" s="22">
        <v>0</v>
      </c>
      <c r="T126" s="23">
        <v>4</v>
      </c>
      <c r="U126" s="23">
        <v>11</v>
      </c>
      <c r="V126" s="18">
        <v>5.5</v>
      </c>
      <c r="W126" s="18">
        <v>3.7</v>
      </c>
      <c r="X126" s="18">
        <v>4.9000000000000004</v>
      </c>
      <c r="Y126" s="18">
        <v>3.4</v>
      </c>
      <c r="Z126" s="18">
        <v>3.7</v>
      </c>
      <c r="AA126" s="15">
        <v>0</v>
      </c>
      <c r="AB126" s="15">
        <v>2</v>
      </c>
      <c r="AC126" s="15">
        <v>0</v>
      </c>
      <c r="AD126" s="15">
        <v>0</v>
      </c>
      <c r="AE126" s="15">
        <v>0</v>
      </c>
      <c r="AF126" s="11">
        <f t="shared" si="14"/>
        <v>2</v>
      </c>
      <c r="AG126" s="32"/>
      <c r="AH126">
        <v>0</v>
      </c>
      <c r="AI126">
        <v>7</v>
      </c>
      <c r="AJ126">
        <v>0</v>
      </c>
      <c r="AK126">
        <v>0</v>
      </c>
      <c r="AL126">
        <v>10</v>
      </c>
      <c r="AM126">
        <v>8</v>
      </c>
      <c r="AN126">
        <v>4</v>
      </c>
      <c r="AO126">
        <v>8</v>
      </c>
      <c r="AP126">
        <v>63</v>
      </c>
      <c r="AQ126" s="21">
        <f t="shared" si="11"/>
        <v>63</v>
      </c>
      <c r="AR126" s="12">
        <f t="shared" si="15"/>
        <v>100</v>
      </c>
      <c r="AS126">
        <v>0</v>
      </c>
      <c r="AT126">
        <v>0</v>
      </c>
      <c r="AU126">
        <v>0</v>
      </c>
      <c r="AV126" s="6">
        <v>0</v>
      </c>
      <c r="AW126" s="6">
        <v>0</v>
      </c>
      <c r="AX126">
        <v>7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 t="s">
        <v>44</v>
      </c>
      <c r="BF126" s="6" t="s">
        <v>44</v>
      </c>
      <c r="BG126" s="6" t="s">
        <v>44</v>
      </c>
      <c r="BH126" s="6" t="s">
        <v>44</v>
      </c>
      <c r="BI126" s="6" t="s">
        <v>44</v>
      </c>
      <c r="BJ126" s="6" t="s">
        <v>44</v>
      </c>
      <c r="BK126" s="6">
        <v>0</v>
      </c>
      <c r="BL126" s="6">
        <f t="shared" si="16"/>
        <v>7</v>
      </c>
      <c r="BM126" s="6">
        <f t="shared" si="12"/>
        <v>7</v>
      </c>
      <c r="BN126">
        <v>7</v>
      </c>
      <c r="BO126">
        <f t="shared" si="17"/>
        <v>7</v>
      </c>
      <c r="BP126">
        <v>0</v>
      </c>
      <c r="BQ126">
        <f>SUM(BP126,BB126,BK126)</f>
        <v>0</v>
      </c>
      <c r="BR126">
        <f t="shared" si="13"/>
        <v>0</v>
      </c>
    </row>
    <row r="127" spans="1:70" hidden="1">
      <c r="A127" s="16" t="str">
        <f t="shared" si="10"/>
        <v>CB_2024_UPZ_2_1</v>
      </c>
      <c r="B127" t="s">
        <v>56</v>
      </c>
      <c r="C127">
        <v>42.839689999999997</v>
      </c>
      <c r="D127">
        <v>-124.5651</v>
      </c>
      <c r="E127" s="8">
        <v>45497</v>
      </c>
      <c r="F127">
        <v>2024</v>
      </c>
      <c r="G127" t="s">
        <v>56</v>
      </c>
      <c r="H127" t="s">
        <v>45</v>
      </c>
      <c r="I127">
        <v>2</v>
      </c>
      <c r="J127">
        <v>1</v>
      </c>
      <c r="K127" t="s">
        <v>47</v>
      </c>
      <c r="L127" s="23">
        <v>30</v>
      </c>
      <c r="M127" s="23">
        <v>30</v>
      </c>
      <c r="N127" s="23">
        <v>0</v>
      </c>
      <c r="O127" s="23">
        <v>0</v>
      </c>
      <c r="P127" s="23">
        <v>11</v>
      </c>
      <c r="Q127" s="23">
        <v>11</v>
      </c>
      <c r="R127" s="22" t="s">
        <v>44</v>
      </c>
      <c r="S127" s="22">
        <v>0</v>
      </c>
      <c r="T127" s="23">
        <v>9</v>
      </c>
      <c r="U127" s="23">
        <v>39</v>
      </c>
      <c r="V127" s="18">
        <v>5.7</v>
      </c>
      <c r="W127" s="18">
        <v>4.7</v>
      </c>
      <c r="X127" s="18">
        <v>4.5</v>
      </c>
      <c r="Y127" s="18">
        <v>4</v>
      </c>
      <c r="Z127" s="18">
        <v>4.4000000000000004</v>
      </c>
      <c r="AA127" s="15">
        <v>0</v>
      </c>
      <c r="AB127" s="15">
        <v>3</v>
      </c>
      <c r="AC127" s="15">
        <v>0</v>
      </c>
      <c r="AD127" s="15">
        <v>0</v>
      </c>
      <c r="AE127" s="15">
        <v>0</v>
      </c>
      <c r="AF127" s="11">
        <f t="shared" si="14"/>
        <v>3</v>
      </c>
      <c r="AG127" s="32"/>
      <c r="AH127">
        <v>5</v>
      </c>
      <c r="AI127">
        <v>25</v>
      </c>
      <c r="AJ127">
        <v>0</v>
      </c>
      <c r="AK127">
        <v>0</v>
      </c>
      <c r="AL127">
        <v>47</v>
      </c>
      <c r="AM127">
        <v>6</v>
      </c>
      <c r="AN127">
        <v>1</v>
      </c>
      <c r="AO127">
        <v>0</v>
      </c>
      <c r="AP127">
        <v>16</v>
      </c>
      <c r="AQ127" s="21">
        <f t="shared" si="11"/>
        <v>16</v>
      </c>
      <c r="AR127" s="12">
        <f t="shared" si="15"/>
        <v>100</v>
      </c>
      <c r="AS127">
        <v>0</v>
      </c>
      <c r="AT127">
        <v>0</v>
      </c>
      <c r="AU127">
        <v>0</v>
      </c>
      <c r="AV127">
        <v>0.1</v>
      </c>
      <c r="AW127" s="6">
        <v>0</v>
      </c>
      <c r="AX127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 t="s">
        <v>44</v>
      </c>
      <c r="BF127" s="6" t="s">
        <v>44</v>
      </c>
      <c r="BG127" s="6" t="s">
        <v>44</v>
      </c>
      <c r="BH127" s="6" t="s">
        <v>44</v>
      </c>
      <c r="BI127" s="6" t="s">
        <v>44</v>
      </c>
      <c r="BJ127" s="6" t="s">
        <v>44</v>
      </c>
      <c r="BK127" s="6">
        <v>0</v>
      </c>
      <c r="BL127" s="6">
        <f t="shared" si="16"/>
        <v>0.1</v>
      </c>
      <c r="BM127" s="6">
        <f t="shared" si="12"/>
        <v>0.1</v>
      </c>
      <c r="BN127">
        <v>25</v>
      </c>
      <c r="BO127">
        <f t="shared" si="17"/>
        <v>25</v>
      </c>
      <c r="BP127">
        <v>0</v>
      </c>
      <c r="BQ127">
        <f>SUM(BP127,BB127,BK127)</f>
        <v>0</v>
      </c>
      <c r="BR127">
        <f t="shared" si="13"/>
        <v>0</v>
      </c>
    </row>
    <row r="128" spans="1:70" hidden="1">
      <c r="A128" s="16" t="str">
        <f t="shared" si="10"/>
        <v>CB_2024_UPZ_2_2</v>
      </c>
      <c r="B128" t="s">
        <v>56</v>
      </c>
      <c r="C128">
        <v>42.839689999999997</v>
      </c>
      <c r="D128">
        <v>-124.5651</v>
      </c>
      <c r="E128" s="8">
        <v>45497</v>
      </c>
      <c r="F128">
        <v>2024</v>
      </c>
      <c r="G128" t="s">
        <v>56</v>
      </c>
      <c r="H128" t="s">
        <v>45</v>
      </c>
      <c r="I128">
        <v>2</v>
      </c>
      <c r="J128">
        <v>2</v>
      </c>
      <c r="K128" t="s">
        <v>47</v>
      </c>
      <c r="L128" s="23">
        <v>36</v>
      </c>
      <c r="M128" s="23">
        <v>35</v>
      </c>
      <c r="N128" s="23">
        <v>1</v>
      </c>
      <c r="O128" s="23">
        <v>0</v>
      </c>
      <c r="P128" s="23">
        <v>8</v>
      </c>
      <c r="Q128" s="23">
        <v>7</v>
      </c>
      <c r="R128" s="22" t="s">
        <v>44</v>
      </c>
      <c r="S128" s="22">
        <v>0</v>
      </c>
      <c r="T128" s="23">
        <v>5</v>
      </c>
      <c r="U128" s="23">
        <v>41</v>
      </c>
      <c r="V128" s="18">
        <v>4.7</v>
      </c>
      <c r="W128" s="18">
        <v>4.5</v>
      </c>
      <c r="X128" s="18">
        <v>4.5999999999999996</v>
      </c>
      <c r="Y128" s="18">
        <v>3.6</v>
      </c>
      <c r="Z128" s="20">
        <v>3.6</v>
      </c>
      <c r="AA128" s="15">
        <v>0</v>
      </c>
      <c r="AB128" s="15">
        <v>0</v>
      </c>
      <c r="AC128" s="15">
        <v>1</v>
      </c>
      <c r="AD128" s="15">
        <v>0</v>
      </c>
      <c r="AE128" s="15">
        <v>0</v>
      </c>
      <c r="AF128" s="11">
        <f t="shared" si="14"/>
        <v>1</v>
      </c>
      <c r="AG128" s="32"/>
      <c r="AH128">
        <v>0</v>
      </c>
      <c r="AI128">
        <v>36</v>
      </c>
      <c r="AJ128">
        <v>0</v>
      </c>
      <c r="AK128">
        <v>0</v>
      </c>
      <c r="AL128">
        <v>42</v>
      </c>
      <c r="AM128">
        <v>7</v>
      </c>
      <c r="AN128">
        <v>2</v>
      </c>
      <c r="AO128">
        <v>0</v>
      </c>
      <c r="AP128">
        <v>13</v>
      </c>
      <c r="AQ128" s="21">
        <f t="shared" si="11"/>
        <v>13</v>
      </c>
      <c r="AR128" s="12">
        <f t="shared" si="15"/>
        <v>100</v>
      </c>
      <c r="AS128">
        <v>0</v>
      </c>
      <c r="AT128">
        <v>0</v>
      </c>
      <c r="AU128">
        <v>0</v>
      </c>
      <c r="AV128" s="6">
        <v>0</v>
      </c>
      <c r="AW128" s="6">
        <v>0</v>
      </c>
      <c r="AX128">
        <v>5</v>
      </c>
      <c r="AY128" s="6">
        <v>0</v>
      </c>
      <c r="AZ128" s="6">
        <v>0</v>
      </c>
      <c r="BA128" s="6">
        <v>0</v>
      </c>
      <c r="BB128" s="6">
        <v>0</v>
      </c>
      <c r="BC128">
        <v>3</v>
      </c>
      <c r="BD128" s="6">
        <v>0</v>
      </c>
      <c r="BE128" s="6" t="s">
        <v>44</v>
      </c>
      <c r="BF128" s="6" t="s">
        <v>44</v>
      </c>
      <c r="BG128" s="6" t="s">
        <v>44</v>
      </c>
      <c r="BH128" s="6" t="s">
        <v>44</v>
      </c>
      <c r="BI128" s="6" t="s">
        <v>44</v>
      </c>
      <c r="BJ128" s="6" t="s">
        <v>44</v>
      </c>
      <c r="BK128" s="6">
        <v>0</v>
      </c>
      <c r="BL128" s="6">
        <f t="shared" si="16"/>
        <v>8</v>
      </c>
      <c r="BM128" s="6">
        <f t="shared" si="12"/>
        <v>8</v>
      </c>
      <c r="BN128">
        <v>36</v>
      </c>
      <c r="BO128">
        <f t="shared" si="17"/>
        <v>36</v>
      </c>
      <c r="BP128">
        <v>0</v>
      </c>
      <c r="BQ128">
        <f>SUM(BP128,BB128,BK128)</f>
        <v>0</v>
      </c>
      <c r="BR128">
        <f t="shared" si="13"/>
        <v>0</v>
      </c>
    </row>
    <row r="129" spans="1:70" hidden="1">
      <c r="A129" s="16" t="str">
        <f t="shared" si="10"/>
        <v>CB_2024_UPZ_2_3</v>
      </c>
      <c r="B129" t="s">
        <v>56</v>
      </c>
      <c r="C129">
        <v>42.839689999999997</v>
      </c>
      <c r="D129">
        <v>-124.5651</v>
      </c>
      <c r="E129" s="8">
        <v>45497</v>
      </c>
      <c r="F129">
        <v>2024</v>
      </c>
      <c r="G129" t="s">
        <v>56</v>
      </c>
      <c r="H129" t="s">
        <v>45</v>
      </c>
      <c r="I129">
        <v>2</v>
      </c>
      <c r="J129">
        <v>3</v>
      </c>
      <c r="K129" t="s">
        <v>47</v>
      </c>
      <c r="L129" s="23">
        <v>12</v>
      </c>
      <c r="M129" s="23">
        <v>9</v>
      </c>
      <c r="N129" s="23">
        <v>3</v>
      </c>
      <c r="O129" s="23">
        <v>0</v>
      </c>
      <c r="P129" s="23">
        <v>2</v>
      </c>
      <c r="Q129" s="23">
        <v>0</v>
      </c>
      <c r="R129" s="22" t="s">
        <v>44</v>
      </c>
      <c r="S129" s="22">
        <v>0</v>
      </c>
      <c r="T129" s="23">
        <v>4</v>
      </c>
      <c r="U129" s="23">
        <v>13</v>
      </c>
      <c r="V129" s="18">
        <v>4</v>
      </c>
      <c r="W129" s="18">
        <v>3</v>
      </c>
      <c r="X129" s="18">
        <v>4.5</v>
      </c>
      <c r="Y129" s="18">
        <v>6</v>
      </c>
      <c r="Z129" s="20"/>
      <c r="AA129" s="15">
        <v>0</v>
      </c>
      <c r="AB129" s="15">
        <v>0</v>
      </c>
      <c r="AC129" s="15">
        <v>0</v>
      </c>
      <c r="AD129" s="15">
        <v>1</v>
      </c>
      <c r="AE129" s="15">
        <v>0</v>
      </c>
      <c r="AF129" s="11">
        <f t="shared" si="14"/>
        <v>1</v>
      </c>
      <c r="AG129" s="32"/>
      <c r="AH129">
        <v>0</v>
      </c>
      <c r="AI129">
        <v>16</v>
      </c>
      <c r="AJ129">
        <v>0</v>
      </c>
      <c r="AK129">
        <v>25</v>
      </c>
      <c r="AL129">
        <v>11</v>
      </c>
      <c r="AM129">
        <v>3</v>
      </c>
      <c r="AN129">
        <v>1</v>
      </c>
      <c r="AO129">
        <v>0</v>
      </c>
      <c r="AP129">
        <v>44</v>
      </c>
      <c r="AQ129" s="21">
        <f t="shared" si="11"/>
        <v>44</v>
      </c>
      <c r="AR129" s="12">
        <f t="shared" si="15"/>
        <v>100</v>
      </c>
      <c r="AS129">
        <v>0</v>
      </c>
      <c r="AT129">
        <v>0.1</v>
      </c>
      <c r="AU129">
        <v>0</v>
      </c>
      <c r="AV129" s="6">
        <v>0</v>
      </c>
      <c r="AW129" s="6">
        <v>0</v>
      </c>
      <c r="AX129">
        <v>0</v>
      </c>
      <c r="AY129" s="6">
        <v>0</v>
      </c>
      <c r="AZ129">
        <v>37</v>
      </c>
      <c r="BA129" s="6">
        <v>0</v>
      </c>
      <c r="BB129" s="6">
        <v>0</v>
      </c>
      <c r="BC129" s="6">
        <v>0</v>
      </c>
      <c r="BD129" s="6">
        <v>0</v>
      </c>
      <c r="BE129" s="6" t="s">
        <v>44</v>
      </c>
      <c r="BF129" s="6" t="s">
        <v>44</v>
      </c>
      <c r="BG129" s="6" t="s">
        <v>44</v>
      </c>
      <c r="BH129" s="6" t="s">
        <v>44</v>
      </c>
      <c r="BI129" s="6" t="s">
        <v>44</v>
      </c>
      <c r="BJ129" s="6" t="s">
        <v>44</v>
      </c>
      <c r="BK129" s="6">
        <v>0</v>
      </c>
      <c r="BL129" s="6">
        <f t="shared" si="16"/>
        <v>37.1</v>
      </c>
      <c r="BM129" s="6">
        <f t="shared" si="12"/>
        <v>37.1</v>
      </c>
      <c r="BN129">
        <v>16</v>
      </c>
      <c r="BO129">
        <f t="shared" si="17"/>
        <v>16</v>
      </c>
      <c r="BP129">
        <v>0</v>
      </c>
      <c r="BQ129">
        <f>SUM(BP129,BB129,BK129)</f>
        <v>0</v>
      </c>
      <c r="BR129">
        <f t="shared" si="13"/>
        <v>0</v>
      </c>
    </row>
    <row r="130" spans="1:70" hidden="1">
      <c r="A130" s="16" t="str">
        <f t="shared" ref="A130:A193" si="18">_xlfn.CONCAT(B130,"_",F130, "_",H130, "_",I130,"_",J130)</f>
        <v>CB_2024_UPZ_2_4</v>
      </c>
      <c r="B130" t="s">
        <v>56</v>
      </c>
      <c r="C130">
        <v>42.839689999999997</v>
      </c>
      <c r="D130">
        <v>-124.5651</v>
      </c>
      <c r="E130" s="8">
        <v>45497</v>
      </c>
      <c r="F130">
        <v>2024</v>
      </c>
      <c r="G130" t="s">
        <v>56</v>
      </c>
      <c r="H130" t="s">
        <v>45</v>
      </c>
      <c r="I130">
        <v>2</v>
      </c>
      <c r="J130">
        <v>4</v>
      </c>
      <c r="K130" t="s">
        <v>47</v>
      </c>
      <c r="L130" s="23">
        <v>15</v>
      </c>
      <c r="M130" s="23">
        <v>15</v>
      </c>
      <c r="N130" s="23">
        <v>0</v>
      </c>
      <c r="O130" s="23">
        <v>0</v>
      </c>
      <c r="P130" s="23">
        <v>6</v>
      </c>
      <c r="Q130" s="23">
        <v>5</v>
      </c>
      <c r="R130" s="22" t="s">
        <v>44</v>
      </c>
      <c r="S130" s="22">
        <v>0</v>
      </c>
      <c r="T130" s="23">
        <v>4</v>
      </c>
      <c r="U130" s="23">
        <v>19</v>
      </c>
      <c r="V130" s="18">
        <v>3.5</v>
      </c>
      <c r="W130" s="18">
        <v>4.2</v>
      </c>
      <c r="X130" s="18">
        <v>2.2999999999999998</v>
      </c>
      <c r="Y130" s="18">
        <v>3.9</v>
      </c>
      <c r="Z130" s="20"/>
      <c r="AA130" s="15">
        <v>0</v>
      </c>
      <c r="AB130" s="15">
        <v>2</v>
      </c>
      <c r="AC130" s="15">
        <v>0</v>
      </c>
      <c r="AD130" s="15">
        <v>0</v>
      </c>
      <c r="AE130" s="15">
        <v>0</v>
      </c>
      <c r="AF130" s="11">
        <f t="shared" si="14"/>
        <v>2</v>
      </c>
      <c r="AG130" s="32"/>
      <c r="AH130">
        <v>1</v>
      </c>
      <c r="AI130">
        <v>12</v>
      </c>
      <c r="AJ130">
        <v>0</v>
      </c>
      <c r="AK130">
        <v>0</v>
      </c>
      <c r="AL130">
        <v>29</v>
      </c>
      <c r="AM130">
        <v>8</v>
      </c>
      <c r="AN130">
        <v>1</v>
      </c>
      <c r="AO130">
        <v>0</v>
      </c>
      <c r="AP130">
        <v>49</v>
      </c>
      <c r="AQ130" s="21">
        <f t="shared" ref="AQ130:AQ149" si="19">AP130-AG130</f>
        <v>49</v>
      </c>
      <c r="AR130" s="12">
        <f t="shared" si="15"/>
        <v>100</v>
      </c>
      <c r="AS130">
        <v>0</v>
      </c>
      <c r="AT130">
        <v>8</v>
      </c>
      <c r="AU130">
        <v>0</v>
      </c>
      <c r="AV130" s="6">
        <v>0</v>
      </c>
      <c r="AW130" s="6">
        <v>0</v>
      </c>
      <c r="AX130">
        <v>2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 t="s">
        <v>44</v>
      </c>
      <c r="BF130" s="6" t="s">
        <v>44</v>
      </c>
      <c r="BG130" s="6" t="s">
        <v>44</v>
      </c>
      <c r="BH130" s="6" t="s">
        <v>44</v>
      </c>
      <c r="BI130" s="6" t="s">
        <v>44</v>
      </c>
      <c r="BJ130" s="6" t="s">
        <v>44</v>
      </c>
      <c r="BK130" s="6">
        <v>0</v>
      </c>
      <c r="BL130" s="6">
        <f t="shared" si="16"/>
        <v>10</v>
      </c>
      <c r="BM130" s="6">
        <f t="shared" ref="BM130:BM193" si="20">SUM(AS130:BJ130)</f>
        <v>10</v>
      </c>
      <c r="BN130">
        <v>12</v>
      </c>
      <c r="BO130">
        <f t="shared" si="17"/>
        <v>12</v>
      </c>
      <c r="BP130">
        <v>0</v>
      </c>
      <c r="BQ130">
        <f>SUM(BP130,BB130,BK130)</f>
        <v>0</v>
      </c>
      <c r="BR130">
        <f t="shared" ref="BR130:BR193" si="21">BQ130-BP130</f>
        <v>0</v>
      </c>
    </row>
    <row r="131" spans="1:70" hidden="1">
      <c r="A131" s="16" t="str">
        <f t="shared" si="18"/>
        <v>CB_2024_UPZ_2_5</v>
      </c>
      <c r="B131" t="s">
        <v>56</v>
      </c>
      <c r="C131">
        <v>42.839689999999997</v>
      </c>
      <c r="D131">
        <v>-124.5651</v>
      </c>
      <c r="E131" s="8">
        <v>45497</v>
      </c>
      <c r="F131">
        <v>2024</v>
      </c>
      <c r="G131" t="s">
        <v>56</v>
      </c>
      <c r="H131" t="s">
        <v>45</v>
      </c>
      <c r="I131">
        <v>2</v>
      </c>
      <c r="J131">
        <v>5</v>
      </c>
      <c r="K131" t="s">
        <v>47</v>
      </c>
      <c r="L131" s="23">
        <v>49</v>
      </c>
      <c r="M131" s="23">
        <v>47</v>
      </c>
      <c r="N131" s="23">
        <v>1</v>
      </c>
      <c r="O131" s="23">
        <v>1</v>
      </c>
      <c r="P131" s="23">
        <v>7</v>
      </c>
      <c r="Q131" s="23">
        <v>0</v>
      </c>
      <c r="R131" s="22" t="s">
        <v>44</v>
      </c>
      <c r="S131" s="22">
        <v>0</v>
      </c>
      <c r="T131" s="23">
        <v>0</v>
      </c>
      <c r="U131" s="23">
        <v>47</v>
      </c>
      <c r="V131" s="18">
        <v>7</v>
      </c>
      <c r="W131" s="18">
        <v>6</v>
      </c>
      <c r="X131" s="18">
        <v>5.8</v>
      </c>
      <c r="Y131" s="18">
        <v>5</v>
      </c>
      <c r="Z131" s="20"/>
      <c r="AA131" s="15">
        <v>1</v>
      </c>
      <c r="AB131" s="15">
        <v>2</v>
      </c>
      <c r="AC131" s="15">
        <v>0</v>
      </c>
      <c r="AD131" s="15">
        <v>0</v>
      </c>
      <c r="AE131" s="15">
        <v>0</v>
      </c>
      <c r="AF131" s="11">
        <f t="shared" ref="AF131:AF194" si="22">SUM(AA131:AE131)</f>
        <v>3</v>
      </c>
      <c r="AG131" s="32"/>
      <c r="AH131">
        <v>2</v>
      </c>
      <c r="AI131">
        <v>0.1</v>
      </c>
      <c r="AJ131">
        <v>0</v>
      </c>
      <c r="AK131">
        <v>0</v>
      </c>
      <c r="AL131">
        <v>12</v>
      </c>
      <c r="AM131">
        <v>5</v>
      </c>
      <c r="AN131">
        <v>0</v>
      </c>
      <c r="AO131">
        <v>1</v>
      </c>
      <c r="AP131">
        <v>80</v>
      </c>
      <c r="AQ131" s="21">
        <f t="shared" si="19"/>
        <v>80</v>
      </c>
      <c r="AR131" s="12">
        <f t="shared" ref="AR131:AR194" si="23">SUM(AH131:AP131)</f>
        <v>100.1</v>
      </c>
      <c r="AS131">
        <v>0</v>
      </c>
      <c r="AT131">
        <v>0</v>
      </c>
      <c r="AU131">
        <v>0</v>
      </c>
      <c r="AV131" s="6">
        <v>0</v>
      </c>
      <c r="AW131" s="6">
        <v>0</v>
      </c>
      <c r="AX131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 t="s">
        <v>44</v>
      </c>
      <c r="BF131" s="6" t="s">
        <v>44</v>
      </c>
      <c r="BG131" s="6" t="s">
        <v>44</v>
      </c>
      <c r="BH131" s="6" t="s">
        <v>44</v>
      </c>
      <c r="BI131" s="6" t="s">
        <v>44</v>
      </c>
      <c r="BJ131" s="6" t="s">
        <v>44</v>
      </c>
      <c r="BK131" s="6">
        <v>0</v>
      </c>
      <c r="BL131" s="6">
        <f t="shared" ref="BL131:BL194" si="24">SUM(AS131:AT131,AV131:AW131,AX131:BA131,BC131:BF131,BJ131)</f>
        <v>0</v>
      </c>
      <c r="BM131" s="6">
        <f t="shared" si="20"/>
        <v>0</v>
      </c>
      <c r="BN131">
        <v>0.1</v>
      </c>
      <c r="BO131">
        <f t="shared" si="17"/>
        <v>0.1</v>
      </c>
      <c r="BP131">
        <v>0</v>
      </c>
      <c r="BQ131">
        <f>SUM(BP131,BB131,BK131)</f>
        <v>0</v>
      </c>
      <c r="BR131">
        <f t="shared" si="21"/>
        <v>0</v>
      </c>
    </row>
    <row r="132" spans="1:70" hidden="1">
      <c r="A132" s="16" t="str">
        <f t="shared" si="18"/>
        <v>RP_2024_AZ_1_1</v>
      </c>
      <c r="B132" t="s">
        <v>59</v>
      </c>
      <c r="C132">
        <v>42.716659999999997</v>
      </c>
      <c r="D132">
        <v>-124.467</v>
      </c>
      <c r="E132" s="8">
        <v>45469</v>
      </c>
      <c r="F132">
        <v>2024</v>
      </c>
      <c r="G132" t="s">
        <v>56</v>
      </c>
      <c r="H132" t="s">
        <v>42</v>
      </c>
      <c r="I132">
        <v>1</v>
      </c>
      <c r="J132">
        <v>1</v>
      </c>
      <c r="K132" t="s">
        <v>46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2" t="s">
        <v>44</v>
      </c>
      <c r="S132" s="22">
        <v>0</v>
      </c>
      <c r="T132" s="23">
        <v>0</v>
      </c>
      <c r="U132" s="23">
        <v>0</v>
      </c>
      <c r="V132" s="18" t="s">
        <v>44</v>
      </c>
      <c r="W132" s="18" t="s">
        <v>44</v>
      </c>
      <c r="X132" s="18" t="s">
        <v>44</v>
      </c>
      <c r="Y132" s="18" t="s">
        <v>44</v>
      </c>
      <c r="Z132" s="18" t="s">
        <v>44</v>
      </c>
      <c r="AA132" s="11" t="s">
        <v>44</v>
      </c>
      <c r="AB132" s="11" t="s">
        <v>44</v>
      </c>
      <c r="AC132" s="11" t="s">
        <v>44</v>
      </c>
      <c r="AD132" s="11" t="s">
        <v>44</v>
      </c>
      <c r="AE132" s="11" t="s">
        <v>44</v>
      </c>
      <c r="AF132" s="11" t="s">
        <v>44</v>
      </c>
      <c r="AG132" s="32">
        <v>0</v>
      </c>
      <c r="AH132">
        <v>0</v>
      </c>
      <c r="AI132">
        <v>80</v>
      </c>
      <c r="AJ132">
        <v>14</v>
      </c>
      <c r="AK132">
        <v>0</v>
      </c>
      <c r="AL132">
        <v>0.1</v>
      </c>
      <c r="AM132">
        <v>0.1</v>
      </c>
      <c r="AN132">
        <v>1</v>
      </c>
      <c r="AO132">
        <v>4</v>
      </c>
      <c r="AP132">
        <v>1</v>
      </c>
      <c r="AQ132" s="21">
        <f t="shared" si="19"/>
        <v>1</v>
      </c>
      <c r="AR132" s="12">
        <f t="shared" si="23"/>
        <v>100.19999999999999</v>
      </c>
      <c r="AS132">
        <v>0</v>
      </c>
      <c r="AT132">
        <v>0</v>
      </c>
      <c r="AU132">
        <v>4</v>
      </c>
      <c r="AV132" s="6">
        <v>0</v>
      </c>
      <c r="AW132" s="6">
        <v>0</v>
      </c>
      <c r="AX132">
        <v>8</v>
      </c>
      <c r="AY132" s="6">
        <v>0</v>
      </c>
      <c r="AZ132" s="6">
        <v>0</v>
      </c>
      <c r="BA132" s="6">
        <v>0</v>
      </c>
      <c r="BB132">
        <v>10</v>
      </c>
      <c r="BC132" s="6">
        <v>0</v>
      </c>
      <c r="BD132">
        <v>2</v>
      </c>
      <c r="BE132" s="6" t="s">
        <v>44</v>
      </c>
      <c r="BF132" s="6" t="s">
        <v>44</v>
      </c>
      <c r="BG132" s="6" t="s">
        <v>44</v>
      </c>
      <c r="BH132" s="6" t="s">
        <v>44</v>
      </c>
      <c r="BI132" s="6" t="s">
        <v>44</v>
      </c>
      <c r="BJ132" s="6" t="s">
        <v>44</v>
      </c>
      <c r="BK132" s="6">
        <v>0</v>
      </c>
      <c r="BL132" s="6">
        <f t="shared" si="24"/>
        <v>10</v>
      </c>
      <c r="BM132" s="6">
        <f t="shared" si="20"/>
        <v>24</v>
      </c>
    </row>
    <row r="133" spans="1:70">
      <c r="A133" s="16" t="str">
        <f t="shared" si="18"/>
        <v>RP_2024_AZ_1_2</v>
      </c>
      <c r="B133" t="s">
        <v>59</v>
      </c>
      <c r="C133">
        <v>42.716659999999997</v>
      </c>
      <c r="D133">
        <v>-124.467</v>
      </c>
      <c r="E133" s="8">
        <v>45469</v>
      </c>
      <c r="F133">
        <v>2024</v>
      </c>
      <c r="G133" t="s">
        <v>56</v>
      </c>
      <c r="H133" t="s">
        <v>42</v>
      </c>
      <c r="I133">
        <v>1</v>
      </c>
      <c r="J133">
        <v>2</v>
      </c>
      <c r="K133" t="s">
        <v>46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2" t="s">
        <v>44</v>
      </c>
      <c r="S133" s="22">
        <v>0</v>
      </c>
      <c r="T133" s="23">
        <v>0</v>
      </c>
      <c r="U133" s="23">
        <v>0</v>
      </c>
      <c r="V133" s="18" t="s">
        <v>44</v>
      </c>
      <c r="W133" s="18" t="s">
        <v>44</v>
      </c>
      <c r="X133" s="18" t="s">
        <v>44</v>
      </c>
      <c r="Y133" s="18" t="s">
        <v>44</v>
      </c>
      <c r="Z133" s="18" t="s">
        <v>44</v>
      </c>
      <c r="AA133" s="11" t="s">
        <v>44</v>
      </c>
      <c r="AB133" s="11" t="s">
        <v>44</v>
      </c>
      <c r="AC133" s="11" t="s">
        <v>44</v>
      </c>
      <c r="AD133" s="11" t="s">
        <v>44</v>
      </c>
      <c r="AE133" s="11" t="s">
        <v>44</v>
      </c>
      <c r="AF133" s="11" t="s">
        <v>44</v>
      </c>
      <c r="AG133" s="32"/>
      <c r="AH133">
        <v>0</v>
      </c>
      <c r="AI133">
        <v>52</v>
      </c>
      <c r="AJ133">
        <v>19</v>
      </c>
      <c r="AK133">
        <v>0</v>
      </c>
      <c r="AL133">
        <v>0</v>
      </c>
      <c r="AM133">
        <v>0</v>
      </c>
      <c r="AN133">
        <v>0</v>
      </c>
      <c r="AO133">
        <v>20</v>
      </c>
      <c r="AP133">
        <v>9</v>
      </c>
      <c r="AQ133" s="21">
        <f t="shared" si="19"/>
        <v>9</v>
      </c>
      <c r="AR133" s="12">
        <f t="shared" si="23"/>
        <v>100</v>
      </c>
      <c r="AS133">
        <v>0</v>
      </c>
      <c r="AT133">
        <v>0</v>
      </c>
      <c r="AU133">
        <v>0</v>
      </c>
      <c r="AV133" s="6">
        <v>0</v>
      </c>
      <c r="AW133" s="6">
        <v>0</v>
      </c>
      <c r="AX133">
        <v>0</v>
      </c>
      <c r="AY133" s="6">
        <v>0</v>
      </c>
      <c r="AZ133" s="6">
        <v>0</v>
      </c>
      <c r="BA133" s="6">
        <v>0</v>
      </c>
      <c r="BC133" s="6">
        <v>0</v>
      </c>
      <c r="BD133">
        <v>41</v>
      </c>
      <c r="BE133" s="6" t="s">
        <v>44</v>
      </c>
      <c r="BF133" s="6" t="s">
        <v>44</v>
      </c>
      <c r="BG133" s="6" t="s">
        <v>44</v>
      </c>
      <c r="BH133" s="6" t="s">
        <v>44</v>
      </c>
      <c r="BI133" s="6" t="s">
        <v>44</v>
      </c>
      <c r="BJ133" s="6" t="s">
        <v>44</v>
      </c>
      <c r="BK133" s="6">
        <v>0</v>
      </c>
      <c r="BL133" s="6">
        <f t="shared" si="24"/>
        <v>41</v>
      </c>
      <c r="BM133" s="6">
        <f t="shared" si="20"/>
        <v>41</v>
      </c>
      <c r="BN133">
        <v>52</v>
      </c>
      <c r="BO133">
        <f t="shared" si="17"/>
        <v>52</v>
      </c>
      <c r="BP133">
        <v>19</v>
      </c>
    </row>
    <row r="134" spans="1:70">
      <c r="A134" s="16" t="str">
        <f t="shared" si="18"/>
        <v>RP_2024_AZ_1_3</v>
      </c>
      <c r="B134" t="s">
        <v>59</v>
      </c>
      <c r="C134">
        <v>42.716659999999997</v>
      </c>
      <c r="D134">
        <v>-124.467</v>
      </c>
      <c r="E134" s="8">
        <v>45469</v>
      </c>
      <c r="F134">
        <v>2024</v>
      </c>
      <c r="G134" t="s">
        <v>56</v>
      </c>
      <c r="H134" t="s">
        <v>42</v>
      </c>
      <c r="I134">
        <v>1</v>
      </c>
      <c r="J134">
        <v>3</v>
      </c>
      <c r="K134" t="s">
        <v>46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2" t="s">
        <v>44</v>
      </c>
      <c r="S134" s="22">
        <v>0</v>
      </c>
      <c r="T134" s="23">
        <v>0</v>
      </c>
      <c r="U134" s="23">
        <v>0</v>
      </c>
      <c r="V134" s="18" t="s">
        <v>44</v>
      </c>
      <c r="W134" s="18" t="s">
        <v>44</v>
      </c>
      <c r="X134" s="18" t="s">
        <v>44</v>
      </c>
      <c r="Y134" s="18" t="s">
        <v>44</v>
      </c>
      <c r="Z134" s="18" t="s">
        <v>44</v>
      </c>
      <c r="AA134" s="11" t="s">
        <v>44</v>
      </c>
      <c r="AB134" s="11" t="s">
        <v>44</v>
      </c>
      <c r="AC134" s="11" t="s">
        <v>44</v>
      </c>
      <c r="AD134" s="11" t="s">
        <v>44</v>
      </c>
      <c r="AE134" s="11" t="s">
        <v>44</v>
      </c>
      <c r="AF134" s="11" t="s">
        <v>44</v>
      </c>
      <c r="AG134" s="32"/>
      <c r="AH134">
        <v>0</v>
      </c>
      <c r="AI134">
        <v>55</v>
      </c>
      <c r="AJ134">
        <v>17</v>
      </c>
      <c r="AK134">
        <v>0</v>
      </c>
      <c r="AL134">
        <v>1</v>
      </c>
      <c r="AM134">
        <v>6</v>
      </c>
      <c r="AN134">
        <v>0</v>
      </c>
      <c r="AO134">
        <v>12</v>
      </c>
      <c r="AP134">
        <v>9</v>
      </c>
      <c r="AQ134" s="21">
        <f t="shared" si="19"/>
        <v>9</v>
      </c>
      <c r="AR134" s="12">
        <f t="shared" si="23"/>
        <v>100</v>
      </c>
      <c r="AS134">
        <v>0</v>
      </c>
      <c r="AT134">
        <v>0</v>
      </c>
      <c r="AU134">
        <v>0</v>
      </c>
      <c r="AV134" s="6">
        <v>0</v>
      </c>
      <c r="AW134" s="6">
        <v>0</v>
      </c>
      <c r="AX134">
        <v>0</v>
      </c>
      <c r="AY134" s="6">
        <v>0</v>
      </c>
      <c r="AZ134" s="6">
        <v>0</v>
      </c>
      <c r="BA134" s="6">
        <v>0</v>
      </c>
      <c r="BC134" s="6">
        <v>0</v>
      </c>
      <c r="BD134" s="6">
        <v>0</v>
      </c>
      <c r="BE134" s="6" t="s">
        <v>44</v>
      </c>
      <c r="BF134" s="6" t="s">
        <v>44</v>
      </c>
      <c r="BG134" s="6" t="s">
        <v>44</v>
      </c>
      <c r="BH134" s="6" t="s">
        <v>44</v>
      </c>
      <c r="BI134" s="6" t="s">
        <v>44</v>
      </c>
      <c r="BJ134" s="6" t="s">
        <v>44</v>
      </c>
      <c r="BK134" s="6">
        <v>0</v>
      </c>
      <c r="BL134" s="6">
        <f t="shared" si="24"/>
        <v>0</v>
      </c>
      <c r="BM134" s="6">
        <f t="shared" si="20"/>
        <v>0</v>
      </c>
      <c r="BN134">
        <v>55</v>
      </c>
      <c r="BO134">
        <f t="shared" si="17"/>
        <v>55</v>
      </c>
    </row>
    <row r="135" spans="1:70">
      <c r="A135" s="16" t="str">
        <f t="shared" si="18"/>
        <v>RP_2024_AZ_1_4</v>
      </c>
      <c r="B135" t="s">
        <v>59</v>
      </c>
      <c r="C135">
        <v>42.716659999999997</v>
      </c>
      <c r="D135">
        <v>-124.467</v>
      </c>
      <c r="E135" s="8">
        <v>45469</v>
      </c>
      <c r="F135">
        <v>2024</v>
      </c>
      <c r="G135" t="s">
        <v>56</v>
      </c>
      <c r="H135" t="s">
        <v>42</v>
      </c>
      <c r="I135">
        <v>1</v>
      </c>
      <c r="J135">
        <v>4</v>
      </c>
      <c r="K135" t="s">
        <v>46</v>
      </c>
      <c r="L135" s="23">
        <v>6</v>
      </c>
      <c r="M135" s="23">
        <v>0</v>
      </c>
      <c r="N135" s="23">
        <v>6</v>
      </c>
      <c r="O135" s="23">
        <v>0</v>
      </c>
      <c r="P135" s="23">
        <v>0</v>
      </c>
      <c r="Q135" s="23">
        <v>0</v>
      </c>
      <c r="R135" s="22" t="s">
        <v>44</v>
      </c>
      <c r="S135" s="22">
        <v>0</v>
      </c>
      <c r="T135" s="23">
        <v>0</v>
      </c>
      <c r="U135" s="23">
        <v>0</v>
      </c>
      <c r="V135" s="18" t="s">
        <v>44</v>
      </c>
      <c r="W135" s="18" t="s">
        <v>44</v>
      </c>
      <c r="X135" s="18" t="s">
        <v>44</v>
      </c>
      <c r="Y135" s="18" t="s">
        <v>44</v>
      </c>
      <c r="Z135" s="18" t="s">
        <v>44</v>
      </c>
      <c r="AA135" s="11" t="s">
        <v>44</v>
      </c>
      <c r="AB135" s="11" t="s">
        <v>44</v>
      </c>
      <c r="AC135" s="11" t="s">
        <v>44</v>
      </c>
      <c r="AD135" s="11" t="s">
        <v>44</v>
      </c>
      <c r="AE135" s="11" t="s">
        <v>44</v>
      </c>
      <c r="AF135" s="11" t="s">
        <v>44</v>
      </c>
      <c r="AG135" s="32"/>
      <c r="AH135">
        <v>2</v>
      </c>
      <c r="AI135">
        <v>12</v>
      </c>
      <c r="AJ135">
        <v>4</v>
      </c>
      <c r="AK135">
        <v>0</v>
      </c>
      <c r="AL135">
        <v>10</v>
      </c>
      <c r="AM135">
        <v>10</v>
      </c>
      <c r="AN135">
        <v>5</v>
      </c>
      <c r="AO135">
        <v>0.1</v>
      </c>
      <c r="AP135">
        <v>57</v>
      </c>
      <c r="AQ135" s="21">
        <f t="shared" si="19"/>
        <v>57</v>
      </c>
      <c r="AR135" s="12">
        <f t="shared" si="23"/>
        <v>100.1</v>
      </c>
      <c r="AS135">
        <v>0</v>
      </c>
      <c r="AT135">
        <v>37</v>
      </c>
      <c r="AU135">
        <v>0</v>
      </c>
      <c r="AV135" s="6">
        <v>0</v>
      </c>
      <c r="AW135" s="6">
        <v>0</v>
      </c>
      <c r="AX135">
        <v>0</v>
      </c>
      <c r="AY135" s="6">
        <v>0</v>
      </c>
      <c r="AZ135" s="6">
        <v>0</v>
      </c>
      <c r="BA135" s="6">
        <v>0</v>
      </c>
      <c r="BB135">
        <v>4</v>
      </c>
      <c r="BC135" s="6">
        <v>0</v>
      </c>
      <c r="BD135" s="6">
        <v>0</v>
      </c>
      <c r="BE135" s="6" t="s">
        <v>44</v>
      </c>
      <c r="BF135" s="6" t="s">
        <v>44</v>
      </c>
      <c r="BG135" s="6" t="s">
        <v>44</v>
      </c>
      <c r="BH135" s="6" t="s">
        <v>44</v>
      </c>
      <c r="BI135" s="6" t="s">
        <v>44</v>
      </c>
      <c r="BJ135" s="6" t="s">
        <v>44</v>
      </c>
      <c r="BK135" s="6">
        <v>0</v>
      </c>
      <c r="BL135" s="6">
        <f t="shared" si="24"/>
        <v>37</v>
      </c>
      <c r="BM135" s="6">
        <f t="shared" si="20"/>
        <v>41</v>
      </c>
      <c r="BN135">
        <v>12</v>
      </c>
      <c r="BO135">
        <f t="shared" si="17"/>
        <v>12</v>
      </c>
      <c r="BP135">
        <v>0.1</v>
      </c>
    </row>
    <row r="136" spans="1:70">
      <c r="A136" s="16" t="str">
        <f t="shared" si="18"/>
        <v>RP_2024_AZ_1_5</v>
      </c>
      <c r="B136" t="s">
        <v>59</v>
      </c>
      <c r="C136">
        <v>42.716659999999997</v>
      </c>
      <c r="D136">
        <v>-124.467</v>
      </c>
      <c r="E136" s="8">
        <v>45469</v>
      </c>
      <c r="F136">
        <v>2024</v>
      </c>
      <c r="G136" t="s">
        <v>56</v>
      </c>
      <c r="H136" t="s">
        <v>42</v>
      </c>
      <c r="I136">
        <v>1</v>
      </c>
      <c r="J136">
        <v>5</v>
      </c>
      <c r="K136" t="s">
        <v>46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2" t="s">
        <v>44</v>
      </c>
      <c r="S136" s="22">
        <v>0</v>
      </c>
      <c r="T136" s="23">
        <v>0</v>
      </c>
      <c r="U136" s="23">
        <v>0</v>
      </c>
      <c r="V136" s="18" t="s">
        <v>44</v>
      </c>
      <c r="W136" s="18" t="s">
        <v>44</v>
      </c>
      <c r="X136" s="18" t="s">
        <v>44</v>
      </c>
      <c r="Y136" s="18" t="s">
        <v>44</v>
      </c>
      <c r="Z136" s="18" t="s">
        <v>44</v>
      </c>
      <c r="AA136" s="11" t="s">
        <v>44</v>
      </c>
      <c r="AB136" s="11" t="s">
        <v>44</v>
      </c>
      <c r="AC136" s="11" t="s">
        <v>44</v>
      </c>
      <c r="AD136" s="11" t="s">
        <v>44</v>
      </c>
      <c r="AE136" s="11" t="s">
        <v>44</v>
      </c>
      <c r="AF136" s="11" t="s">
        <v>44</v>
      </c>
      <c r="AG136" s="32">
        <v>0</v>
      </c>
      <c r="AH136">
        <v>6</v>
      </c>
      <c r="AI136">
        <v>69</v>
      </c>
      <c r="AJ136">
        <v>13</v>
      </c>
      <c r="AK136">
        <v>0</v>
      </c>
      <c r="AL136">
        <v>1</v>
      </c>
      <c r="AM136">
        <v>1</v>
      </c>
      <c r="AN136">
        <v>8</v>
      </c>
      <c r="AO136">
        <v>0</v>
      </c>
      <c r="AP136">
        <v>2</v>
      </c>
      <c r="AQ136" s="21">
        <f t="shared" si="19"/>
        <v>2</v>
      </c>
      <c r="AR136" s="12">
        <f t="shared" si="23"/>
        <v>100</v>
      </c>
      <c r="AS136">
        <v>0</v>
      </c>
      <c r="AT136">
        <v>4</v>
      </c>
      <c r="AU136">
        <v>0</v>
      </c>
      <c r="AV136" s="6">
        <v>0</v>
      </c>
      <c r="AW136">
        <v>14</v>
      </c>
      <c r="AX136">
        <v>42</v>
      </c>
      <c r="AY136" s="6">
        <v>0</v>
      </c>
      <c r="AZ136" s="6">
        <v>0</v>
      </c>
      <c r="BA136" s="6">
        <v>0</v>
      </c>
      <c r="BB136">
        <v>5</v>
      </c>
      <c r="BC136" s="6">
        <v>0</v>
      </c>
      <c r="BD136" s="6">
        <v>0</v>
      </c>
      <c r="BE136" s="6" t="s">
        <v>44</v>
      </c>
      <c r="BF136" s="6" t="s">
        <v>44</v>
      </c>
      <c r="BG136" s="6" t="s">
        <v>44</v>
      </c>
      <c r="BH136" s="6" t="s">
        <v>44</v>
      </c>
      <c r="BI136" s="6" t="s">
        <v>44</v>
      </c>
      <c r="BJ136" s="6" t="s">
        <v>44</v>
      </c>
      <c r="BK136" s="6">
        <v>0</v>
      </c>
      <c r="BL136" s="6">
        <f t="shared" si="24"/>
        <v>60</v>
      </c>
      <c r="BM136" s="6">
        <f t="shared" si="20"/>
        <v>65</v>
      </c>
      <c r="BN136">
        <v>74</v>
      </c>
      <c r="BO136">
        <f t="shared" si="17"/>
        <v>74</v>
      </c>
      <c r="BP136">
        <v>8</v>
      </c>
    </row>
    <row r="137" spans="1:70" hidden="1">
      <c r="A137" s="16" t="str">
        <f t="shared" si="18"/>
        <v>RP_2024_AZ_2_1</v>
      </c>
      <c r="B137" t="s">
        <v>59</v>
      </c>
      <c r="C137">
        <v>42.716659999999997</v>
      </c>
      <c r="D137">
        <v>-124.467</v>
      </c>
      <c r="E137" s="8">
        <v>45469</v>
      </c>
      <c r="F137">
        <v>2024</v>
      </c>
      <c r="G137" t="s">
        <v>56</v>
      </c>
      <c r="H137" t="s">
        <v>42</v>
      </c>
      <c r="I137">
        <v>2</v>
      </c>
      <c r="J137">
        <v>1</v>
      </c>
      <c r="K137" t="s">
        <v>47</v>
      </c>
      <c r="L137" s="23">
        <v>4</v>
      </c>
      <c r="M137" s="23">
        <v>0</v>
      </c>
      <c r="N137" s="23">
        <v>4</v>
      </c>
      <c r="O137" s="23">
        <v>0</v>
      </c>
      <c r="P137" s="23">
        <v>0</v>
      </c>
      <c r="Q137" s="23">
        <v>0</v>
      </c>
      <c r="R137" s="22" t="s">
        <v>44</v>
      </c>
      <c r="S137" s="22">
        <v>0</v>
      </c>
      <c r="T137" s="23">
        <v>1</v>
      </c>
      <c r="U137" s="23">
        <v>1</v>
      </c>
      <c r="V137" s="18" t="s">
        <v>44</v>
      </c>
      <c r="W137" s="18" t="s">
        <v>44</v>
      </c>
      <c r="X137" s="18" t="s">
        <v>44</v>
      </c>
      <c r="Y137" s="18" t="s">
        <v>44</v>
      </c>
      <c r="Z137" s="18" t="s">
        <v>44</v>
      </c>
      <c r="AA137" s="11" t="s">
        <v>44</v>
      </c>
      <c r="AB137" s="11" t="s">
        <v>44</v>
      </c>
      <c r="AC137" s="11" t="s">
        <v>44</v>
      </c>
      <c r="AD137" s="11" t="s">
        <v>44</v>
      </c>
      <c r="AE137" s="11" t="s">
        <v>44</v>
      </c>
      <c r="AF137" s="11" t="s">
        <v>44</v>
      </c>
      <c r="AG137" s="32" t="s">
        <v>44</v>
      </c>
      <c r="AH137">
        <v>3</v>
      </c>
      <c r="AI137">
        <v>15</v>
      </c>
      <c r="AJ137">
        <v>2</v>
      </c>
      <c r="AK137">
        <v>0</v>
      </c>
      <c r="AL137">
        <v>9</v>
      </c>
      <c r="AM137">
        <v>13</v>
      </c>
      <c r="AN137">
        <v>5</v>
      </c>
      <c r="AO137">
        <v>0.1</v>
      </c>
      <c r="AP137">
        <v>53</v>
      </c>
      <c r="AQ137" s="21" t="e">
        <f t="shared" si="19"/>
        <v>#VALUE!</v>
      </c>
      <c r="AR137" s="12">
        <f t="shared" si="23"/>
        <v>100.1</v>
      </c>
      <c r="AS137">
        <v>0</v>
      </c>
      <c r="AT137">
        <v>10</v>
      </c>
      <c r="AU137">
        <v>0</v>
      </c>
      <c r="AV137" s="6">
        <v>0</v>
      </c>
      <c r="AW137" s="6">
        <v>0</v>
      </c>
      <c r="AX137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 t="s">
        <v>44</v>
      </c>
      <c r="BF137" s="6" t="s">
        <v>44</v>
      </c>
      <c r="BG137" s="6" t="s">
        <v>44</v>
      </c>
      <c r="BH137" s="6" t="s">
        <v>44</v>
      </c>
      <c r="BI137" s="6" t="s">
        <v>44</v>
      </c>
      <c r="BJ137" s="6" t="s">
        <v>44</v>
      </c>
      <c r="BK137" s="6">
        <v>0</v>
      </c>
      <c r="BL137" s="6">
        <f t="shared" si="24"/>
        <v>10</v>
      </c>
      <c r="BM137" s="6">
        <f t="shared" si="20"/>
        <v>10</v>
      </c>
      <c r="BN137">
        <v>15</v>
      </c>
      <c r="BO137">
        <f t="shared" si="17"/>
        <v>15</v>
      </c>
      <c r="BP137">
        <v>2</v>
      </c>
      <c r="BQ137">
        <f>SUM(BP137,BB137,BK137)</f>
        <v>2</v>
      </c>
      <c r="BR137">
        <f t="shared" si="21"/>
        <v>0</v>
      </c>
    </row>
    <row r="138" spans="1:70" hidden="1">
      <c r="A138" s="16" t="str">
        <f t="shared" si="18"/>
        <v>RP_2024_AZ_2_2</v>
      </c>
      <c r="B138" t="s">
        <v>59</v>
      </c>
      <c r="C138">
        <v>42.716659999999997</v>
      </c>
      <c r="D138">
        <v>-124.467</v>
      </c>
      <c r="E138" s="8">
        <v>45469</v>
      </c>
      <c r="F138">
        <v>2024</v>
      </c>
      <c r="G138" t="s">
        <v>56</v>
      </c>
      <c r="H138" t="s">
        <v>42</v>
      </c>
      <c r="I138">
        <v>2</v>
      </c>
      <c r="J138">
        <v>2</v>
      </c>
      <c r="K138" t="s">
        <v>47</v>
      </c>
      <c r="L138" s="23">
        <v>11</v>
      </c>
      <c r="M138" s="23">
        <v>0</v>
      </c>
      <c r="N138" s="23">
        <v>9</v>
      </c>
      <c r="O138" s="23">
        <v>2</v>
      </c>
      <c r="P138" s="23">
        <v>2</v>
      </c>
      <c r="Q138" s="23">
        <v>0</v>
      </c>
      <c r="R138" s="22" t="s">
        <v>44</v>
      </c>
      <c r="S138" s="22">
        <v>0</v>
      </c>
      <c r="T138" s="23">
        <v>0</v>
      </c>
      <c r="U138" s="23">
        <v>0</v>
      </c>
      <c r="V138" s="18" t="s">
        <v>44</v>
      </c>
      <c r="W138" s="18" t="s">
        <v>44</v>
      </c>
      <c r="X138" s="18" t="s">
        <v>44</v>
      </c>
      <c r="Y138" s="18" t="s">
        <v>44</v>
      </c>
      <c r="Z138" s="18" t="s">
        <v>44</v>
      </c>
      <c r="AA138" s="11" t="s">
        <v>44</v>
      </c>
      <c r="AB138" s="11" t="s">
        <v>44</v>
      </c>
      <c r="AC138" s="11" t="s">
        <v>44</v>
      </c>
      <c r="AD138" s="11" t="s">
        <v>44</v>
      </c>
      <c r="AE138" s="11" t="s">
        <v>44</v>
      </c>
      <c r="AF138" s="11" t="s">
        <v>44</v>
      </c>
      <c r="AG138" s="32" t="s">
        <v>44</v>
      </c>
      <c r="AH138">
        <v>3</v>
      </c>
      <c r="AI138">
        <v>36</v>
      </c>
      <c r="AJ138">
        <v>0</v>
      </c>
      <c r="AK138">
        <v>0</v>
      </c>
      <c r="AL138">
        <v>13</v>
      </c>
      <c r="AM138">
        <v>4</v>
      </c>
      <c r="AN138">
        <v>9</v>
      </c>
      <c r="AO138">
        <v>4</v>
      </c>
      <c r="AP138">
        <v>31</v>
      </c>
      <c r="AQ138" s="21" t="e">
        <f t="shared" si="19"/>
        <v>#VALUE!</v>
      </c>
      <c r="AR138" s="12">
        <f t="shared" si="23"/>
        <v>100</v>
      </c>
      <c r="AS138">
        <v>0</v>
      </c>
      <c r="AT138">
        <v>21</v>
      </c>
      <c r="AU138">
        <v>0</v>
      </c>
      <c r="AV138" s="6">
        <v>0</v>
      </c>
      <c r="AW138">
        <v>10</v>
      </c>
      <c r="AX138">
        <v>5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 t="s">
        <v>44</v>
      </c>
      <c r="BF138" s="6" t="s">
        <v>44</v>
      </c>
      <c r="BG138" s="6" t="s">
        <v>44</v>
      </c>
      <c r="BH138" s="6" t="s">
        <v>44</v>
      </c>
      <c r="BI138" s="6" t="s">
        <v>44</v>
      </c>
      <c r="BJ138" s="6" t="s">
        <v>44</v>
      </c>
      <c r="BK138" s="6">
        <v>0</v>
      </c>
      <c r="BL138" s="6">
        <f t="shared" si="24"/>
        <v>36</v>
      </c>
      <c r="BM138" s="6">
        <f t="shared" si="20"/>
        <v>36</v>
      </c>
      <c r="BN138">
        <v>36</v>
      </c>
      <c r="BO138">
        <f t="shared" si="17"/>
        <v>36</v>
      </c>
      <c r="BP138">
        <v>0</v>
      </c>
      <c r="BQ138">
        <f>SUM(BP138,BB138,BK138)</f>
        <v>0</v>
      </c>
      <c r="BR138">
        <f t="shared" si="21"/>
        <v>0</v>
      </c>
    </row>
    <row r="139" spans="1:70">
      <c r="A139" s="16" t="str">
        <f t="shared" si="18"/>
        <v>RP_2024_AZ_2_3</v>
      </c>
      <c r="B139" t="s">
        <v>59</v>
      </c>
      <c r="C139">
        <v>42.716659999999997</v>
      </c>
      <c r="D139">
        <v>-124.467</v>
      </c>
      <c r="E139" s="8">
        <v>45469</v>
      </c>
      <c r="F139">
        <v>2024</v>
      </c>
      <c r="G139" t="s">
        <v>56</v>
      </c>
      <c r="H139" t="s">
        <v>42</v>
      </c>
      <c r="I139">
        <v>2</v>
      </c>
      <c r="J139">
        <v>3</v>
      </c>
      <c r="K139" t="s">
        <v>47</v>
      </c>
      <c r="L139" s="23">
        <v>3</v>
      </c>
      <c r="M139" s="23">
        <v>0</v>
      </c>
      <c r="N139" s="23">
        <v>3</v>
      </c>
      <c r="O139" s="23">
        <v>0</v>
      </c>
      <c r="P139" s="23">
        <v>0</v>
      </c>
      <c r="Q139" s="23">
        <v>0</v>
      </c>
      <c r="R139" s="22" t="s">
        <v>44</v>
      </c>
      <c r="S139" s="22">
        <v>0</v>
      </c>
      <c r="T139" s="23">
        <v>0</v>
      </c>
      <c r="U139" s="23">
        <v>0</v>
      </c>
      <c r="V139" s="18" t="s">
        <v>44</v>
      </c>
      <c r="W139" s="18" t="s">
        <v>44</v>
      </c>
      <c r="X139" s="18" t="s">
        <v>44</v>
      </c>
      <c r="Y139" s="18" t="s">
        <v>44</v>
      </c>
      <c r="Z139" s="18" t="s">
        <v>44</v>
      </c>
      <c r="AA139" s="11" t="s">
        <v>44</v>
      </c>
      <c r="AB139" s="11" t="s">
        <v>44</v>
      </c>
      <c r="AC139" s="11" t="s">
        <v>44</v>
      </c>
      <c r="AD139" s="11" t="s">
        <v>44</v>
      </c>
      <c r="AE139" s="11" t="s">
        <v>44</v>
      </c>
      <c r="AF139" s="11" t="s">
        <v>44</v>
      </c>
      <c r="AG139" s="32"/>
      <c r="AH139">
        <v>0.1</v>
      </c>
      <c r="AI139">
        <v>67</v>
      </c>
      <c r="AJ139">
        <v>15</v>
      </c>
      <c r="AK139">
        <v>0.1</v>
      </c>
      <c r="AL139">
        <v>1</v>
      </c>
      <c r="AM139">
        <v>4</v>
      </c>
      <c r="AN139">
        <v>0.1</v>
      </c>
      <c r="AO139">
        <v>0.1</v>
      </c>
      <c r="AP139">
        <v>13</v>
      </c>
      <c r="AQ139" s="21">
        <f t="shared" si="19"/>
        <v>13</v>
      </c>
      <c r="AR139" s="12">
        <f t="shared" si="23"/>
        <v>100.39999999999998</v>
      </c>
      <c r="AS139">
        <v>0</v>
      </c>
      <c r="AT139">
        <v>2</v>
      </c>
      <c r="AU139">
        <v>0</v>
      </c>
      <c r="AV139" s="6">
        <v>0</v>
      </c>
      <c r="AW139" s="6">
        <v>0</v>
      </c>
      <c r="AX139">
        <v>5</v>
      </c>
      <c r="AY139" s="6">
        <v>0</v>
      </c>
      <c r="AZ139" s="6">
        <v>0</v>
      </c>
      <c r="BA139" s="6">
        <v>0</v>
      </c>
      <c r="BB139">
        <v>13</v>
      </c>
      <c r="BC139" s="6">
        <v>0</v>
      </c>
      <c r="BD139" s="6">
        <v>0</v>
      </c>
      <c r="BE139" s="6" t="s">
        <v>44</v>
      </c>
      <c r="BF139" s="6" t="s">
        <v>44</v>
      </c>
      <c r="BG139" s="6" t="s">
        <v>44</v>
      </c>
      <c r="BH139" s="6" t="s">
        <v>44</v>
      </c>
      <c r="BI139" s="6" t="s">
        <v>44</v>
      </c>
      <c r="BJ139" s="6" t="s">
        <v>44</v>
      </c>
      <c r="BK139" s="6">
        <v>0</v>
      </c>
      <c r="BL139" s="6">
        <f t="shared" si="24"/>
        <v>7</v>
      </c>
      <c r="BM139" s="6">
        <f t="shared" si="20"/>
        <v>20</v>
      </c>
      <c r="BN139">
        <v>80</v>
      </c>
      <c r="BO139">
        <f t="shared" si="17"/>
        <v>80</v>
      </c>
      <c r="BP139">
        <v>2</v>
      </c>
    </row>
    <row r="140" spans="1:70" hidden="1">
      <c r="A140" s="16" t="str">
        <f t="shared" si="18"/>
        <v>RP_2024_AZ_2_4</v>
      </c>
      <c r="B140" t="s">
        <v>59</v>
      </c>
      <c r="C140">
        <v>42.716659999999997</v>
      </c>
      <c r="D140">
        <v>-124.467</v>
      </c>
      <c r="E140" s="8">
        <v>45469</v>
      </c>
      <c r="F140">
        <v>2024</v>
      </c>
      <c r="G140" t="s">
        <v>56</v>
      </c>
      <c r="H140" t="s">
        <v>42</v>
      </c>
      <c r="I140">
        <v>2</v>
      </c>
      <c r="J140">
        <v>4</v>
      </c>
      <c r="K140" t="s">
        <v>47</v>
      </c>
      <c r="L140" s="23">
        <v>2</v>
      </c>
      <c r="M140" s="23">
        <v>0</v>
      </c>
      <c r="N140" s="23">
        <v>2</v>
      </c>
      <c r="O140" s="23">
        <v>0</v>
      </c>
      <c r="P140" s="23">
        <v>2</v>
      </c>
      <c r="Q140" s="23">
        <v>1</v>
      </c>
      <c r="R140" s="22" t="s">
        <v>44</v>
      </c>
      <c r="S140" s="22">
        <v>0</v>
      </c>
      <c r="T140" s="23">
        <v>0</v>
      </c>
      <c r="U140" s="23">
        <v>1</v>
      </c>
      <c r="V140" s="18" t="s">
        <v>44</v>
      </c>
      <c r="W140" s="18" t="s">
        <v>44</v>
      </c>
      <c r="X140" s="18" t="s">
        <v>44</v>
      </c>
      <c r="Y140" s="18" t="s">
        <v>44</v>
      </c>
      <c r="Z140" s="18" t="s">
        <v>44</v>
      </c>
      <c r="AA140" s="11" t="s">
        <v>44</v>
      </c>
      <c r="AB140" s="11" t="s">
        <v>44</v>
      </c>
      <c r="AC140" s="11" t="s">
        <v>44</v>
      </c>
      <c r="AD140" s="11" t="s">
        <v>44</v>
      </c>
      <c r="AE140" s="11" t="s">
        <v>44</v>
      </c>
      <c r="AF140" s="11" t="s">
        <v>44</v>
      </c>
      <c r="AG140" s="32" t="s">
        <v>44</v>
      </c>
      <c r="AH140">
        <v>0</v>
      </c>
      <c r="AI140">
        <v>75</v>
      </c>
      <c r="AJ140">
        <v>5</v>
      </c>
      <c r="AK140">
        <v>0</v>
      </c>
      <c r="AL140">
        <v>3</v>
      </c>
      <c r="AM140">
        <v>0</v>
      </c>
      <c r="AN140">
        <v>4</v>
      </c>
      <c r="AO140">
        <v>11</v>
      </c>
      <c r="AP140">
        <v>2</v>
      </c>
      <c r="AQ140" s="21" t="e">
        <f t="shared" si="19"/>
        <v>#VALUE!</v>
      </c>
      <c r="AR140" s="12">
        <f t="shared" si="23"/>
        <v>100</v>
      </c>
      <c r="AS140">
        <v>0</v>
      </c>
      <c r="AT140">
        <v>0</v>
      </c>
      <c r="AU140">
        <v>0</v>
      </c>
      <c r="AV140" s="6">
        <v>0</v>
      </c>
      <c r="AW140">
        <v>0</v>
      </c>
      <c r="AX140">
        <v>5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 t="s">
        <v>44</v>
      </c>
      <c r="BF140" s="6" t="s">
        <v>44</v>
      </c>
      <c r="BG140" s="6" t="s">
        <v>44</v>
      </c>
      <c r="BH140" s="6" t="s">
        <v>44</v>
      </c>
      <c r="BI140" s="6" t="s">
        <v>44</v>
      </c>
      <c r="BJ140" s="6" t="s">
        <v>44</v>
      </c>
      <c r="BK140" s="6">
        <v>0</v>
      </c>
      <c r="BL140" s="6">
        <f t="shared" si="24"/>
        <v>5</v>
      </c>
      <c r="BM140" s="6">
        <f t="shared" si="20"/>
        <v>5</v>
      </c>
      <c r="BN140">
        <v>75</v>
      </c>
      <c r="BO140">
        <f t="shared" si="17"/>
        <v>75</v>
      </c>
      <c r="BP140">
        <v>5</v>
      </c>
      <c r="BQ140">
        <f>SUM(BP140,BB140,BK140)</f>
        <v>5</v>
      </c>
      <c r="BR140">
        <f t="shared" si="21"/>
        <v>0</v>
      </c>
    </row>
    <row r="141" spans="1:70" hidden="1">
      <c r="A141" s="16" t="str">
        <f t="shared" si="18"/>
        <v>RP_2024_AZ_2_5</v>
      </c>
      <c r="B141" t="s">
        <v>59</v>
      </c>
      <c r="C141">
        <v>42.716659999999997</v>
      </c>
      <c r="D141">
        <v>-124.467</v>
      </c>
      <c r="E141" s="8">
        <v>45469</v>
      </c>
      <c r="F141">
        <v>2024</v>
      </c>
      <c r="G141" t="s">
        <v>56</v>
      </c>
      <c r="H141" t="s">
        <v>42</v>
      </c>
      <c r="I141">
        <v>2</v>
      </c>
      <c r="J141">
        <v>5</v>
      </c>
      <c r="K141" t="s">
        <v>47</v>
      </c>
      <c r="L141" s="23">
        <v>2</v>
      </c>
      <c r="M141" s="23">
        <v>0</v>
      </c>
      <c r="N141" s="23">
        <v>2</v>
      </c>
      <c r="O141" s="23">
        <v>0</v>
      </c>
      <c r="P141" s="23">
        <v>0</v>
      </c>
      <c r="Q141" s="23">
        <v>0</v>
      </c>
      <c r="R141" s="22" t="s">
        <v>44</v>
      </c>
      <c r="S141" s="22">
        <v>0</v>
      </c>
      <c r="T141" s="23">
        <v>0</v>
      </c>
      <c r="U141" s="23">
        <v>0</v>
      </c>
      <c r="V141" s="18" t="s">
        <v>44</v>
      </c>
      <c r="W141" s="18" t="s">
        <v>44</v>
      </c>
      <c r="X141" s="18" t="s">
        <v>44</v>
      </c>
      <c r="Y141" s="18" t="s">
        <v>44</v>
      </c>
      <c r="Z141" s="18" t="s">
        <v>44</v>
      </c>
      <c r="AA141" s="11" t="s">
        <v>44</v>
      </c>
      <c r="AB141" s="11" t="s">
        <v>44</v>
      </c>
      <c r="AC141" s="11" t="s">
        <v>44</v>
      </c>
      <c r="AD141" s="11" t="s">
        <v>44</v>
      </c>
      <c r="AE141" s="11" t="s">
        <v>44</v>
      </c>
      <c r="AF141" s="11" t="s">
        <v>44</v>
      </c>
      <c r="AG141" s="32" t="s">
        <v>44</v>
      </c>
      <c r="AH141">
        <v>6</v>
      </c>
      <c r="AI141">
        <v>10</v>
      </c>
      <c r="AJ141">
        <v>3</v>
      </c>
      <c r="AK141">
        <v>0</v>
      </c>
      <c r="AL141">
        <v>9</v>
      </c>
      <c r="AM141">
        <v>5</v>
      </c>
      <c r="AN141">
        <v>0</v>
      </c>
      <c r="AO141">
        <v>0.1</v>
      </c>
      <c r="AP141">
        <v>67</v>
      </c>
      <c r="AQ141" s="21" t="e">
        <f t="shared" si="19"/>
        <v>#VALUE!</v>
      </c>
      <c r="AR141" s="12">
        <f t="shared" si="23"/>
        <v>100.1</v>
      </c>
      <c r="AS141">
        <v>0</v>
      </c>
      <c r="AT141">
        <v>80</v>
      </c>
      <c r="AU141">
        <v>0</v>
      </c>
      <c r="AV141" s="6">
        <v>0</v>
      </c>
      <c r="AW141" s="6">
        <v>0</v>
      </c>
      <c r="AX141">
        <v>1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 t="s">
        <v>44</v>
      </c>
      <c r="BF141" s="6" t="s">
        <v>44</v>
      </c>
      <c r="BG141" s="6" t="s">
        <v>44</v>
      </c>
      <c r="BH141" s="6" t="s">
        <v>44</v>
      </c>
      <c r="BI141" s="6" t="s">
        <v>44</v>
      </c>
      <c r="BJ141" s="6" t="s">
        <v>44</v>
      </c>
      <c r="BK141" s="6">
        <v>0</v>
      </c>
      <c r="BL141" s="6">
        <f t="shared" si="24"/>
        <v>81</v>
      </c>
      <c r="BM141" s="6">
        <f t="shared" si="20"/>
        <v>81</v>
      </c>
      <c r="BN141">
        <v>10</v>
      </c>
      <c r="BO141">
        <f t="shared" si="17"/>
        <v>10</v>
      </c>
      <c r="BP141">
        <v>3</v>
      </c>
      <c r="BQ141">
        <f>SUM(BP141,BB141,BK141)</f>
        <v>3</v>
      </c>
      <c r="BR141">
        <f t="shared" si="21"/>
        <v>0</v>
      </c>
    </row>
    <row r="142" spans="1:70" hidden="1">
      <c r="A142" s="16" t="str">
        <f t="shared" si="18"/>
        <v>RP_2024_NPZ_1_1</v>
      </c>
      <c r="B142" t="s">
        <v>59</v>
      </c>
      <c r="C142">
        <v>42.716659999999997</v>
      </c>
      <c r="D142">
        <v>-124.467</v>
      </c>
      <c r="E142" s="8">
        <v>45469</v>
      </c>
      <c r="F142">
        <v>2024</v>
      </c>
      <c r="G142" t="s">
        <v>56</v>
      </c>
      <c r="H142" t="s">
        <v>48</v>
      </c>
      <c r="I142">
        <v>1</v>
      </c>
      <c r="J142">
        <v>1</v>
      </c>
      <c r="K142" t="s">
        <v>51</v>
      </c>
      <c r="L142" s="23">
        <v>30</v>
      </c>
      <c r="M142" s="23">
        <v>0</v>
      </c>
      <c r="N142" s="23">
        <v>0</v>
      </c>
      <c r="O142" s="23">
        <v>30</v>
      </c>
      <c r="P142" s="23">
        <v>1</v>
      </c>
      <c r="Q142" s="23">
        <v>0</v>
      </c>
      <c r="R142" s="22" t="s">
        <v>44</v>
      </c>
      <c r="S142" s="22">
        <v>0</v>
      </c>
      <c r="T142" s="23">
        <v>0</v>
      </c>
      <c r="U142" s="23">
        <v>0</v>
      </c>
      <c r="V142" s="18">
        <v>2.2000000000000002</v>
      </c>
      <c r="W142" s="18">
        <v>6.9</v>
      </c>
      <c r="X142" s="18">
        <v>5.5</v>
      </c>
      <c r="Y142" s="18">
        <v>6.8</v>
      </c>
      <c r="Z142" s="18">
        <v>6.5</v>
      </c>
      <c r="AA142" s="15">
        <v>0</v>
      </c>
      <c r="AB142" s="15">
        <v>0</v>
      </c>
      <c r="AC142" s="15">
        <v>0</v>
      </c>
      <c r="AD142" s="15">
        <v>1</v>
      </c>
      <c r="AE142" s="15">
        <v>0</v>
      </c>
      <c r="AF142" s="11">
        <f t="shared" si="22"/>
        <v>1</v>
      </c>
      <c r="AG142" s="32" t="s">
        <v>44</v>
      </c>
      <c r="AH142">
        <v>0</v>
      </c>
      <c r="AI142">
        <v>0</v>
      </c>
      <c r="AJ142">
        <v>0</v>
      </c>
      <c r="AK142">
        <v>0</v>
      </c>
      <c r="AL142">
        <v>10</v>
      </c>
      <c r="AM142">
        <v>5</v>
      </c>
      <c r="AN142">
        <v>2</v>
      </c>
      <c r="AO142">
        <v>10</v>
      </c>
      <c r="AP142">
        <v>73</v>
      </c>
      <c r="AQ142" s="21" t="e">
        <f t="shared" si="19"/>
        <v>#VALUE!</v>
      </c>
      <c r="AR142" s="12">
        <f t="shared" si="23"/>
        <v>100</v>
      </c>
      <c r="AS142">
        <v>0</v>
      </c>
      <c r="AT142">
        <v>0</v>
      </c>
      <c r="AU142">
        <v>0</v>
      </c>
      <c r="AV142" s="6">
        <v>0</v>
      </c>
      <c r="AW142">
        <v>2</v>
      </c>
      <c r="AX142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 t="s">
        <v>44</v>
      </c>
      <c r="BF142" s="6" t="s">
        <v>44</v>
      </c>
      <c r="BG142" s="6" t="s">
        <v>44</v>
      </c>
      <c r="BH142" s="6" t="s">
        <v>44</v>
      </c>
      <c r="BI142" s="6" t="s">
        <v>44</v>
      </c>
      <c r="BJ142" s="6" t="s">
        <v>44</v>
      </c>
      <c r="BK142" s="6">
        <v>0</v>
      </c>
      <c r="BL142" s="6">
        <f t="shared" si="24"/>
        <v>2</v>
      </c>
      <c r="BM142" s="6">
        <f t="shared" si="20"/>
        <v>2</v>
      </c>
      <c r="BN142">
        <v>0</v>
      </c>
      <c r="BO142">
        <f t="shared" si="17"/>
        <v>0</v>
      </c>
      <c r="BP142">
        <v>0</v>
      </c>
      <c r="BQ142">
        <f>SUM(BP142,BB142,BK142)</f>
        <v>0</v>
      </c>
      <c r="BR142">
        <f t="shared" si="21"/>
        <v>0</v>
      </c>
    </row>
    <row r="143" spans="1:70">
      <c r="A143" s="16" t="str">
        <f t="shared" si="18"/>
        <v>RP_2024_NPZ_1_2</v>
      </c>
      <c r="B143" t="s">
        <v>59</v>
      </c>
      <c r="C143">
        <v>42.716659999999997</v>
      </c>
      <c r="D143">
        <v>-124.467</v>
      </c>
      <c r="E143" s="8">
        <v>45469</v>
      </c>
      <c r="F143">
        <v>2024</v>
      </c>
      <c r="G143" t="s">
        <v>56</v>
      </c>
      <c r="H143" t="s">
        <v>48</v>
      </c>
      <c r="I143">
        <v>1</v>
      </c>
      <c r="J143">
        <v>2</v>
      </c>
      <c r="K143" t="s">
        <v>47</v>
      </c>
      <c r="L143" s="23">
        <v>33</v>
      </c>
      <c r="M143" s="23">
        <v>0</v>
      </c>
      <c r="N143" s="23">
        <v>12</v>
      </c>
      <c r="O143" s="23">
        <v>21</v>
      </c>
      <c r="P143" s="23">
        <v>11</v>
      </c>
      <c r="Q143" s="23">
        <v>0</v>
      </c>
      <c r="R143" s="22" t="s">
        <v>44</v>
      </c>
      <c r="S143" s="22">
        <v>0</v>
      </c>
      <c r="T143" s="23">
        <v>1</v>
      </c>
      <c r="U143" s="23">
        <v>1</v>
      </c>
      <c r="V143" s="18">
        <v>3.6</v>
      </c>
      <c r="W143" s="18">
        <v>3.9</v>
      </c>
      <c r="X143" s="18">
        <v>4.0999999999999996</v>
      </c>
      <c r="Y143" s="18">
        <v>4.0999999999999996</v>
      </c>
      <c r="Z143" s="18">
        <v>4.2</v>
      </c>
      <c r="AA143" s="15">
        <v>0</v>
      </c>
      <c r="AB143" s="15">
        <v>1</v>
      </c>
      <c r="AC143" s="15">
        <v>1</v>
      </c>
      <c r="AD143" s="15">
        <v>2</v>
      </c>
      <c r="AE143" s="15">
        <v>1</v>
      </c>
      <c r="AF143" s="11">
        <f t="shared" si="22"/>
        <v>5</v>
      </c>
      <c r="AG143" s="32"/>
      <c r="AH143">
        <v>0</v>
      </c>
      <c r="AI143">
        <v>7</v>
      </c>
      <c r="AJ143">
        <v>5</v>
      </c>
      <c r="AK143">
        <v>0</v>
      </c>
      <c r="AL143">
        <v>6</v>
      </c>
      <c r="AM143">
        <v>6</v>
      </c>
      <c r="AN143">
        <v>9</v>
      </c>
      <c r="AO143">
        <v>15</v>
      </c>
      <c r="AP143">
        <v>52</v>
      </c>
      <c r="AQ143" s="21">
        <f t="shared" si="19"/>
        <v>52</v>
      </c>
      <c r="AR143" s="12">
        <f t="shared" si="23"/>
        <v>100</v>
      </c>
      <c r="AS143">
        <v>0</v>
      </c>
      <c r="AT143">
        <v>0</v>
      </c>
      <c r="AU143">
        <v>0</v>
      </c>
      <c r="AV143" s="6">
        <v>0</v>
      </c>
      <c r="AW143" s="6">
        <v>0</v>
      </c>
      <c r="AX143">
        <v>0</v>
      </c>
      <c r="AY143" s="6">
        <v>0</v>
      </c>
      <c r="AZ143" s="6">
        <v>0</v>
      </c>
      <c r="BA143" s="6">
        <v>0</v>
      </c>
      <c r="BB143">
        <v>3</v>
      </c>
      <c r="BC143" s="6">
        <v>0</v>
      </c>
      <c r="BD143" s="6">
        <v>0</v>
      </c>
      <c r="BE143" s="6" t="s">
        <v>44</v>
      </c>
      <c r="BF143" s="6" t="s">
        <v>44</v>
      </c>
      <c r="BG143" s="6" t="s">
        <v>44</v>
      </c>
      <c r="BH143" s="6" t="s">
        <v>44</v>
      </c>
      <c r="BI143" s="6" t="s">
        <v>44</v>
      </c>
      <c r="BJ143" s="6" t="s">
        <v>44</v>
      </c>
      <c r="BK143" s="6">
        <v>0</v>
      </c>
      <c r="BL143" s="6">
        <f t="shared" si="24"/>
        <v>0</v>
      </c>
      <c r="BM143" s="6">
        <f t="shared" si="20"/>
        <v>3</v>
      </c>
      <c r="BN143">
        <v>7</v>
      </c>
      <c r="BO143">
        <f t="shared" si="17"/>
        <v>7</v>
      </c>
      <c r="BP143">
        <v>2</v>
      </c>
    </row>
    <row r="144" spans="1:70">
      <c r="A144" s="16" t="str">
        <f t="shared" si="18"/>
        <v>RP_2024_NPZ_1_3</v>
      </c>
      <c r="B144" t="s">
        <v>59</v>
      </c>
      <c r="C144">
        <v>42.716659999999997</v>
      </c>
      <c r="D144">
        <v>-124.467</v>
      </c>
      <c r="E144" s="8">
        <v>45469</v>
      </c>
      <c r="F144">
        <v>2024</v>
      </c>
      <c r="G144" t="s">
        <v>56</v>
      </c>
      <c r="H144" t="s">
        <v>48</v>
      </c>
      <c r="I144">
        <v>1</v>
      </c>
      <c r="J144">
        <v>3</v>
      </c>
      <c r="K144" t="s">
        <v>47</v>
      </c>
      <c r="L144" s="23">
        <v>18</v>
      </c>
      <c r="M144" s="23">
        <v>0</v>
      </c>
      <c r="N144" s="23">
        <v>4</v>
      </c>
      <c r="O144" s="23">
        <v>14</v>
      </c>
      <c r="P144" s="23">
        <v>1</v>
      </c>
      <c r="Q144" s="23">
        <v>0</v>
      </c>
      <c r="R144" s="22" t="s">
        <v>44</v>
      </c>
      <c r="S144" s="22">
        <v>0</v>
      </c>
      <c r="T144" s="23">
        <v>6</v>
      </c>
      <c r="U144" s="23">
        <v>6</v>
      </c>
      <c r="V144" s="18">
        <v>4.3</v>
      </c>
      <c r="W144" s="18">
        <v>1.8</v>
      </c>
      <c r="X144" s="18">
        <v>4.2</v>
      </c>
      <c r="Y144" s="18">
        <v>3.8</v>
      </c>
      <c r="Z144" s="18">
        <v>2.5</v>
      </c>
      <c r="AA144" s="15">
        <v>0</v>
      </c>
      <c r="AB144" s="15">
        <v>1</v>
      </c>
      <c r="AC144" s="15">
        <v>0</v>
      </c>
      <c r="AD144" s="15">
        <v>1</v>
      </c>
      <c r="AE144" s="15">
        <v>0</v>
      </c>
      <c r="AF144" s="11">
        <f t="shared" si="22"/>
        <v>2</v>
      </c>
      <c r="AG144" s="32"/>
      <c r="AH144">
        <v>0</v>
      </c>
      <c r="AI144">
        <v>9</v>
      </c>
      <c r="AJ144">
        <v>7</v>
      </c>
      <c r="AK144">
        <v>0</v>
      </c>
      <c r="AL144">
        <v>6</v>
      </c>
      <c r="AM144">
        <v>0</v>
      </c>
      <c r="AN144">
        <v>4</v>
      </c>
      <c r="AO144">
        <v>7</v>
      </c>
      <c r="AP144">
        <v>67</v>
      </c>
      <c r="AQ144" s="21">
        <f t="shared" si="19"/>
        <v>67</v>
      </c>
      <c r="AR144" s="12">
        <f t="shared" si="23"/>
        <v>100</v>
      </c>
      <c r="AS144">
        <v>0</v>
      </c>
      <c r="AT144">
        <v>0</v>
      </c>
      <c r="AU144">
        <v>0</v>
      </c>
      <c r="AV144" s="6">
        <v>0</v>
      </c>
      <c r="AW144">
        <v>0</v>
      </c>
      <c r="AX144">
        <v>2</v>
      </c>
      <c r="AY144" s="6">
        <v>0</v>
      </c>
      <c r="AZ144" s="6">
        <v>0</v>
      </c>
      <c r="BA144" s="6">
        <v>0</v>
      </c>
      <c r="BB144">
        <v>4</v>
      </c>
      <c r="BC144" s="6">
        <v>0</v>
      </c>
      <c r="BD144" s="6">
        <v>0</v>
      </c>
      <c r="BE144" s="6" t="s">
        <v>44</v>
      </c>
      <c r="BF144" s="6" t="s">
        <v>44</v>
      </c>
      <c r="BG144" s="6" t="s">
        <v>44</v>
      </c>
      <c r="BH144" s="6" t="s">
        <v>44</v>
      </c>
      <c r="BI144" s="6" t="s">
        <v>44</v>
      </c>
      <c r="BJ144" s="6" t="s">
        <v>44</v>
      </c>
      <c r="BK144" s="6">
        <v>0</v>
      </c>
      <c r="BL144" s="6">
        <f t="shared" si="24"/>
        <v>2</v>
      </c>
      <c r="BM144" s="6">
        <f t="shared" si="20"/>
        <v>6</v>
      </c>
      <c r="BN144">
        <v>9</v>
      </c>
      <c r="BO144">
        <f t="shared" si="17"/>
        <v>9</v>
      </c>
      <c r="BP144">
        <v>3</v>
      </c>
    </row>
    <row r="145" spans="1:70" hidden="1">
      <c r="A145" s="16" t="str">
        <f t="shared" si="18"/>
        <v>RP_2024_NPZ_1_4</v>
      </c>
      <c r="B145" t="s">
        <v>59</v>
      </c>
      <c r="C145">
        <v>42.716659999999997</v>
      </c>
      <c r="D145">
        <v>-124.467</v>
      </c>
      <c r="E145" s="8">
        <v>45469</v>
      </c>
      <c r="F145">
        <v>2024</v>
      </c>
      <c r="G145" t="s">
        <v>56</v>
      </c>
      <c r="H145" t="s">
        <v>48</v>
      </c>
      <c r="I145">
        <v>1</v>
      </c>
      <c r="J145">
        <v>4</v>
      </c>
      <c r="K145" t="s">
        <v>51</v>
      </c>
      <c r="L145" s="23">
        <v>21</v>
      </c>
      <c r="M145" s="23">
        <v>6</v>
      </c>
      <c r="N145" s="23">
        <v>1</v>
      </c>
      <c r="O145" s="23">
        <v>14</v>
      </c>
      <c r="P145" s="23">
        <v>0</v>
      </c>
      <c r="Q145" s="23">
        <v>0</v>
      </c>
      <c r="R145" s="22" t="s">
        <v>44</v>
      </c>
      <c r="S145" s="22">
        <v>0</v>
      </c>
      <c r="T145" s="23">
        <v>5</v>
      </c>
      <c r="U145" s="23">
        <v>5</v>
      </c>
      <c r="V145" s="18">
        <v>4.9000000000000004</v>
      </c>
      <c r="W145" s="18">
        <v>4.9000000000000004</v>
      </c>
      <c r="X145" s="18">
        <v>6.4</v>
      </c>
      <c r="Y145" s="18">
        <v>5.6</v>
      </c>
      <c r="Z145" s="18">
        <v>6.1</v>
      </c>
      <c r="AA145" s="15">
        <v>0</v>
      </c>
      <c r="AB145" s="15">
        <v>0</v>
      </c>
      <c r="AC145" s="15">
        <v>1</v>
      </c>
      <c r="AD145" s="15">
        <v>2</v>
      </c>
      <c r="AE145" s="15">
        <v>0</v>
      </c>
      <c r="AF145" s="11">
        <f t="shared" si="22"/>
        <v>3</v>
      </c>
      <c r="AG145" s="32" t="s">
        <v>44</v>
      </c>
      <c r="AH145">
        <v>0</v>
      </c>
      <c r="AI145">
        <v>3</v>
      </c>
      <c r="AJ145">
        <v>0.1</v>
      </c>
      <c r="AK145">
        <v>0.1</v>
      </c>
      <c r="AL145">
        <v>1</v>
      </c>
      <c r="AM145">
        <v>0</v>
      </c>
      <c r="AN145">
        <v>0.1</v>
      </c>
      <c r="AO145">
        <v>23</v>
      </c>
      <c r="AP145">
        <v>73</v>
      </c>
      <c r="AQ145" s="21" t="e">
        <f t="shared" si="19"/>
        <v>#VALUE!</v>
      </c>
      <c r="AR145" s="12">
        <f t="shared" si="23"/>
        <v>100.3</v>
      </c>
      <c r="AS145">
        <v>0</v>
      </c>
      <c r="AT145">
        <v>0</v>
      </c>
      <c r="AU145">
        <v>0</v>
      </c>
      <c r="AV145" s="6">
        <v>0</v>
      </c>
      <c r="AW145" s="6">
        <v>0</v>
      </c>
      <c r="AX145">
        <v>1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 t="s">
        <v>44</v>
      </c>
      <c r="BF145" s="6" t="s">
        <v>44</v>
      </c>
      <c r="BG145" s="6" t="s">
        <v>44</v>
      </c>
      <c r="BH145" s="6" t="s">
        <v>44</v>
      </c>
      <c r="BI145" s="6" t="s">
        <v>44</v>
      </c>
      <c r="BJ145" s="6" t="s">
        <v>44</v>
      </c>
      <c r="BK145" s="6">
        <v>0</v>
      </c>
      <c r="BL145" s="6">
        <f t="shared" si="24"/>
        <v>1</v>
      </c>
      <c r="BM145" s="6">
        <f t="shared" si="20"/>
        <v>1</v>
      </c>
      <c r="BN145">
        <v>3</v>
      </c>
      <c r="BO145">
        <f t="shared" si="17"/>
        <v>3</v>
      </c>
      <c r="BP145">
        <v>0.1</v>
      </c>
      <c r="BQ145">
        <f>SUM(BP145,BB145,BK145)</f>
        <v>0.1</v>
      </c>
      <c r="BR145">
        <f t="shared" si="21"/>
        <v>0</v>
      </c>
    </row>
    <row r="146" spans="1:70" hidden="1">
      <c r="A146" s="16" t="str">
        <f t="shared" si="18"/>
        <v>RP_2024_NPZ_1_5</v>
      </c>
      <c r="B146" t="s">
        <v>59</v>
      </c>
      <c r="C146">
        <v>42.716659999999997</v>
      </c>
      <c r="D146">
        <v>-124.467</v>
      </c>
      <c r="E146" s="8">
        <v>45469</v>
      </c>
      <c r="F146">
        <v>2024</v>
      </c>
      <c r="G146" t="s">
        <v>56</v>
      </c>
      <c r="H146" t="s">
        <v>48</v>
      </c>
      <c r="I146">
        <v>1</v>
      </c>
      <c r="J146">
        <v>5</v>
      </c>
      <c r="K146" t="s">
        <v>51</v>
      </c>
      <c r="L146" s="23">
        <v>35</v>
      </c>
      <c r="M146" s="23">
        <v>1</v>
      </c>
      <c r="N146" s="23">
        <v>7</v>
      </c>
      <c r="O146" s="23">
        <v>27</v>
      </c>
      <c r="P146" s="23">
        <v>2</v>
      </c>
      <c r="Q146" s="23">
        <v>0</v>
      </c>
      <c r="R146" s="22" t="s">
        <v>44</v>
      </c>
      <c r="S146" s="22">
        <v>0</v>
      </c>
      <c r="T146" s="23">
        <v>0</v>
      </c>
      <c r="U146" s="23">
        <v>1</v>
      </c>
      <c r="V146" s="18">
        <v>5</v>
      </c>
      <c r="W146" s="18">
        <v>3.8</v>
      </c>
      <c r="X146" s="18">
        <v>4.2</v>
      </c>
      <c r="Y146" s="18">
        <v>4.4000000000000004</v>
      </c>
      <c r="Z146" s="18">
        <v>4.2</v>
      </c>
      <c r="AA146" s="15">
        <v>1</v>
      </c>
      <c r="AB146" s="15">
        <v>0</v>
      </c>
      <c r="AC146" s="15">
        <v>0</v>
      </c>
      <c r="AD146" s="15">
        <v>1</v>
      </c>
      <c r="AE146" s="15">
        <v>0</v>
      </c>
      <c r="AF146" s="11">
        <f t="shared" si="22"/>
        <v>2</v>
      </c>
      <c r="AG146" s="32" t="s">
        <v>44</v>
      </c>
      <c r="AH146">
        <v>0</v>
      </c>
      <c r="AI146">
        <v>0</v>
      </c>
      <c r="AJ146">
        <v>0</v>
      </c>
      <c r="AK146">
        <v>4</v>
      </c>
      <c r="AL146">
        <v>6</v>
      </c>
      <c r="AM146">
        <v>1</v>
      </c>
      <c r="AN146">
        <v>0</v>
      </c>
      <c r="AO146">
        <v>20</v>
      </c>
      <c r="AP146">
        <v>69</v>
      </c>
      <c r="AQ146" s="21" t="e">
        <f t="shared" si="19"/>
        <v>#VALUE!</v>
      </c>
      <c r="AR146" s="12">
        <f t="shared" si="23"/>
        <v>100</v>
      </c>
      <c r="AS146">
        <v>0</v>
      </c>
      <c r="AT146">
        <v>0</v>
      </c>
      <c r="AU146">
        <v>0</v>
      </c>
      <c r="AV146" s="6">
        <v>0</v>
      </c>
      <c r="AW146">
        <v>0</v>
      </c>
      <c r="AX146">
        <v>0</v>
      </c>
      <c r="AY146" s="6">
        <v>0</v>
      </c>
      <c r="AZ146">
        <v>8</v>
      </c>
      <c r="BA146" s="6">
        <v>0</v>
      </c>
      <c r="BB146" s="6">
        <v>0</v>
      </c>
      <c r="BC146" s="6">
        <v>0</v>
      </c>
      <c r="BD146" s="6">
        <v>0</v>
      </c>
      <c r="BE146" s="6" t="s">
        <v>44</v>
      </c>
      <c r="BF146" s="6" t="s">
        <v>44</v>
      </c>
      <c r="BG146" s="6" t="s">
        <v>44</v>
      </c>
      <c r="BH146" s="6" t="s">
        <v>44</v>
      </c>
      <c r="BI146" s="6" t="s">
        <v>44</v>
      </c>
      <c r="BJ146" s="6" t="s">
        <v>44</v>
      </c>
      <c r="BK146" s="6">
        <v>0</v>
      </c>
      <c r="BL146" s="6">
        <f t="shared" si="24"/>
        <v>8</v>
      </c>
      <c r="BM146" s="6">
        <f t="shared" si="20"/>
        <v>8</v>
      </c>
      <c r="BN146">
        <v>0</v>
      </c>
      <c r="BO146">
        <f t="shared" si="17"/>
        <v>0</v>
      </c>
      <c r="BP146">
        <v>0</v>
      </c>
      <c r="BQ146">
        <f>SUM(BP146,BB146,BK146)</f>
        <v>0</v>
      </c>
      <c r="BR146">
        <f t="shared" si="21"/>
        <v>0</v>
      </c>
    </row>
    <row r="147" spans="1:70" hidden="1">
      <c r="A147" s="16" t="str">
        <f t="shared" si="18"/>
        <v>RP_2024_NPZ_2_1</v>
      </c>
      <c r="B147" t="s">
        <v>59</v>
      </c>
      <c r="C147">
        <v>42.716659999999997</v>
      </c>
      <c r="D147">
        <v>-124.467</v>
      </c>
      <c r="E147" s="8">
        <v>45495</v>
      </c>
      <c r="F147">
        <v>2024</v>
      </c>
      <c r="G147" t="s">
        <v>56</v>
      </c>
      <c r="H147" t="s">
        <v>48</v>
      </c>
      <c r="I147">
        <v>2</v>
      </c>
      <c r="J147">
        <v>1</v>
      </c>
      <c r="K147" t="s">
        <v>47</v>
      </c>
      <c r="L147" s="23">
        <v>18</v>
      </c>
      <c r="M147" s="23">
        <v>1</v>
      </c>
      <c r="N147" s="23">
        <v>10</v>
      </c>
      <c r="O147" s="23">
        <v>7</v>
      </c>
      <c r="P147" s="23">
        <v>20</v>
      </c>
      <c r="Q147" s="23">
        <v>1</v>
      </c>
      <c r="R147" s="22" t="s">
        <v>44</v>
      </c>
      <c r="S147" s="22">
        <v>0</v>
      </c>
      <c r="T147" s="23">
        <v>0</v>
      </c>
      <c r="U147" s="23">
        <v>1</v>
      </c>
      <c r="V147" s="18">
        <v>4</v>
      </c>
      <c r="W147" s="18">
        <v>4.2</v>
      </c>
      <c r="X147" s="18">
        <v>4.5999999999999996</v>
      </c>
      <c r="Y147" s="18">
        <v>2.1</v>
      </c>
      <c r="Z147" s="18">
        <v>4.5999999999999996</v>
      </c>
      <c r="AA147" s="15">
        <v>0</v>
      </c>
      <c r="AB147" s="15">
        <v>0</v>
      </c>
      <c r="AC147" s="15">
        <v>0</v>
      </c>
      <c r="AD147" s="15">
        <v>1</v>
      </c>
      <c r="AE147" s="15">
        <v>0</v>
      </c>
      <c r="AF147" s="11">
        <f t="shared" si="22"/>
        <v>1</v>
      </c>
      <c r="AG147" s="32" t="s">
        <v>44</v>
      </c>
      <c r="AH147">
        <v>0</v>
      </c>
      <c r="AI147">
        <v>0</v>
      </c>
      <c r="AJ147">
        <v>0</v>
      </c>
      <c r="AK147">
        <v>0</v>
      </c>
      <c r="AL147">
        <v>33</v>
      </c>
      <c r="AM147">
        <v>4</v>
      </c>
      <c r="AN147">
        <v>5</v>
      </c>
      <c r="AO147">
        <v>0</v>
      </c>
      <c r="AP147">
        <v>58</v>
      </c>
      <c r="AQ147" s="21" t="e">
        <f t="shared" si="19"/>
        <v>#VALUE!</v>
      </c>
      <c r="AR147" s="12">
        <f t="shared" si="23"/>
        <v>100</v>
      </c>
      <c r="AS147">
        <v>0</v>
      </c>
      <c r="AT147">
        <v>6</v>
      </c>
      <c r="AU147">
        <v>0</v>
      </c>
      <c r="AV147" s="6">
        <v>0</v>
      </c>
      <c r="AW147" s="6">
        <v>0</v>
      </c>
      <c r="AX147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 t="s">
        <v>44</v>
      </c>
      <c r="BF147" s="6" t="s">
        <v>44</v>
      </c>
      <c r="BG147" s="6" t="s">
        <v>44</v>
      </c>
      <c r="BH147" s="6" t="s">
        <v>44</v>
      </c>
      <c r="BI147" s="6" t="s">
        <v>44</v>
      </c>
      <c r="BJ147" s="6" t="s">
        <v>44</v>
      </c>
      <c r="BK147" s="6">
        <v>0</v>
      </c>
      <c r="BL147" s="6">
        <f t="shared" si="24"/>
        <v>6</v>
      </c>
      <c r="BM147" s="6">
        <f t="shared" si="20"/>
        <v>6</v>
      </c>
      <c r="BN147">
        <v>0</v>
      </c>
      <c r="BO147">
        <f t="shared" si="17"/>
        <v>0</v>
      </c>
      <c r="BP147">
        <v>0</v>
      </c>
      <c r="BQ147">
        <f>SUM(BP147,BB147,BK147)</f>
        <v>0</v>
      </c>
      <c r="BR147">
        <f t="shared" si="21"/>
        <v>0</v>
      </c>
    </row>
    <row r="148" spans="1:70" hidden="1">
      <c r="A148" s="16" t="str">
        <f t="shared" si="18"/>
        <v>RP_2024_NPZ_2_2</v>
      </c>
      <c r="B148" t="s">
        <v>59</v>
      </c>
      <c r="C148">
        <v>42.716659999999997</v>
      </c>
      <c r="D148">
        <v>-124.467</v>
      </c>
      <c r="E148" s="8">
        <v>45495</v>
      </c>
      <c r="F148">
        <v>2024</v>
      </c>
      <c r="G148" t="s">
        <v>56</v>
      </c>
      <c r="H148" t="s">
        <v>48</v>
      </c>
      <c r="I148">
        <v>2</v>
      </c>
      <c r="J148">
        <v>2</v>
      </c>
      <c r="K148" t="s">
        <v>47</v>
      </c>
      <c r="L148" s="23">
        <v>10</v>
      </c>
      <c r="M148" s="23">
        <v>0</v>
      </c>
      <c r="N148" s="23">
        <v>10</v>
      </c>
      <c r="O148" s="23">
        <v>0</v>
      </c>
      <c r="P148" s="23">
        <v>13</v>
      </c>
      <c r="Q148" s="23">
        <v>0</v>
      </c>
      <c r="R148" s="22" t="s">
        <v>44</v>
      </c>
      <c r="S148" s="22">
        <v>0</v>
      </c>
      <c r="T148" s="23">
        <v>0</v>
      </c>
      <c r="U148" s="23">
        <v>0</v>
      </c>
      <c r="V148" s="18">
        <v>3.5</v>
      </c>
      <c r="W148" s="18">
        <v>3.3</v>
      </c>
      <c r="X148" s="18">
        <v>4.2</v>
      </c>
      <c r="Y148" s="18">
        <v>4.3</v>
      </c>
      <c r="AA148" s="15">
        <v>0</v>
      </c>
      <c r="AB148" s="15">
        <v>0</v>
      </c>
      <c r="AC148" s="15">
        <v>0</v>
      </c>
      <c r="AD148" s="15">
        <v>1</v>
      </c>
      <c r="AE148" s="15">
        <v>0</v>
      </c>
      <c r="AF148" s="11">
        <f t="shared" si="22"/>
        <v>1</v>
      </c>
      <c r="AG148" s="32" t="s">
        <v>44</v>
      </c>
      <c r="AH148">
        <v>2</v>
      </c>
      <c r="AI148">
        <v>7</v>
      </c>
      <c r="AJ148">
        <v>0</v>
      </c>
      <c r="AK148">
        <v>14</v>
      </c>
      <c r="AL148">
        <v>61</v>
      </c>
      <c r="AM148">
        <v>10</v>
      </c>
      <c r="AN148">
        <v>3</v>
      </c>
      <c r="AO148">
        <v>1</v>
      </c>
      <c r="AP148">
        <v>2</v>
      </c>
      <c r="AQ148" s="21" t="e">
        <f t="shared" si="19"/>
        <v>#VALUE!</v>
      </c>
      <c r="AR148" s="12">
        <f t="shared" si="23"/>
        <v>100</v>
      </c>
      <c r="AS148">
        <v>20</v>
      </c>
      <c r="AT148">
        <v>0</v>
      </c>
      <c r="AU148">
        <v>0</v>
      </c>
      <c r="AV148" s="6">
        <v>0</v>
      </c>
      <c r="AW148">
        <v>0</v>
      </c>
      <c r="AX148">
        <v>12</v>
      </c>
      <c r="AY148" s="6">
        <v>0</v>
      </c>
      <c r="AZ148">
        <v>60</v>
      </c>
      <c r="BA148" s="6">
        <v>0</v>
      </c>
      <c r="BB148" s="6">
        <v>0</v>
      </c>
      <c r="BC148" s="6">
        <v>0</v>
      </c>
      <c r="BD148" s="6">
        <v>0</v>
      </c>
      <c r="BE148" s="6" t="s">
        <v>44</v>
      </c>
      <c r="BF148" s="6" t="s">
        <v>44</v>
      </c>
      <c r="BG148" s="6" t="s">
        <v>44</v>
      </c>
      <c r="BH148" s="6" t="s">
        <v>44</v>
      </c>
      <c r="BI148" s="6" t="s">
        <v>44</v>
      </c>
      <c r="BJ148" s="6" t="s">
        <v>44</v>
      </c>
      <c r="BK148" s="6">
        <v>0</v>
      </c>
      <c r="BL148" s="6">
        <f t="shared" si="24"/>
        <v>92</v>
      </c>
      <c r="BM148" s="6">
        <f t="shared" si="20"/>
        <v>92</v>
      </c>
      <c r="BN148">
        <v>7</v>
      </c>
      <c r="BO148">
        <f t="shared" si="17"/>
        <v>7</v>
      </c>
      <c r="BP148">
        <v>0</v>
      </c>
      <c r="BQ148">
        <f>SUM(BP148,BB148,BK148)</f>
        <v>0</v>
      </c>
      <c r="BR148">
        <f t="shared" si="21"/>
        <v>0</v>
      </c>
    </row>
    <row r="149" spans="1:70" hidden="1">
      <c r="A149" s="16" t="str">
        <f t="shared" si="18"/>
        <v>RP_2024_NPZ_2_3</v>
      </c>
      <c r="B149" t="s">
        <v>59</v>
      </c>
      <c r="C149">
        <v>42.716659999999997</v>
      </c>
      <c r="D149">
        <v>-124.467</v>
      </c>
      <c r="E149" s="8">
        <v>45495</v>
      </c>
      <c r="F149">
        <v>2024</v>
      </c>
      <c r="G149" t="s">
        <v>56</v>
      </c>
      <c r="H149" t="s">
        <v>48</v>
      </c>
      <c r="I149">
        <v>2</v>
      </c>
      <c r="J149">
        <v>3</v>
      </c>
      <c r="K149" t="s">
        <v>47</v>
      </c>
      <c r="L149" s="23">
        <v>45</v>
      </c>
      <c r="M149" s="23">
        <v>3</v>
      </c>
      <c r="N149" s="23">
        <v>12</v>
      </c>
      <c r="O149" s="23">
        <v>30</v>
      </c>
      <c r="P149" s="23">
        <v>25</v>
      </c>
      <c r="Q149" s="23">
        <v>1</v>
      </c>
      <c r="R149" s="22" t="s">
        <v>44</v>
      </c>
      <c r="S149" s="22">
        <v>0</v>
      </c>
      <c r="T149" s="23">
        <v>0</v>
      </c>
      <c r="U149" s="23">
        <v>3</v>
      </c>
      <c r="V149" s="18">
        <v>3.4</v>
      </c>
      <c r="W149" s="18">
        <v>4.9000000000000004</v>
      </c>
      <c r="X149" s="18">
        <v>3.5</v>
      </c>
      <c r="Y149" s="18">
        <v>3.8</v>
      </c>
      <c r="Z149" s="18">
        <v>3.9</v>
      </c>
      <c r="AA149" s="15">
        <v>0</v>
      </c>
      <c r="AB149" s="15">
        <v>0</v>
      </c>
      <c r="AC149" s="15">
        <v>1</v>
      </c>
      <c r="AD149" s="15">
        <v>1</v>
      </c>
      <c r="AE149" s="15">
        <v>0</v>
      </c>
      <c r="AF149" s="11">
        <f t="shared" si="22"/>
        <v>2</v>
      </c>
      <c r="AG149" s="32" t="s">
        <v>44</v>
      </c>
      <c r="AH149">
        <v>0</v>
      </c>
      <c r="AI149">
        <v>0</v>
      </c>
      <c r="AJ149">
        <v>0</v>
      </c>
      <c r="AK149">
        <v>0.1</v>
      </c>
      <c r="AL149">
        <v>23</v>
      </c>
      <c r="AM149">
        <v>4</v>
      </c>
      <c r="AN149">
        <v>6</v>
      </c>
      <c r="AO149">
        <v>10</v>
      </c>
      <c r="AP149">
        <v>57</v>
      </c>
      <c r="AQ149" s="21" t="e">
        <f t="shared" si="19"/>
        <v>#VALUE!</v>
      </c>
      <c r="AR149" s="12">
        <f t="shared" si="23"/>
        <v>100.1</v>
      </c>
      <c r="AS149">
        <v>1</v>
      </c>
      <c r="AT149">
        <v>0</v>
      </c>
      <c r="AU149">
        <v>0</v>
      </c>
      <c r="AV149" s="6">
        <v>0</v>
      </c>
      <c r="AW149" s="6">
        <v>0</v>
      </c>
      <c r="AX149">
        <v>10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 t="s">
        <v>44</v>
      </c>
      <c r="BF149" s="6" t="s">
        <v>44</v>
      </c>
      <c r="BG149" s="6" t="s">
        <v>44</v>
      </c>
      <c r="BH149" s="6" t="s">
        <v>44</v>
      </c>
      <c r="BI149" s="6" t="s">
        <v>44</v>
      </c>
      <c r="BJ149" s="6" t="s">
        <v>44</v>
      </c>
      <c r="BK149" s="6">
        <v>0</v>
      </c>
      <c r="BL149" s="6">
        <f t="shared" si="24"/>
        <v>11</v>
      </c>
      <c r="BM149" s="6">
        <f t="shared" si="20"/>
        <v>11</v>
      </c>
      <c r="BN149">
        <v>0</v>
      </c>
      <c r="BO149">
        <f t="shared" si="17"/>
        <v>0</v>
      </c>
      <c r="BP149">
        <v>0</v>
      </c>
      <c r="BQ149">
        <f>SUM(BP149,BB149,BK149)</f>
        <v>0</v>
      </c>
      <c r="BR149">
        <f t="shared" si="21"/>
        <v>0</v>
      </c>
    </row>
    <row r="150" spans="1:70" hidden="1">
      <c r="A150" s="16" t="str">
        <f t="shared" si="18"/>
        <v>RP_2024_NPZ_2_4</v>
      </c>
      <c r="B150" t="s">
        <v>59</v>
      </c>
      <c r="C150">
        <v>42.716659999999997</v>
      </c>
      <c r="D150">
        <v>-124.467</v>
      </c>
      <c r="E150" s="8">
        <v>45495</v>
      </c>
      <c r="F150">
        <v>2024</v>
      </c>
      <c r="G150" t="s">
        <v>56</v>
      </c>
      <c r="H150" t="s">
        <v>48</v>
      </c>
      <c r="I150">
        <v>2</v>
      </c>
      <c r="J150">
        <v>4</v>
      </c>
      <c r="K150" t="s">
        <v>47</v>
      </c>
      <c r="L150" s="23">
        <v>33</v>
      </c>
      <c r="M150" s="23">
        <v>12</v>
      </c>
      <c r="N150" s="23">
        <v>18</v>
      </c>
      <c r="O150" s="23">
        <v>3</v>
      </c>
      <c r="P150" s="23">
        <v>20</v>
      </c>
      <c r="Q150" s="23">
        <v>0</v>
      </c>
      <c r="R150" s="22" t="s">
        <v>44</v>
      </c>
      <c r="S150" s="22">
        <v>0</v>
      </c>
      <c r="T150" s="23">
        <v>0</v>
      </c>
      <c r="U150" s="23">
        <v>0</v>
      </c>
      <c r="V150" s="18">
        <v>5.0999999999999996</v>
      </c>
      <c r="W150" s="18">
        <v>6.7</v>
      </c>
      <c r="X150" s="18">
        <v>4.7</v>
      </c>
      <c r="Y150" s="18">
        <v>4.9000000000000004</v>
      </c>
      <c r="Z150" s="18">
        <v>3.1</v>
      </c>
      <c r="AA150" s="15">
        <v>1</v>
      </c>
      <c r="AB150" s="15">
        <v>0</v>
      </c>
      <c r="AC150" s="15">
        <v>0</v>
      </c>
      <c r="AD150" s="15">
        <v>1</v>
      </c>
      <c r="AE150" s="15">
        <v>0</v>
      </c>
      <c r="AF150" s="11">
        <f t="shared" si="22"/>
        <v>2</v>
      </c>
      <c r="AG150" s="32" t="s">
        <v>44</v>
      </c>
      <c r="AH150">
        <v>0</v>
      </c>
      <c r="AI150">
        <v>0</v>
      </c>
      <c r="AJ150">
        <v>0</v>
      </c>
      <c r="AK150">
        <v>0</v>
      </c>
      <c r="AL150">
        <v>80</v>
      </c>
      <c r="AM150">
        <v>1</v>
      </c>
      <c r="AN150">
        <v>2</v>
      </c>
      <c r="AO150">
        <v>6</v>
      </c>
      <c r="AP150">
        <v>11</v>
      </c>
      <c r="AQ150" s="21" t="e">
        <f t="shared" ref="AQ150:AQ213" si="25">AP150-AG150</f>
        <v>#VALUE!</v>
      </c>
      <c r="AR150" s="12">
        <f t="shared" si="23"/>
        <v>100</v>
      </c>
      <c r="AS150">
        <v>0</v>
      </c>
      <c r="AT150">
        <v>0</v>
      </c>
      <c r="AU150">
        <v>0</v>
      </c>
      <c r="AV150" s="6">
        <v>0</v>
      </c>
      <c r="AW150">
        <v>0</v>
      </c>
      <c r="AX150">
        <v>0</v>
      </c>
      <c r="AY150" s="6">
        <v>0</v>
      </c>
      <c r="AZ150">
        <v>4</v>
      </c>
      <c r="BA150" s="6">
        <v>0</v>
      </c>
      <c r="BB150" s="6">
        <v>0</v>
      </c>
      <c r="BC150" s="6">
        <v>0</v>
      </c>
      <c r="BD150" s="6">
        <v>0</v>
      </c>
      <c r="BE150" s="6" t="s">
        <v>44</v>
      </c>
      <c r="BF150" s="6" t="s">
        <v>44</v>
      </c>
      <c r="BG150" s="6" t="s">
        <v>44</v>
      </c>
      <c r="BH150" s="6" t="s">
        <v>44</v>
      </c>
      <c r="BI150" s="6" t="s">
        <v>44</v>
      </c>
      <c r="BJ150" s="6" t="s">
        <v>44</v>
      </c>
      <c r="BK150" s="6">
        <v>0</v>
      </c>
      <c r="BL150" s="6">
        <f t="shared" si="24"/>
        <v>4</v>
      </c>
      <c r="BM150" s="6">
        <f t="shared" si="20"/>
        <v>4</v>
      </c>
      <c r="BN150">
        <v>0</v>
      </c>
      <c r="BO150">
        <f t="shared" si="17"/>
        <v>0</v>
      </c>
      <c r="BP150">
        <v>0</v>
      </c>
      <c r="BQ150">
        <f>SUM(BP150,BB150,BK150)</f>
        <v>0</v>
      </c>
      <c r="BR150">
        <f t="shared" si="21"/>
        <v>0</v>
      </c>
    </row>
    <row r="151" spans="1:70" hidden="1">
      <c r="A151" s="16" t="str">
        <f t="shared" si="18"/>
        <v>RP_2024_NPZ_2_5</v>
      </c>
      <c r="B151" t="s">
        <v>59</v>
      </c>
      <c r="C151">
        <v>42.716659999999997</v>
      </c>
      <c r="D151">
        <v>-124.467</v>
      </c>
      <c r="E151" s="8">
        <v>45495</v>
      </c>
      <c r="F151">
        <v>2024</v>
      </c>
      <c r="G151" t="s">
        <v>56</v>
      </c>
      <c r="H151" t="s">
        <v>48</v>
      </c>
      <c r="I151">
        <v>2</v>
      </c>
      <c r="J151">
        <v>5</v>
      </c>
      <c r="K151" t="s">
        <v>47</v>
      </c>
      <c r="L151" s="23">
        <v>33</v>
      </c>
      <c r="M151" s="23">
        <v>1</v>
      </c>
      <c r="N151" s="23">
        <v>5</v>
      </c>
      <c r="O151" s="23">
        <v>27</v>
      </c>
      <c r="P151" s="23">
        <v>7</v>
      </c>
      <c r="Q151" s="23">
        <v>0</v>
      </c>
      <c r="R151" s="22" t="s">
        <v>44</v>
      </c>
      <c r="S151" s="22">
        <v>0</v>
      </c>
      <c r="T151" s="23">
        <v>0</v>
      </c>
      <c r="U151" s="23">
        <v>0</v>
      </c>
      <c r="V151" s="18">
        <v>2.2999999999999998</v>
      </c>
      <c r="W151" s="18">
        <v>5.3</v>
      </c>
      <c r="X151" s="18">
        <v>4.0999999999999996</v>
      </c>
      <c r="Y151" s="18">
        <v>3.8</v>
      </c>
      <c r="Z151" s="18">
        <v>6.5</v>
      </c>
      <c r="AA151" s="15">
        <v>0</v>
      </c>
      <c r="AB151" s="15">
        <v>0</v>
      </c>
      <c r="AC151" s="15">
        <v>0</v>
      </c>
      <c r="AD151" s="15">
        <v>1</v>
      </c>
      <c r="AE151" s="15">
        <v>0</v>
      </c>
      <c r="AF151" s="11">
        <f t="shared" si="22"/>
        <v>1</v>
      </c>
      <c r="AG151" s="32" t="s">
        <v>44</v>
      </c>
      <c r="AH151">
        <v>3</v>
      </c>
      <c r="AI151">
        <v>0</v>
      </c>
      <c r="AJ151">
        <v>0</v>
      </c>
      <c r="AK151">
        <v>3</v>
      </c>
      <c r="AL151">
        <v>16</v>
      </c>
      <c r="AM151">
        <v>4</v>
      </c>
      <c r="AN151">
        <v>3</v>
      </c>
      <c r="AO151">
        <v>5</v>
      </c>
      <c r="AP151">
        <v>66</v>
      </c>
      <c r="AQ151" s="21" t="e">
        <f t="shared" si="25"/>
        <v>#VALUE!</v>
      </c>
      <c r="AR151" s="12">
        <f t="shared" si="23"/>
        <v>100</v>
      </c>
      <c r="AS151">
        <v>0</v>
      </c>
      <c r="AT151">
        <v>9</v>
      </c>
      <c r="AU151">
        <v>0</v>
      </c>
      <c r="AV151" s="6">
        <v>0</v>
      </c>
      <c r="AW151" s="6">
        <v>0</v>
      </c>
      <c r="AX151">
        <v>0</v>
      </c>
      <c r="AY151" s="6">
        <v>0</v>
      </c>
      <c r="AZ151">
        <v>9</v>
      </c>
      <c r="BA151" s="6">
        <v>0</v>
      </c>
      <c r="BB151" s="6">
        <v>0</v>
      </c>
      <c r="BC151" s="6">
        <v>0</v>
      </c>
      <c r="BD151" s="6">
        <v>0</v>
      </c>
      <c r="BE151" s="6" t="s">
        <v>44</v>
      </c>
      <c r="BF151" s="6" t="s">
        <v>44</v>
      </c>
      <c r="BG151" s="6" t="s">
        <v>44</v>
      </c>
      <c r="BH151" s="6" t="s">
        <v>44</v>
      </c>
      <c r="BI151" s="6" t="s">
        <v>44</v>
      </c>
      <c r="BJ151" s="6" t="s">
        <v>44</v>
      </c>
      <c r="BK151" s="6">
        <v>0</v>
      </c>
      <c r="BL151" s="6">
        <f t="shared" si="24"/>
        <v>18</v>
      </c>
      <c r="BM151" s="6">
        <f t="shared" si="20"/>
        <v>18</v>
      </c>
      <c r="BN151">
        <v>0</v>
      </c>
      <c r="BO151">
        <f t="shared" si="17"/>
        <v>0</v>
      </c>
      <c r="BP151">
        <v>0</v>
      </c>
      <c r="BQ151">
        <f>SUM(BP151,BB151,BK151)</f>
        <v>0</v>
      </c>
      <c r="BR151">
        <f t="shared" si="21"/>
        <v>0</v>
      </c>
    </row>
    <row r="152" spans="1:70" hidden="1">
      <c r="A152" s="16" t="str">
        <f t="shared" si="18"/>
        <v>RP_2024_UPZ_1_1</v>
      </c>
      <c r="B152" t="s">
        <v>59</v>
      </c>
      <c r="C152">
        <v>42.716659999999997</v>
      </c>
      <c r="D152">
        <v>-124.467</v>
      </c>
      <c r="E152" s="8">
        <v>45469</v>
      </c>
      <c r="F152">
        <v>2024</v>
      </c>
      <c r="G152" t="s">
        <v>56</v>
      </c>
      <c r="H152" t="s">
        <v>45</v>
      </c>
      <c r="I152">
        <v>1</v>
      </c>
      <c r="J152">
        <v>1</v>
      </c>
      <c r="K152" t="s">
        <v>51</v>
      </c>
      <c r="L152" s="23">
        <v>19</v>
      </c>
      <c r="M152" s="23">
        <v>1</v>
      </c>
      <c r="N152" s="23">
        <v>6</v>
      </c>
      <c r="O152" s="23">
        <v>12</v>
      </c>
      <c r="P152" s="23">
        <v>5</v>
      </c>
      <c r="Q152" s="23">
        <v>0</v>
      </c>
      <c r="R152" s="22" t="s">
        <v>44</v>
      </c>
      <c r="S152" s="22">
        <v>0</v>
      </c>
      <c r="T152" s="23">
        <v>2</v>
      </c>
      <c r="U152" s="23">
        <v>3</v>
      </c>
      <c r="V152" s="18">
        <v>5.4</v>
      </c>
      <c r="W152" s="18">
        <v>5.5</v>
      </c>
      <c r="X152" s="18">
        <v>5.9</v>
      </c>
      <c r="Y152" s="18">
        <v>4.8</v>
      </c>
      <c r="Z152" s="18">
        <v>4.3</v>
      </c>
      <c r="AA152" s="15">
        <v>0</v>
      </c>
      <c r="AB152" s="15">
        <v>2</v>
      </c>
      <c r="AC152" s="15">
        <v>0</v>
      </c>
      <c r="AD152" s="15">
        <v>2</v>
      </c>
      <c r="AE152" s="15">
        <v>0</v>
      </c>
      <c r="AF152" s="11">
        <f t="shared" si="22"/>
        <v>4</v>
      </c>
      <c r="AG152" s="32" t="s">
        <v>44</v>
      </c>
      <c r="AH152">
        <v>0</v>
      </c>
      <c r="AI152">
        <v>6</v>
      </c>
      <c r="AJ152">
        <v>0</v>
      </c>
      <c r="AK152">
        <v>0</v>
      </c>
      <c r="AL152">
        <v>66</v>
      </c>
      <c r="AM152">
        <v>8</v>
      </c>
      <c r="AN152">
        <v>6</v>
      </c>
      <c r="AO152">
        <v>5</v>
      </c>
      <c r="AP152">
        <v>9</v>
      </c>
      <c r="AQ152" s="21" t="e">
        <f t="shared" si="25"/>
        <v>#VALUE!</v>
      </c>
      <c r="AR152" s="12">
        <f t="shared" si="23"/>
        <v>100</v>
      </c>
      <c r="AS152">
        <v>0</v>
      </c>
      <c r="AT152">
        <v>0</v>
      </c>
      <c r="AU152">
        <v>0</v>
      </c>
      <c r="AV152" s="6">
        <v>0</v>
      </c>
      <c r="AW152">
        <v>0</v>
      </c>
      <c r="AX152">
        <v>1</v>
      </c>
      <c r="AY152" s="6">
        <v>0</v>
      </c>
      <c r="AZ152">
        <v>0</v>
      </c>
      <c r="BA152" s="6">
        <v>0</v>
      </c>
      <c r="BB152" s="6">
        <v>0</v>
      </c>
      <c r="BC152" s="6">
        <v>0</v>
      </c>
      <c r="BD152" s="6">
        <v>0</v>
      </c>
      <c r="BE152" s="6" t="s">
        <v>44</v>
      </c>
      <c r="BF152" s="6" t="s">
        <v>44</v>
      </c>
      <c r="BG152" s="6" t="s">
        <v>44</v>
      </c>
      <c r="BH152" s="6" t="s">
        <v>44</v>
      </c>
      <c r="BI152" s="6" t="s">
        <v>44</v>
      </c>
      <c r="BJ152" s="6" t="s">
        <v>44</v>
      </c>
      <c r="BK152" s="6">
        <v>0</v>
      </c>
      <c r="BL152" s="6">
        <f t="shared" si="24"/>
        <v>1</v>
      </c>
      <c r="BM152" s="6">
        <f t="shared" si="20"/>
        <v>1</v>
      </c>
      <c r="BN152">
        <v>6</v>
      </c>
      <c r="BO152">
        <f t="shared" si="17"/>
        <v>6</v>
      </c>
      <c r="BP152">
        <v>0</v>
      </c>
      <c r="BQ152">
        <f>SUM(BP152,BB152,BK152)</f>
        <v>0</v>
      </c>
      <c r="BR152">
        <f t="shared" si="21"/>
        <v>0</v>
      </c>
    </row>
    <row r="153" spans="1:70" hidden="1">
      <c r="A153" s="16" t="str">
        <f t="shared" si="18"/>
        <v>RP_2024_UPZ_1_2</v>
      </c>
      <c r="B153" t="s">
        <v>59</v>
      </c>
      <c r="C153">
        <v>42.716659999999997</v>
      </c>
      <c r="D153">
        <v>-124.467</v>
      </c>
      <c r="E153" s="8">
        <v>45469</v>
      </c>
      <c r="F153">
        <v>2024</v>
      </c>
      <c r="G153" t="s">
        <v>56</v>
      </c>
      <c r="H153" t="s">
        <v>45</v>
      </c>
      <c r="I153">
        <v>1</v>
      </c>
      <c r="J153">
        <v>2</v>
      </c>
      <c r="K153" t="s">
        <v>47</v>
      </c>
      <c r="L153" s="23">
        <v>14</v>
      </c>
      <c r="M153" s="23">
        <v>1</v>
      </c>
      <c r="N153" s="23">
        <v>10</v>
      </c>
      <c r="O153" s="23">
        <v>3</v>
      </c>
      <c r="P153" s="23">
        <v>14</v>
      </c>
      <c r="Q153" s="23">
        <v>2</v>
      </c>
      <c r="R153" s="22" t="s">
        <v>44</v>
      </c>
      <c r="S153" s="22">
        <v>0</v>
      </c>
      <c r="T153" s="23">
        <v>0</v>
      </c>
      <c r="U153" s="23">
        <v>1</v>
      </c>
      <c r="V153" s="18">
        <v>2.7</v>
      </c>
      <c r="W153" s="18">
        <v>4.7</v>
      </c>
      <c r="X153" s="18">
        <v>5.0999999999999996</v>
      </c>
      <c r="Y153" s="18">
        <v>3.3</v>
      </c>
      <c r="Z153" s="18">
        <v>2.7</v>
      </c>
      <c r="AA153" s="15">
        <v>0</v>
      </c>
      <c r="AB153" s="15">
        <v>1</v>
      </c>
      <c r="AC153" s="15">
        <v>0</v>
      </c>
      <c r="AD153" s="15">
        <v>1</v>
      </c>
      <c r="AE153" s="15">
        <v>0</v>
      </c>
      <c r="AF153" s="11">
        <f t="shared" si="22"/>
        <v>2</v>
      </c>
      <c r="AG153" s="32" t="s">
        <v>44</v>
      </c>
      <c r="AH153">
        <v>0</v>
      </c>
      <c r="AI153">
        <v>5</v>
      </c>
      <c r="AJ153">
        <v>0</v>
      </c>
      <c r="AK153">
        <v>5</v>
      </c>
      <c r="AL153">
        <v>48</v>
      </c>
      <c r="AM153">
        <v>15</v>
      </c>
      <c r="AN153">
        <v>8</v>
      </c>
      <c r="AO153">
        <v>0.1</v>
      </c>
      <c r="AP153">
        <v>19</v>
      </c>
      <c r="AQ153" s="21" t="e">
        <f t="shared" si="25"/>
        <v>#VALUE!</v>
      </c>
      <c r="AR153" s="12">
        <f t="shared" si="23"/>
        <v>100.1</v>
      </c>
      <c r="AS153">
        <v>0</v>
      </c>
      <c r="AT153">
        <v>0</v>
      </c>
      <c r="AU153">
        <v>0</v>
      </c>
      <c r="AV153" s="6">
        <v>0</v>
      </c>
      <c r="AW153" s="6">
        <v>0</v>
      </c>
      <c r="AX153">
        <v>4</v>
      </c>
      <c r="AY153" s="6">
        <v>0</v>
      </c>
      <c r="AZ153">
        <v>8</v>
      </c>
      <c r="BA153" s="6">
        <v>0</v>
      </c>
      <c r="BB153" s="6">
        <v>0</v>
      </c>
      <c r="BC153" s="6">
        <v>0</v>
      </c>
      <c r="BD153" s="6">
        <v>0</v>
      </c>
      <c r="BE153" s="6" t="s">
        <v>44</v>
      </c>
      <c r="BF153" s="6" t="s">
        <v>44</v>
      </c>
      <c r="BG153" s="6" t="s">
        <v>44</v>
      </c>
      <c r="BH153" s="6" t="s">
        <v>44</v>
      </c>
      <c r="BI153" s="6" t="s">
        <v>44</v>
      </c>
      <c r="BJ153" s="6" t="s">
        <v>44</v>
      </c>
      <c r="BK153" s="6">
        <v>0</v>
      </c>
      <c r="BL153" s="6">
        <f t="shared" si="24"/>
        <v>12</v>
      </c>
      <c r="BM153" s="6">
        <f t="shared" si="20"/>
        <v>12</v>
      </c>
      <c r="BN153">
        <v>5</v>
      </c>
      <c r="BO153">
        <f t="shared" si="17"/>
        <v>5</v>
      </c>
      <c r="BP153">
        <v>0</v>
      </c>
      <c r="BQ153">
        <f>SUM(BP153,BB153,BK153)</f>
        <v>0</v>
      </c>
      <c r="BR153">
        <f t="shared" si="21"/>
        <v>0</v>
      </c>
    </row>
    <row r="154" spans="1:70" hidden="1">
      <c r="A154" s="16" t="str">
        <f t="shared" si="18"/>
        <v>RP_2024_UPZ_1_3</v>
      </c>
      <c r="B154" t="s">
        <v>59</v>
      </c>
      <c r="C154">
        <v>42.716659999999997</v>
      </c>
      <c r="D154">
        <v>-124.467</v>
      </c>
      <c r="E154" s="8">
        <v>45469</v>
      </c>
      <c r="F154">
        <v>2024</v>
      </c>
      <c r="G154" t="s">
        <v>56</v>
      </c>
      <c r="H154" t="s">
        <v>45</v>
      </c>
      <c r="I154">
        <v>1</v>
      </c>
      <c r="J154">
        <v>3</v>
      </c>
      <c r="K154" t="s">
        <v>47</v>
      </c>
      <c r="L154" s="23">
        <v>9</v>
      </c>
      <c r="M154" s="23">
        <v>1</v>
      </c>
      <c r="N154" s="23">
        <v>6</v>
      </c>
      <c r="O154" s="23">
        <v>2</v>
      </c>
      <c r="P154" s="23">
        <v>2</v>
      </c>
      <c r="Q154" s="23">
        <v>0</v>
      </c>
      <c r="R154" s="22" t="s">
        <v>44</v>
      </c>
      <c r="S154" s="22">
        <v>0</v>
      </c>
      <c r="T154" s="23">
        <v>0</v>
      </c>
      <c r="U154" s="23">
        <v>1</v>
      </c>
      <c r="V154" s="18">
        <v>2.6</v>
      </c>
      <c r="W154" s="18">
        <v>4.7</v>
      </c>
      <c r="X154" s="18">
        <v>4.7</v>
      </c>
      <c r="Y154" s="18">
        <v>5.0999999999999996</v>
      </c>
      <c r="Z154" s="18">
        <v>2.5</v>
      </c>
      <c r="AA154" s="15">
        <v>0</v>
      </c>
      <c r="AB154" s="15">
        <v>0</v>
      </c>
      <c r="AC154" s="15">
        <v>1</v>
      </c>
      <c r="AD154" s="15">
        <v>1</v>
      </c>
      <c r="AE154" s="15">
        <v>0</v>
      </c>
      <c r="AF154" s="11">
        <f t="shared" si="22"/>
        <v>2</v>
      </c>
      <c r="AG154" s="32" t="s">
        <v>44</v>
      </c>
      <c r="AH154">
        <v>3</v>
      </c>
      <c r="AI154">
        <v>19</v>
      </c>
      <c r="AJ154">
        <v>0</v>
      </c>
      <c r="AK154">
        <v>0</v>
      </c>
      <c r="AL154">
        <v>57</v>
      </c>
      <c r="AM154">
        <v>16</v>
      </c>
      <c r="AN154">
        <v>1</v>
      </c>
      <c r="AO154">
        <v>0</v>
      </c>
      <c r="AP154">
        <v>4</v>
      </c>
      <c r="AQ154" s="21" t="e">
        <f t="shared" si="25"/>
        <v>#VALUE!</v>
      </c>
      <c r="AR154" s="12">
        <f t="shared" si="23"/>
        <v>100</v>
      </c>
      <c r="AS154">
        <v>0</v>
      </c>
      <c r="AT154">
        <v>9</v>
      </c>
      <c r="AU154">
        <v>0</v>
      </c>
      <c r="AV154" s="6">
        <v>0</v>
      </c>
      <c r="AW154">
        <v>0</v>
      </c>
      <c r="AX154">
        <v>0</v>
      </c>
      <c r="AY154" s="6">
        <v>0</v>
      </c>
      <c r="AZ154">
        <v>0</v>
      </c>
      <c r="BA154" s="6">
        <v>0</v>
      </c>
      <c r="BB154" s="6">
        <v>0</v>
      </c>
      <c r="BC154" s="6">
        <v>0</v>
      </c>
      <c r="BD154" s="6">
        <v>0</v>
      </c>
      <c r="BE154" s="6" t="s">
        <v>44</v>
      </c>
      <c r="BF154" s="6" t="s">
        <v>44</v>
      </c>
      <c r="BG154" s="6" t="s">
        <v>44</v>
      </c>
      <c r="BH154" s="6" t="s">
        <v>44</v>
      </c>
      <c r="BI154" s="6" t="s">
        <v>44</v>
      </c>
      <c r="BJ154" s="6" t="s">
        <v>44</v>
      </c>
      <c r="BK154" s="6">
        <v>0</v>
      </c>
      <c r="BL154" s="6">
        <f t="shared" si="24"/>
        <v>9</v>
      </c>
      <c r="BM154" s="6">
        <f t="shared" si="20"/>
        <v>9</v>
      </c>
      <c r="BN154">
        <v>19</v>
      </c>
      <c r="BO154">
        <f t="shared" si="17"/>
        <v>19</v>
      </c>
      <c r="BP154">
        <v>0</v>
      </c>
      <c r="BQ154">
        <f>SUM(BP154,BB154,BK154)</f>
        <v>0</v>
      </c>
      <c r="BR154">
        <f t="shared" si="21"/>
        <v>0</v>
      </c>
    </row>
    <row r="155" spans="1:70" hidden="1">
      <c r="A155" s="16" t="str">
        <f t="shared" si="18"/>
        <v>RP_2024_UPZ_1_4</v>
      </c>
      <c r="B155" t="s">
        <v>59</v>
      </c>
      <c r="C155">
        <v>42.716659999999997</v>
      </c>
      <c r="D155">
        <v>-124.467</v>
      </c>
      <c r="E155" s="8">
        <v>45469</v>
      </c>
      <c r="F155">
        <v>2024</v>
      </c>
      <c r="G155" t="s">
        <v>56</v>
      </c>
      <c r="H155" t="s">
        <v>45</v>
      </c>
      <c r="I155">
        <v>1</v>
      </c>
      <c r="J155">
        <v>4</v>
      </c>
      <c r="K155" t="s">
        <v>46</v>
      </c>
      <c r="L155" s="23">
        <v>17</v>
      </c>
      <c r="M155" s="23">
        <v>7</v>
      </c>
      <c r="N155" s="23">
        <v>2</v>
      </c>
      <c r="O155" s="23">
        <v>8</v>
      </c>
      <c r="P155" s="23">
        <v>16</v>
      </c>
      <c r="Q155" s="23">
        <v>0</v>
      </c>
      <c r="R155" s="22" t="s">
        <v>44</v>
      </c>
      <c r="S155" s="22">
        <v>0</v>
      </c>
      <c r="T155" s="23">
        <v>2</v>
      </c>
      <c r="U155" s="23">
        <v>10</v>
      </c>
      <c r="V155" s="18">
        <v>3.4</v>
      </c>
      <c r="W155" s="18">
        <v>4</v>
      </c>
      <c r="X155" s="18">
        <v>4.2</v>
      </c>
      <c r="Y155" s="18">
        <v>3.8</v>
      </c>
      <c r="Z155" s="18">
        <v>4.7</v>
      </c>
      <c r="AA155" s="15">
        <v>0</v>
      </c>
      <c r="AB155" s="15">
        <v>1</v>
      </c>
      <c r="AC155" s="15">
        <v>0</v>
      </c>
      <c r="AD155" s="15">
        <v>1</v>
      </c>
      <c r="AE155" s="15">
        <v>0</v>
      </c>
      <c r="AF155" s="11">
        <f t="shared" si="22"/>
        <v>2</v>
      </c>
      <c r="AG155" s="32" t="s">
        <v>44</v>
      </c>
      <c r="AH155">
        <v>0</v>
      </c>
      <c r="AI155">
        <v>7</v>
      </c>
      <c r="AJ155">
        <v>0</v>
      </c>
      <c r="AK155">
        <v>0</v>
      </c>
      <c r="AL155">
        <v>76</v>
      </c>
      <c r="AM155">
        <v>11</v>
      </c>
      <c r="AN155">
        <v>2</v>
      </c>
      <c r="AO155">
        <v>0.1</v>
      </c>
      <c r="AP155">
        <v>4</v>
      </c>
      <c r="AQ155" s="21" t="e">
        <f t="shared" si="25"/>
        <v>#VALUE!</v>
      </c>
      <c r="AR155" s="12">
        <f t="shared" si="23"/>
        <v>100.1</v>
      </c>
      <c r="AS155">
        <v>0</v>
      </c>
      <c r="AT155">
        <v>25</v>
      </c>
      <c r="AU155">
        <v>0</v>
      </c>
      <c r="AV155" s="6">
        <v>0</v>
      </c>
      <c r="AW155" s="6">
        <v>0</v>
      </c>
      <c r="AX155">
        <v>7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 t="s">
        <v>44</v>
      </c>
      <c r="BF155" s="6" t="s">
        <v>44</v>
      </c>
      <c r="BG155" s="6" t="s">
        <v>44</v>
      </c>
      <c r="BH155" s="6" t="s">
        <v>44</v>
      </c>
      <c r="BI155" s="6" t="s">
        <v>44</v>
      </c>
      <c r="BJ155" s="6" t="s">
        <v>44</v>
      </c>
      <c r="BK155" s="6">
        <v>0</v>
      </c>
      <c r="BL155" s="6">
        <f t="shared" si="24"/>
        <v>32</v>
      </c>
      <c r="BM155" s="6">
        <f t="shared" si="20"/>
        <v>32</v>
      </c>
      <c r="BN155">
        <v>7</v>
      </c>
      <c r="BO155">
        <f t="shared" si="17"/>
        <v>7</v>
      </c>
      <c r="BP155">
        <v>0</v>
      </c>
      <c r="BQ155">
        <f>SUM(BP155,BB155,BK155)</f>
        <v>0</v>
      </c>
      <c r="BR155">
        <f t="shared" si="21"/>
        <v>0</v>
      </c>
    </row>
    <row r="156" spans="1:70" hidden="1">
      <c r="A156" s="16" t="str">
        <f t="shared" si="18"/>
        <v>RP_2024_UPZ_1_5</v>
      </c>
      <c r="B156" t="s">
        <v>59</v>
      </c>
      <c r="C156">
        <v>42.716659999999997</v>
      </c>
      <c r="D156">
        <v>-124.467</v>
      </c>
      <c r="E156" s="8">
        <v>45469</v>
      </c>
      <c r="F156">
        <v>2024</v>
      </c>
      <c r="G156" t="s">
        <v>56</v>
      </c>
      <c r="H156" t="s">
        <v>45</v>
      </c>
      <c r="I156">
        <v>1</v>
      </c>
      <c r="J156">
        <v>5</v>
      </c>
      <c r="K156" t="s">
        <v>47</v>
      </c>
      <c r="L156" s="23">
        <v>15</v>
      </c>
      <c r="M156" s="23">
        <v>8</v>
      </c>
      <c r="N156" s="23">
        <v>5</v>
      </c>
      <c r="O156" s="23">
        <v>2</v>
      </c>
      <c r="P156" s="23">
        <v>1</v>
      </c>
      <c r="Q156" s="23">
        <v>1</v>
      </c>
      <c r="R156" s="22" t="s">
        <v>44</v>
      </c>
      <c r="S156" s="22">
        <v>0</v>
      </c>
      <c r="T156" s="23">
        <v>3</v>
      </c>
      <c r="U156" s="23">
        <v>11</v>
      </c>
      <c r="V156" s="18">
        <v>3.1</v>
      </c>
      <c r="W156" s="18">
        <v>5.9</v>
      </c>
      <c r="X156" s="18">
        <v>3.3</v>
      </c>
      <c r="Y156" s="18">
        <v>3.3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1">
        <f t="shared" si="22"/>
        <v>0</v>
      </c>
      <c r="AG156" s="32" t="s">
        <v>44</v>
      </c>
      <c r="AH156">
        <v>1</v>
      </c>
      <c r="AI156">
        <v>34</v>
      </c>
      <c r="AJ156">
        <v>0</v>
      </c>
      <c r="AK156">
        <v>0</v>
      </c>
      <c r="AL156">
        <v>51</v>
      </c>
      <c r="AM156">
        <v>6</v>
      </c>
      <c r="AN156">
        <v>2</v>
      </c>
      <c r="AO156">
        <v>0.1</v>
      </c>
      <c r="AP156">
        <v>6</v>
      </c>
      <c r="AQ156" s="21" t="e">
        <f t="shared" si="25"/>
        <v>#VALUE!</v>
      </c>
      <c r="AR156" s="12">
        <f t="shared" si="23"/>
        <v>100.1</v>
      </c>
      <c r="AS156">
        <v>0</v>
      </c>
      <c r="AT156">
        <v>8</v>
      </c>
      <c r="AU156">
        <v>0</v>
      </c>
      <c r="AV156" s="6">
        <v>0</v>
      </c>
      <c r="AW156">
        <v>0</v>
      </c>
      <c r="AX156">
        <v>4</v>
      </c>
      <c r="AY156" s="6">
        <v>0</v>
      </c>
      <c r="AZ156">
        <v>0</v>
      </c>
      <c r="BA156" s="6">
        <v>0</v>
      </c>
      <c r="BB156" s="6">
        <v>0</v>
      </c>
      <c r="BC156" s="6">
        <v>0</v>
      </c>
      <c r="BD156" s="6">
        <v>0</v>
      </c>
      <c r="BE156" s="6" t="s">
        <v>44</v>
      </c>
      <c r="BF156" s="6" t="s">
        <v>44</v>
      </c>
      <c r="BG156" s="6" t="s">
        <v>44</v>
      </c>
      <c r="BH156" s="6" t="s">
        <v>44</v>
      </c>
      <c r="BI156" s="6" t="s">
        <v>44</v>
      </c>
      <c r="BJ156" s="6" t="s">
        <v>44</v>
      </c>
      <c r="BK156" s="6">
        <v>0</v>
      </c>
      <c r="BL156" s="6">
        <f t="shared" si="24"/>
        <v>12</v>
      </c>
      <c r="BM156" s="6">
        <f t="shared" si="20"/>
        <v>12</v>
      </c>
      <c r="BN156">
        <v>34</v>
      </c>
      <c r="BO156">
        <f t="shared" si="17"/>
        <v>34</v>
      </c>
      <c r="BP156">
        <v>0</v>
      </c>
      <c r="BQ156">
        <f>SUM(BP156,BB156,BK156)</f>
        <v>0</v>
      </c>
      <c r="BR156">
        <f t="shared" si="21"/>
        <v>0</v>
      </c>
    </row>
    <row r="157" spans="1:70" hidden="1">
      <c r="A157" s="16" t="str">
        <f t="shared" si="18"/>
        <v>RP_2024_UPZ_2_1</v>
      </c>
      <c r="B157" t="s">
        <v>59</v>
      </c>
      <c r="C157">
        <v>42.716659999999997</v>
      </c>
      <c r="D157">
        <v>-124.467</v>
      </c>
      <c r="E157" s="8">
        <v>45495</v>
      </c>
      <c r="F157">
        <v>2024</v>
      </c>
      <c r="G157" t="s">
        <v>56</v>
      </c>
      <c r="H157" t="s">
        <v>45</v>
      </c>
      <c r="I157">
        <v>2</v>
      </c>
      <c r="J157">
        <v>1</v>
      </c>
      <c r="K157" t="s">
        <v>47</v>
      </c>
      <c r="L157" s="23">
        <v>13</v>
      </c>
      <c r="M157" s="23">
        <v>2</v>
      </c>
      <c r="N157" s="23">
        <v>1</v>
      </c>
      <c r="O157" s="23">
        <v>10</v>
      </c>
      <c r="P157" s="23">
        <v>9</v>
      </c>
      <c r="Q157" s="23">
        <v>0</v>
      </c>
      <c r="R157" s="22" t="s">
        <v>44</v>
      </c>
      <c r="S157" s="22">
        <v>0</v>
      </c>
      <c r="T157" s="23">
        <v>0</v>
      </c>
      <c r="U157" s="23">
        <v>2</v>
      </c>
      <c r="V157" s="18">
        <v>6.1</v>
      </c>
      <c r="W157" s="18">
        <v>5.8</v>
      </c>
      <c r="X157" s="18">
        <v>5.2</v>
      </c>
      <c r="Y157" s="18">
        <v>6.8</v>
      </c>
      <c r="Z157" s="18">
        <v>4.4000000000000004</v>
      </c>
      <c r="AA157" s="15">
        <v>0</v>
      </c>
      <c r="AB157" s="15">
        <v>0</v>
      </c>
      <c r="AC157" s="15">
        <v>0</v>
      </c>
      <c r="AD157" s="15">
        <v>1</v>
      </c>
      <c r="AE157" s="15">
        <v>0</v>
      </c>
      <c r="AF157" s="11">
        <f t="shared" si="22"/>
        <v>1</v>
      </c>
      <c r="AG157" s="32" t="s">
        <v>44</v>
      </c>
      <c r="AH157">
        <v>1</v>
      </c>
      <c r="AI157">
        <v>26</v>
      </c>
      <c r="AJ157">
        <v>0</v>
      </c>
      <c r="AK157">
        <v>0</v>
      </c>
      <c r="AL157">
        <v>8</v>
      </c>
      <c r="AM157">
        <v>7</v>
      </c>
      <c r="AN157">
        <v>7</v>
      </c>
      <c r="AO157">
        <v>5</v>
      </c>
      <c r="AP157">
        <v>46</v>
      </c>
      <c r="AQ157" s="21" t="e">
        <f t="shared" si="25"/>
        <v>#VALUE!</v>
      </c>
      <c r="AR157" s="12">
        <f t="shared" si="23"/>
        <v>100</v>
      </c>
      <c r="AS157">
        <v>7</v>
      </c>
      <c r="AT157">
        <v>0</v>
      </c>
      <c r="AU157">
        <v>0</v>
      </c>
      <c r="AV157" s="6">
        <v>0</v>
      </c>
      <c r="AW157" s="6">
        <v>0</v>
      </c>
      <c r="AX157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 t="s">
        <v>44</v>
      </c>
      <c r="BF157" s="6" t="s">
        <v>44</v>
      </c>
      <c r="BG157" s="6" t="s">
        <v>44</v>
      </c>
      <c r="BH157" s="6" t="s">
        <v>44</v>
      </c>
      <c r="BI157" s="6" t="s">
        <v>44</v>
      </c>
      <c r="BJ157" s="6" t="s">
        <v>44</v>
      </c>
      <c r="BK157" s="6">
        <v>0</v>
      </c>
      <c r="BL157" s="6">
        <f t="shared" si="24"/>
        <v>7</v>
      </c>
      <c r="BM157" s="6">
        <f t="shared" si="20"/>
        <v>7</v>
      </c>
      <c r="BN157">
        <v>26</v>
      </c>
      <c r="BO157">
        <f t="shared" si="17"/>
        <v>26</v>
      </c>
      <c r="BP157">
        <v>0</v>
      </c>
      <c r="BQ157">
        <f>SUM(BP157,BB157,BK157)</f>
        <v>0</v>
      </c>
      <c r="BR157">
        <f t="shared" si="21"/>
        <v>0</v>
      </c>
    </row>
    <row r="158" spans="1:70" hidden="1">
      <c r="A158" s="16" t="str">
        <f t="shared" si="18"/>
        <v>RP_2024_UPZ_2_2</v>
      </c>
      <c r="B158" t="s">
        <v>59</v>
      </c>
      <c r="C158">
        <v>42.716659999999997</v>
      </c>
      <c r="D158">
        <v>-124.467</v>
      </c>
      <c r="E158" s="8">
        <v>45495</v>
      </c>
      <c r="F158">
        <v>2024</v>
      </c>
      <c r="G158" t="s">
        <v>56</v>
      </c>
      <c r="H158" t="s">
        <v>45</v>
      </c>
      <c r="I158">
        <v>2</v>
      </c>
      <c r="J158">
        <v>2</v>
      </c>
      <c r="K158" t="s">
        <v>51</v>
      </c>
      <c r="L158" s="23">
        <v>31</v>
      </c>
      <c r="M158" s="23">
        <v>12</v>
      </c>
      <c r="N158" s="23">
        <v>2</v>
      </c>
      <c r="O158" s="23">
        <v>17</v>
      </c>
      <c r="P158" s="23">
        <v>28</v>
      </c>
      <c r="Q158" s="23">
        <v>2</v>
      </c>
      <c r="R158" s="22" t="s">
        <v>44</v>
      </c>
      <c r="S158" s="22">
        <v>0</v>
      </c>
      <c r="T158" s="23">
        <v>0</v>
      </c>
      <c r="U158" s="23">
        <v>12</v>
      </c>
      <c r="V158" s="18">
        <v>4.2</v>
      </c>
      <c r="W158" s="18">
        <v>4.5</v>
      </c>
      <c r="X158" s="18">
        <v>3.4</v>
      </c>
      <c r="Y158" s="18">
        <v>3.8</v>
      </c>
      <c r="Z158" s="18">
        <v>4.0999999999999996</v>
      </c>
      <c r="AA158" s="15">
        <v>0</v>
      </c>
      <c r="AB158" s="15">
        <v>1</v>
      </c>
      <c r="AC158" s="15">
        <v>0</v>
      </c>
      <c r="AD158" s="15">
        <v>1</v>
      </c>
      <c r="AE158" s="15">
        <v>0</v>
      </c>
      <c r="AF158" s="11">
        <f t="shared" si="22"/>
        <v>2</v>
      </c>
      <c r="AG158" s="32" t="s">
        <v>44</v>
      </c>
      <c r="AH158">
        <v>0</v>
      </c>
      <c r="AI158">
        <v>5</v>
      </c>
      <c r="AJ158">
        <v>0</v>
      </c>
      <c r="AK158">
        <v>0</v>
      </c>
      <c r="AL158">
        <v>8</v>
      </c>
      <c r="AM158">
        <v>3</v>
      </c>
      <c r="AN158">
        <v>17</v>
      </c>
      <c r="AO158">
        <v>4</v>
      </c>
      <c r="AP158">
        <v>63</v>
      </c>
      <c r="AQ158" s="21" t="e">
        <f t="shared" si="25"/>
        <v>#VALUE!</v>
      </c>
      <c r="AR158" s="12">
        <f t="shared" si="23"/>
        <v>100</v>
      </c>
      <c r="AS158">
        <v>0</v>
      </c>
      <c r="AT158">
        <v>7</v>
      </c>
      <c r="AU158">
        <v>0</v>
      </c>
      <c r="AV158" s="6">
        <v>0</v>
      </c>
      <c r="AW158">
        <v>0</v>
      </c>
      <c r="AX158">
        <v>0</v>
      </c>
      <c r="AY158" s="6">
        <v>0</v>
      </c>
      <c r="AZ158">
        <v>0</v>
      </c>
      <c r="BA158" s="6">
        <v>0</v>
      </c>
      <c r="BB158" s="6">
        <v>0</v>
      </c>
      <c r="BC158" s="6">
        <v>0</v>
      </c>
      <c r="BD158" s="6">
        <v>0</v>
      </c>
      <c r="BE158" s="6" t="s">
        <v>44</v>
      </c>
      <c r="BF158" s="6" t="s">
        <v>44</v>
      </c>
      <c r="BG158" s="6" t="s">
        <v>44</v>
      </c>
      <c r="BH158" s="6" t="s">
        <v>44</v>
      </c>
      <c r="BI158" s="6" t="s">
        <v>44</v>
      </c>
      <c r="BJ158" s="6" t="s">
        <v>44</v>
      </c>
      <c r="BK158" s="6">
        <v>0</v>
      </c>
      <c r="BL158" s="6">
        <f t="shared" si="24"/>
        <v>7</v>
      </c>
      <c r="BM158" s="6">
        <f t="shared" si="20"/>
        <v>7</v>
      </c>
      <c r="BN158">
        <v>5</v>
      </c>
      <c r="BO158">
        <f t="shared" si="17"/>
        <v>5</v>
      </c>
      <c r="BP158">
        <v>0</v>
      </c>
      <c r="BQ158">
        <f>SUM(BP158,BB158,BK158)</f>
        <v>0</v>
      </c>
      <c r="BR158">
        <f t="shared" si="21"/>
        <v>0</v>
      </c>
    </row>
    <row r="159" spans="1:70" hidden="1">
      <c r="A159" s="16" t="str">
        <f t="shared" si="18"/>
        <v>RP_2024_UPZ_2_3</v>
      </c>
      <c r="B159" t="s">
        <v>59</v>
      </c>
      <c r="C159">
        <v>42.716659999999997</v>
      </c>
      <c r="D159">
        <v>-124.467</v>
      </c>
      <c r="E159" s="8">
        <v>45495</v>
      </c>
      <c r="F159">
        <v>2024</v>
      </c>
      <c r="G159" t="s">
        <v>56</v>
      </c>
      <c r="H159" t="s">
        <v>45</v>
      </c>
      <c r="I159">
        <v>2</v>
      </c>
      <c r="J159">
        <v>3</v>
      </c>
      <c r="K159" t="s">
        <v>47</v>
      </c>
      <c r="L159" s="23">
        <v>21</v>
      </c>
      <c r="M159" s="23">
        <v>2</v>
      </c>
      <c r="N159" s="23">
        <v>5</v>
      </c>
      <c r="O159" s="23">
        <v>14</v>
      </c>
      <c r="P159" s="23">
        <v>22</v>
      </c>
      <c r="Q159" s="23">
        <v>2</v>
      </c>
      <c r="R159" s="22" t="s">
        <v>44</v>
      </c>
      <c r="S159" s="22">
        <v>0</v>
      </c>
      <c r="T159" s="23">
        <v>0</v>
      </c>
      <c r="U159" s="23">
        <v>3</v>
      </c>
      <c r="V159" s="18">
        <v>3.7</v>
      </c>
      <c r="W159" s="18">
        <v>2.9</v>
      </c>
      <c r="X159" s="18">
        <v>1.8</v>
      </c>
      <c r="Y159" s="18">
        <v>3.4</v>
      </c>
      <c r="Z159" s="18">
        <v>3.4</v>
      </c>
      <c r="AA159" s="15">
        <v>0</v>
      </c>
      <c r="AB159" s="15">
        <v>0</v>
      </c>
      <c r="AC159" s="15">
        <v>0</v>
      </c>
      <c r="AD159" s="15">
        <v>1</v>
      </c>
      <c r="AE159" s="15">
        <v>0</v>
      </c>
      <c r="AF159" s="11">
        <f t="shared" si="22"/>
        <v>1</v>
      </c>
      <c r="AG159" s="32" t="s">
        <v>44</v>
      </c>
      <c r="AH159">
        <v>0</v>
      </c>
      <c r="AI159">
        <v>12</v>
      </c>
      <c r="AJ159">
        <v>0</v>
      </c>
      <c r="AK159">
        <v>0</v>
      </c>
      <c r="AL159">
        <v>56</v>
      </c>
      <c r="AM159">
        <v>11</v>
      </c>
      <c r="AN159">
        <v>12</v>
      </c>
      <c r="AO159">
        <v>5</v>
      </c>
      <c r="AP159">
        <v>4</v>
      </c>
      <c r="AQ159" s="21" t="e">
        <f t="shared" si="25"/>
        <v>#VALUE!</v>
      </c>
      <c r="AR159" s="12">
        <f t="shared" si="23"/>
        <v>100</v>
      </c>
      <c r="AS159">
        <v>0</v>
      </c>
      <c r="AT159">
        <v>7</v>
      </c>
      <c r="AU159">
        <v>0</v>
      </c>
      <c r="AV159" s="6">
        <v>0</v>
      </c>
      <c r="AW159" s="6">
        <v>0</v>
      </c>
      <c r="AX159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 t="s">
        <v>44</v>
      </c>
      <c r="BF159" s="6" t="s">
        <v>44</v>
      </c>
      <c r="BG159" s="6" t="s">
        <v>44</v>
      </c>
      <c r="BH159" s="6" t="s">
        <v>44</v>
      </c>
      <c r="BI159" s="6" t="s">
        <v>44</v>
      </c>
      <c r="BJ159" s="6" t="s">
        <v>44</v>
      </c>
      <c r="BK159" s="6">
        <v>0</v>
      </c>
      <c r="BL159" s="6">
        <f t="shared" si="24"/>
        <v>7</v>
      </c>
      <c r="BM159" s="6">
        <f t="shared" si="20"/>
        <v>7</v>
      </c>
      <c r="BN159">
        <v>12</v>
      </c>
      <c r="BO159">
        <f t="shared" si="17"/>
        <v>12</v>
      </c>
      <c r="BP159">
        <v>0</v>
      </c>
      <c r="BQ159">
        <f>SUM(BP159,BB159,BK159)</f>
        <v>0</v>
      </c>
      <c r="BR159">
        <f t="shared" si="21"/>
        <v>0</v>
      </c>
    </row>
    <row r="160" spans="1:70" hidden="1">
      <c r="A160" s="16" t="str">
        <f t="shared" si="18"/>
        <v>RP_2024_UPZ_2_4</v>
      </c>
      <c r="B160" t="s">
        <v>59</v>
      </c>
      <c r="C160">
        <v>42.716659999999997</v>
      </c>
      <c r="D160">
        <v>-124.467</v>
      </c>
      <c r="E160" s="8">
        <v>45495</v>
      </c>
      <c r="F160">
        <v>2024</v>
      </c>
      <c r="G160" t="s">
        <v>56</v>
      </c>
      <c r="H160" t="s">
        <v>45</v>
      </c>
      <c r="I160">
        <v>2</v>
      </c>
      <c r="J160">
        <v>4</v>
      </c>
      <c r="K160" t="s">
        <v>47</v>
      </c>
      <c r="L160" s="23">
        <v>12</v>
      </c>
      <c r="M160" s="23">
        <v>5</v>
      </c>
      <c r="N160" s="23">
        <v>2</v>
      </c>
      <c r="O160" s="23">
        <v>5</v>
      </c>
      <c r="P160" s="23">
        <v>20</v>
      </c>
      <c r="Q160" s="23">
        <v>1</v>
      </c>
      <c r="R160" s="22" t="s">
        <v>44</v>
      </c>
      <c r="S160" s="22">
        <v>0</v>
      </c>
      <c r="T160" s="23">
        <v>0</v>
      </c>
      <c r="U160" s="23">
        <v>5</v>
      </c>
      <c r="V160" s="18">
        <v>5.4</v>
      </c>
      <c r="W160" s="18">
        <v>5</v>
      </c>
      <c r="X160" s="18">
        <v>2.9</v>
      </c>
      <c r="Y160" s="18">
        <v>3.7</v>
      </c>
      <c r="Z160" s="18">
        <v>2.2000000000000002</v>
      </c>
      <c r="AA160" s="15">
        <v>0</v>
      </c>
      <c r="AB160" s="15">
        <v>0</v>
      </c>
      <c r="AC160" s="15">
        <v>0</v>
      </c>
      <c r="AD160" s="15">
        <v>1</v>
      </c>
      <c r="AE160" s="15">
        <v>0</v>
      </c>
      <c r="AF160" s="11">
        <f t="shared" si="22"/>
        <v>1</v>
      </c>
      <c r="AG160" s="32" t="s">
        <v>44</v>
      </c>
      <c r="AH160">
        <v>1</v>
      </c>
      <c r="AI160">
        <v>11</v>
      </c>
      <c r="AJ160">
        <v>0</v>
      </c>
      <c r="AK160">
        <v>4</v>
      </c>
      <c r="AL160">
        <v>10</v>
      </c>
      <c r="AM160">
        <v>5</v>
      </c>
      <c r="AN160">
        <v>4</v>
      </c>
      <c r="AO160">
        <v>3</v>
      </c>
      <c r="AP160">
        <v>62</v>
      </c>
      <c r="AQ160" s="21" t="e">
        <f t="shared" si="25"/>
        <v>#VALUE!</v>
      </c>
      <c r="AR160" s="12">
        <f t="shared" si="23"/>
        <v>100</v>
      </c>
      <c r="AS160">
        <v>0</v>
      </c>
      <c r="AT160">
        <v>4</v>
      </c>
      <c r="AU160">
        <v>0</v>
      </c>
      <c r="AV160" s="6">
        <v>0</v>
      </c>
      <c r="AW160">
        <v>0</v>
      </c>
      <c r="AX160">
        <v>0</v>
      </c>
      <c r="AY160" s="6">
        <v>0</v>
      </c>
      <c r="AZ160">
        <v>12</v>
      </c>
      <c r="BA160" s="6">
        <v>0</v>
      </c>
      <c r="BB160" s="6">
        <v>0</v>
      </c>
      <c r="BC160" s="6">
        <v>0</v>
      </c>
      <c r="BD160" s="6">
        <v>0</v>
      </c>
      <c r="BE160" s="6" t="s">
        <v>44</v>
      </c>
      <c r="BF160" s="6" t="s">
        <v>44</v>
      </c>
      <c r="BG160" s="6" t="s">
        <v>44</v>
      </c>
      <c r="BH160" s="6" t="s">
        <v>44</v>
      </c>
      <c r="BI160" s="6" t="s">
        <v>44</v>
      </c>
      <c r="BJ160" s="6" t="s">
        <v>44</v>
      </c>
      <c r="BK160" s="6">
        <v>0</v>
      </c>
      <c r="BL160" s="6">
        <f t="shared" si="24"/>
        <v>16</v>
      </c>
      <c r="BM160" s="6">
        <f t="shared" si="20"/>
        <v>16</v>
      </c>
      <c r="BN160">
        <v>11</v>
      </c>
      <c r="BO160">
        <f t="shared" ref="BO160:BO223" si="26">SUM(BN160,AU160,BG160,BH160,BI160)</f>
        <v>11</v>
      </c>
      <c r="BP160">
        <v>0</v>
      </c>
      <c r="BQ160">
        <f>SUM(BP160,BB160,BK160)</f>
        <v>0</v>
      </c>
      <c r="BR160">
        <f t="shared" si="21"/>
        <v>0</v>
      </c>
    </row>
    <row r="161" spans="1:70" hidden="1">
      <c r="A161" s="16" t="str">
        <f t="shared" si="18"/>
        <v>RP_2024_UPZ_2_5</v>
      </c>
      <c r="B161" t="s">
        <v>59</v>
      </c>
      <c r="C161">
        <v>42.716659999999997</v>
      </c>
      <c r="D161">
        <v>-124.467</v>
      </c>
      <c r="E161" s="8">
        <v>45495</v>
      </c>
      <c r="F161">
        <v>2024</v>
      </c>
      <c r="G161" t="s">
        <v>56</v>
      </c>
      <c r="H161" t="s">
        <v>45</v>
      </c>
      <c r="I161">
        <v>2</v>
      </c>
      <c r="J161">
        <v>5</v>
      </c>
      <c r="K161" t="s">
        <v>47</v>
      </c>
      <c r="L161" s="23">
        <v>18</v>
      </c>
      <c r="M161" s="23">
        <v>2</v>
      </c>
      <c r="N161" s="23">
        <v>2</v>
      </c>
      <c r="O161" s="23">
        <v>14</v>
      </c>
      <c r="P161" s="23">
        <v>17</v>
      </c>
      <c r="Q161" s="23">
        <v>1</v>
      </c>
      <c r="R161" s="22" t="s">
        <v>44</v>
      </c>
      <c r="S161" s="22">
        <v>0</v>
      </c>
      <c r="T161" s="23">
        <v>0</v>
      </c>
      <c r="U161" s="23">
        <v>2</v>
      </c>
      <c r="V161" s="18">
        <v>5.2</v>
      </c>
      <c r="W161" s="18">
        <v>3.9</v>
      </c>
      <c r="X161" s="18">
        <v>4.9000000000000004</v>
      </c>
      <c r="Y161" s="18">
        <v>4.5999999999999996</v>
      </c>
      <c r="Z161" s="18">
        <v>4.2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1">
        <f t="shared" si="22"/>
        <v>0</v>
      </c>
      <c r="AG161" s="32" t="s">
        <v>44</v>
      </c>
      <c r="AH161">
        <v>0</v>
      </c>
      <c r="AI161">
        <v>0</v>
      </c>
      <c r="AJ161">
        <v>0</v>
      </c>
      <c r="AK161">
        <v>0</v>
      </c>
      <c r="AL161">
        <v>14</v>
      </c>
      <c r="AM161">
        <v>9</v>
      </c>
      <c r="AN161">
        <v>7</v>
      </c>
      <c r="AO161">
        <v>0</v>
      </c>
      <c r="AP161">
        <v>70</v>
      </c>
      <c r="AQ161" s="21" t="e">
        <f t="shared" si="25"/>
        <v>#VALUE!</v>
      </c>
      <c r="AR161" s="12">
        <f t="shared" si="23"/>
        <v>100</v>
      </c>
      <c r="AS161">
        <v>3</v>
      </c>
      <c r="AT161">
        <v>0</v>
      </c>
      <c r="AU161">
        <v>0</v>
      </c>
      <c r="AV161">
        <v>7</v>
      </c>
      <c r="AW161" s="6">
        <v>0</v>
      </c>
      <c r="AX161">
        <v>4</v>
      </c>
      <c r="AY161" s="6">
        <v>0</v>
      </c>
      <c r="AZ161" s="6">
        <v>0</v>
      </c>
      <c r="BA161" s="6">
        <v>0</v>
      </c>
      <c r="BB161" s="6">
        <v>0</v>
      </c>
      <c r="BC161">
        <v>4</v>
      </c>
      <c r="BD161" s="6">
        <v>0</v>
      </c>
      <c r="BE161" s="6" t="s">
        <v>44</v>
      </c>
      <c r="BF161" s="6" t="s">
        <v>44</v>
      </c>
      <c r="BG161" s="6" t="s">
        <v>44</v>
      </c>
      <c r="BH161" s="6" t="s">
        <v>44</v>
      </c>
      <c r="BI161" s="6" t="s">
        <v>44</v>
      </c>
      <c r="BJ161" s="6" t="s">
        <v>44</v>
      </c>
      <c r="BK161" s="6">
        <v>0</v>
      </c>
      <c r="BL161" s="6">
        <f t="shared" si="24"/>
        <v>18</v>
      </c>
      <c r="BM161" s="6">
        <f t="shared" si="20"/>
        <v>18</v>
      </c>
      <c r="BN161">
        <v>0</v>
      </c>
      <c r="BO161">
        <f t="shared" si="26"/>
        <v>0</v>
      </c>
      <c r="BP161">
        <v>0</v>
      </c>
      <c r="BQ161">
        <f>SUM(BP161,BB161,BK161)</f>
        <v>0</v>
      </c>
      <c r="BR161">
        <f t="shared" si="21"/>
        <v>0</v>
      </c>
    </row>
    <row r="162" spans="1:70" hidden="1">
      <c r="A162" s="16" t="str">
        <f t="shared" si="18"/>
        <v>CMS_2024_AZ_1_1</v>
      </c>
      <c r="B162" t="s">
        <v>60</v>
      </c>
      <c r="C162">
        <v>40.340800000000002</v>
      </c>
      <c r="D162">
        <v>-124.3633</v>
      </c>
      <c r="E162" s="8">
        <v>45493</v>
      </c>
      <c r="F162">
        <v>2024</v>
      </c>
      <c r="G162" t="s">
        <v>61</v>
      </c>
      <c r="H162" t="s">
        <v>42</v>
      </c>
      <c r="I162">
        <v>1</v>
      </c>
      <c r="J162">
        <v>1</v>
      </c>
      <c r="K162" t="s">
        <v>46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 t="s">
        <v>44</v>
      </c>
      <c r="S162" s="22">
        <v>0</v>
      </c>
      <c r="T162" s="23">
        <v>0</v>
      </c>
      <c r="U162" s="23">
        <v>0</v>
      </c>
      <c r="V162" s="18" t="s">
        <v>44</v>
      </c>
      <c r="W162" s="18" t="s">
        <v>44</v>
      </c>
      <c r="X162" s="18" t="s">
        <v>44</v>
      </c>
      <c r="Y162" s="18" t="s">
        <v>44</v>
      </c>
      <c r="Z162" s="18" t="s">
        <v>44</v>
      </c>
      <c r="AA162" s="11" t="s">
        <v>44</v>
      </c>
      <c r="AB162" s="11" t="s">
        <v>44</v>
      </c>
      <c r="AC162" s="11" t="s">
        <v>44</v>
      </c>
      <c r="AD162" s="11" t="s">
        <v>44</v>
      </c>
      <c r="AE162" s="11" t="s">
        <v>44</v>
      </c>
      <c r="AF162" s="11" t="s">
        <v>44</v>
      </c>
      <c r="AG162" s="32">
        <v>0</v>
      </c>
      <c r="AH162">
        <v>4</v>
      </c>
      <c r="AI162">
        <v>29</v>
      </c>
      <c r="AJ162">
        <v>0</v>
      </c>
      <c r="AK162">
        <v>0</v>
      </c>
      <c r="AL162">
        <v>1</v>
      </c>
      <c r="AM162">
        <v>3</v>
      </c>
      <c r="AN162">
        <v>20</v>
      </c>
      <c r="AO162">
        <v>0</v>
      </c>
      <c r="AP162">
        <v>43</v>
      </c>
      <c r="AQ162" s="21">
        <f t="shared" si="25"/>
        <v>43</v>
      </c>
      <c r="AR162" s="12">
        <f t="shared" si="23"/>
        <v>100</v>
      </c>
      <c r="AS162">
        <v>0</v>
      </c>
      <c r="AT162">
        <v>0</v>
      </c>
      <c r="AU162">
        <v>16</v>
      </c>
      <c r="AV162" s="6">
        <v>0</v>
      </c>
      <c r="AW162">
        <v>0</v>
      </c>
      <c r="AX162">
        <v>18</v>
      </c>
      <c r="AY162" s="6">
        <v>0</v>
      </c>
      <c r="AZ162">
        <v>0</v>
      </c>
      <c r="BA162" s="6">
        <v>0</v>
      </c>
      <c r="BB162" s="6">
        <v>0</v>
      </c>
      <c r="BC162" s="6">
        <v>0</v>
      </c>
      <c r="BD162">
        <v>7</v>
      </c>
      <c r="BE162" s="6" t="s">
        <v>44</v>
      </c>
      <c r="BF162" s="6" t="s">
        <v>44</v>
      </c>
      <c r="BG162" s="6" t="s">
        <v>44</v>
      </c>
      <c r="BH162" s="6" t="s">
        <v>44</v>
      </c>
      <c r="BI162" s="6" t="s">
        <v>44</v>
      </c>
      <c r="BJ162" s="6" t="s">
        <v>44</v>
      </c>
      <c r="BK162" s="6">
        <v>0</v>
      </c>
      <c r="BL162" s="6">
        <f t="shared" si="24"/>
        <v>25</v>
      </c>
      <c r="BM162" s="6">
        <f t="shared" si="20"/>
        <v>41</v>
      </c>
    </row>
    <row r="163" spans="1:70" hidden="1">
      <c r="A163" s="16" t="str">
        <f t="shared" si="18"/>
        <v>CMS_2024_AZ_1_2</v>
      </c>
      <c r="B163" t="s">
        <v>60</v>
      </c>
      <c r="C163">
        <v>40.340800000000002</v>
      </c>
      <c r="D163">
        <v>-124.3633</v>
      </c>
      <c r="E163" s="8">
        <v>45493</v>
      </c>
      <c r="F163">
        <v>2024</v>
      </c>
      <c r="G163" t="s">
        <v>61</v>
      </c>
      <c r="H163" t="s">
        <v>42</v>
      </c>
      <c r="I163">
        <v>1</v>
      </c>
      <c r="J163">
        <v>2</v>
      </c>
      <c r="K163" t="s">
        <v>46</v>
      </c>
      <c r="L163" s="23">
        <v>2</v>
      </c>
      <c r="M163" s="23">
        <v>2</v>
      </c>
      <c r="N163" s="23">
        <v>0</v>
      </c>
      <c r="O163" s="23">
        <v>0</v>
      </c>
      <c r="P163" s="23">
        <v>1</v>
      </c>
      <c r="Q163" s="23">
        <v>1</v>
      </c>
      <c r="R163" s="23" t="s">
        <v>44</v>
      </c>
      <c r="S163" s="22">
        <v>0</v>
      </c>
      <c r="T163" s="23">
        <v>2</v>
      </c>
      <c r="U163" s="23">
        <v>5</v>
      </c>
      <c r="V163" s="18" t="s">
        <v>44</v>
      </c>
      <c r="W163" s="18" t="s">
        <v>44</v>
      </c>
      <c r="X163" s="18" t="s">
        <v>44</v>
      </c>
      <c r="Y163" s="18" t="s">
        <v>44</v>
      </c>
      <c r="Z163" s="18" t="s">
        <v>44</v>
      </c>
      <c r="AA163" s="11" t="s">
        <v>44</v>
      </c>
      <c r="AB163" s="11" t="s">
        <v>44</v>
      </c>
      <c r="AC163" s="11" t="s">
        <v>44</v>
      </c>
      <c r="AD163" s="11" t="s">
        <v>44</v>
      </c>
      <c r="AE163" s="11" t="s">
        <v>44</v>
      </c>
      <c r="AF163" s="11" t="s">
        <v>44</v>
      </c>
      <c r="AG163" s="32">
        <v>0.1</v>
      </c>
      <c r="AH163">
        <v>0</v>
      </c>
      <c r="AI163">
        <v>27</v>
      </c>
      <c r="AJ163">
        <v>1</v>
      </c>
      <c r="AK163">
        <v>0</v>
      </c>
      <c r="AL163">
        <v>5</v>
      </c>
      <c r="AM163">
        <v>5</v>
      </c>
      <c r="AN163">
        <v>45</v>
      </c>
      <c r="AO163">
        <v>0</v>
      </c>
      <c r="AP163">
        <v>17</v>
      </c>
      <c r="AQ163" s="21">
        <f t="shared" si="25"/>
        <v>16.899999999999999</v>
      </c>
      <c r="AR163" s="12">
        <f t="shared" si="23"/>
        <v>100</v>
      </c>
      <c r="AS163">
        <v>0</v>
      </c>
      <c r="AT163">
        <v>0</v>
      </c>
      <c r="AU163">
        <v>20</v>
      </c>
      <c r="AV163" s="6">
        <v>0</v>
      </c>
      <c r="AW163" s="6">
        <v>0</v>
      </c>
      <c r="AX163">
        <v>12</v>
      </c>
      <c r="AY163" s="6">
        <v>0</v>
      </c>
      <c r="AZ163" s="6">
        <v>0</v>
      </c>
      <c r="BA163" s="6">
        <v>0</v>
      </c>
      <c r="BB163">
        <v>1</v>
      </c>
      <c r="BC163" s="6">
        <v>0</v>
      </c>
      <c r="BD163" s="6">
        <v>0</v>
      </c>
      <c r="BE163" s="6" t="s">
        <v>44</v>
      </c>
      <c r="BF163" s="6" t="s">
        <v>44</v>
      </c>
      <c r="BG163" s="6" t="s">
        <v>44</v>
      </c>
      <c r="BH163" s="6" t="s">
        <v>44</v>
      </c>
      <c r="BI163" s="6" t="s">
        <v>44</v>
      </c>
      <c r="BJ163" s="6" t="s">
        <v>44</v>
      </c>
      <c r="BK163" s="6">
        <v>0</v>
      </c>
      <c r="BL163" s="6">
        <f t="shared" si="24"/>
        <v>12</v>
      </c>
      <c r="BM163" s="6">
        <f t="shared" si="20"/>
        <v>33</v>
      </c>
    </row>
    <row r="164" spans="1:70" hidden="1">
      <c r="A164" s="16" t="str">
        <f t="shared" si="18"/>
        <v>CMS_2024_AZ_1_3</v>
      </c>
      <c r="B164" t="s">
        <v>60</v>
      </c>
      <c r="C164">
        <v>40.340800000000002</v>
      </c>
      <c r="D164">
        <v>-124.3633</v>
      </c>
      <c r="E164" s="8">
        <v>45493</v>
      </c>
      <c r="F164">
        <v>2024</v>
      </c>
      <c r="G164" t="s">
        <v>61</v>
      </c>
      <c r="H164" t="s">
        <v>42</v>
      </c>
      <c r="I164">
        <v>1</v>
      </c>
      <c r="J164">
        <v>3</v>
      </c>
      <c r="K164" t="s">
        <v>46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 t="s">
        <v>44</v>
      </c>
      <c r="S164" s="22">
        <v>0</v>
      </c>
      <c r="T164" s="23">
        <v>0</v>
      </c>
      <c r="U164" s="23">
        <v>0</v>
      </c>
      <c r="V164" s="18" t="s">
        <v>44</v>
      </c>
      <c r="W164" s="18" t="s">
        <v>44</v>
      </c>
      <c r="X164" s="18" t="s">
        <v>44</v>
      </c>
      <c r="Y164" s="18" t="s">
        <v>44</v>
      </c>
      <c r="Z164" s="18" t="s">
        <v>44</v>
      </c>
      <c r="AA164" s="11" t="s">
        <v>44</v>
      </c>
      <c r="AB164" s="11" t="s">
        <v>44</v>
      </c>
      <c r="AC164" s="11" t="s">
        <v>44</v>
      </c>
      <c r="AD164" s="11" t="s">
        <v>44</v>
      </c>
      <c r="AE164" s="11" t="s">
        <v>44</v>
      </c>
      <c r="AF164" s="11" t="s">
        <v>44</v>
      </c>
      <c r="AG164" s="32">
        <v>0</v>
      </c>
      <c r="AH164">
        <v>0</v>
      </c>
      <c r="AI164">
        <v>47</v>
      </c>
      <c r="AJ164">
        <v>9</v>
      </c>
      <c r="AK164">
        <v>0</v>
      </c>
      <c r="AL164">
        <v>0.1</v>
      </c>
      <c r="AM164">
        <v>0.1</v>
      </c>
      <c r="AN164">
        <v>27</v>
      </c>
      <c r="AO164">
        <v>0</v>
      </c>
      <c r="AP164">
        <v>17</v>
      </c>
      <c r="AQ164" s="21">
        <f t="shared" si="25"/>
        <v>17</v>
      </c>
      <c r="AR164" s="12">
        <f t="shared" si="23"/>
        <v>100.2</v>
      </c>
      <c r="AS164">
        <v>0</v>
      </c>
      <c r="AT164">
        <v>0</v>
      </c>
      <c r="AU164">
        <v>34</v>
      </c>
      <c r="AV164" s="6">
        <v>0</v>
      </c>
      <c r="AW164">
        <v>0</v>
      </c>
      <c r="AX164">
        <v>6</v>
      </c>
      <c r="AY164" s="6">
        <v>0</v>
      </c>
      <c r="AZ164">
        <v>0</v>
      </c>
      <c r="BA164" s="6">
        <v>0</v>
      </c>
      <c r="BB164">
        <v>9</v>
      </c>
      <c r="BC164" s="6">
        <v>0</v>
      </c>
      <c r="BD164">
        <v>0.1</v>
      </c>
      <c r="BE164" s="6" t="s">
        <v>44</v>
      </c>
      <c r="BF164" s="6" t="s">
        <v>44</v>
      </c>
      <c r="BG164" s="6" t="s">
        <v>44</v>
      </c>
      <c r="BH164" s="6" t="s">
        <v>44</v>
      </c>
      <c r="BI164" s="6" t="s">
        <v>44</v>
      </c>
      <c r="BJ164" s="6" t="s">
        <v>44</v>
      </c>
      <c r="BK164" s="6">
        <v>0</v>
      </c>
      <c r="BL164" s="6">
        <f t="shared" si="24"/>
        <v>6.1</v>
      </c>
      <c r="BM164" s="6">
        <f t="shared" si="20"/>
        <v>49.1</v>
      </c>
    </row>
    <row r="165" spans="1:70" hidden="1">
      <c r="A165" s="16" t="str">
        <f t="shared" si="18"/>
        <v>CMS_2024_AZ_1_4</v>
      </c>
      <c r="B165" t="s">
        <v>60</v>
      </c>
      <c r="C165">
        <v>40.340800000000002</v>
      </c>
      <c r="D165">
        <v>-124.3633</v>
      </c>
      <c r="E165" s="8">
        <v>45493</v>
      </c>
      <c r="F165">
        <v>2024</v>
      </c>
      <c r="G165" t="s">
        <v>61</v>
      </c>
      <c r="H165" t="s">
        <v>42</v>
      </c>
      <c r="I165">
        <v>1</v>
      </c>
      <c r="J165">
        <v>4</v>
      </c>
      <c r="K165" t="s">
        <v>46</v>
      </c>
      <c r="L165" s="23">
        <v>1</v>
      </c>
      <c r="M165" s="23">
        <v>1</v>
      </c>
      <c r="N165" s="23">
        <v>0</v>
      </c>
      <c r="O165" s="23">
        <v>0</v>
      </c>
      <c r="P165" s="23">
        <v>0</v>
      </c>
      <c r="Q165" s="23">
        <v>0</v>
      </c>
      <c r="R165" s="23" t="s">
        <v>44</v>
      </c>
      <c r="S165" s="22">
        <v>0</v>
      </c>
      <c r="T165" s="23">
        <v>0</v>
      </c>
      <c r="U165" s="23">
        <v>1</v>
      </c>
      <c r="V165" s="18" t="s">
        <v>44</v>
      </c>
      <c r="W165" s="18" t="s">
        <v>44</v>
      </c>
      <c r="X165" s="18" t="s">
        <v>44</v>
      </c>
      <c r="Y165" s="18" t="s">
        <v>44</v>
      </c>
      <c r="Z165" s="18" t="s">
        <v>44</v>
      </c>
      <c r="AA165" s="11" t="s">
        <v>44</v>
      </c>
      <c r="AB165" s="11" t="s">
        <v>44</v>
      </c>
      <c r="AC165" s="11" t="s">
        <v>44</v>
      </c>
      <c r="AD165" s="11" t="s">
        <v>44</v>
      </c>
      <c r="AE165" s="11" t="s">
        <v>44</v>
      </c>
      <c r="AF165" s="11" t="s">
        <v>44</v>
      </c>
      <c r="AG165" s="32"/>
      <c r="AH165">
        <v>0</v>
      </c>
      <c r="AI165">
        <v>30</v>
      </c>
      <c r="AJ165">
        <v>0</v>
      </c>
      <c r="AK165">
        <v>0</v>
      </c>
      <c r="AL165">
        <v>1</v>
      </c>
      <c r="AM165">
        <v>1</v>
      </c>
      <c r="AN165">
        <v>30</v>
      </c>
      <c r="AO165">
        <v>0</v>
      </c>
      <c r="AP165">
        <v>38</v>
      </c>
      <c r="AQ165" s="21">
        <f t="shared" si="25"/>
        <v>38</v>
      </c>
      <c r="AR165" s="12">
        <f t="shared" si="23"/>
        <v>100</v>
      </c>
      <c r="AS165">
        <v>0</v>
      </c>
      <c r="AT165">
        <v>0</v>
      </c>
      <c r="AU165">
        <v>13</v>
      </c>
      <c r="AV165" s="6">
        <v>0</v>
      </c>
      <c r="AW165" s="6">
        <v>0</v>
      </c>
      <c r="AX165">
        <v>11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 t="s">
        <v>44</v>
      </c>
      <c r="BF165" s="6" t="s">
        <v>44</v>
      </c>
      <c r="BG165" s="6" t="s">
        <v>44</v>
      </c>
      <c r="BH165" s="6" t="s">
        <v>44</v>
      </c>
      <c r="BI165" s="6" t="s">
        <v>44</v>
      </c>
      <c r="BJ165" s="6" t="s">
        <v>44</v>
      </c>
      <c r="BK165" s="6">
        <v>0</v>
      </c>
      <c r="BL165" s="6">
        <f t="shared" si="24"/>
        <v>11</v>
      </c>
      <c r="BM165" s="6">
        <f t="shared" si="20"/>
        <v>24</v>
      </c>
    </row>
    <row r="166" spans="1:70" hidden="1">
      <c r="A166" s="16" t="str">
        <f t="shared" si="18"/>
        <v>CMS_2024_AZ_1_5</v>
      </c>
      <c r="B166" t="s">
        <v>60</v>
      </c>
      <c r="C166">
        <v>40.340800000000002</v>
      </c>
      <c r="D166">
        <v>-124.3633</v>
      </c>
      <c r="E166" s="8">
        <v>45493</v>
      </c>
      <c r="F166">
        <v>2024</v>
      </c>
      <c r="G166" t="s">
        <v>61</v>
      </c>
      <c r="H166" t="s">
        <v>42</v>
      </c>
      <c r="I166">
        <v>1</v>
      </c>
      <c r="J166">
        <v>5</v>
      </c>
      <c r="K166" t="s">
        <v>46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 t="s">
        <v>44</v>
      </c>
      <c r="S166" s="22">
        <v>0</v>
      </c>
      <c r="T166" s="23">
        <v>0</v>
      </c>
      <c r="U166" s="23">
        <v>0</v>
      </c>
      <c r="V166" s="18" t="s">
        <v>44</v>
      </c>
      <c r="W166" s="18" t="s">
        <v>44</v>
      </c>
      <c r="X166" s="18" t="s">
        <v>44</v>
      </c>
      <c r="Y166" s="18" t="s">
        <v>44</v>
      </c>
      <c r="Z166" s="18" t="s">
        <v>44</v>
      </c>
      <c r="AA166" s="11" t="s">
        <v>44</v>
      </c>
      <c r="AB166" s="11" t="s">
        <v>44</v>
      </c>
      <c r="AC166" s="11" t="s">
        <v>44</v>
      </c>
      <c r="AD166" s="11" t="s">
        <v>44</v>
      </c>
      <c r="AE166" s="11" t="s">
        <v>44</v>
      </c>
      <c r="AF166" s="11" t="s">
        <v>44</v>
      </c>
      <c r="AG166" s="32">
        <v>0</v>
      </c>
      <c r="AH166">
        <v>0</v>
      </c>
      <c r="AI166">
        <v>45</v>
      </c>
      <c r="AJ166">
        <v>3</v>
      </c>
      <c r="AK166">
        <v>0</v>
      </c>
      <c r="AL166">
        <v>3</v>
      </c>
      <c r="AM166">
        <v>1</v>
      </c>
      <c r="AN166">
        <v>36</v>
      </c>
      <c r="AO166">
        <v>0</v>
      </c>
      <c r="AP166">
        <v>12</v>
      </c>
      <c r="AQ166" s="21">
        <f t="shared" si="25"/>
        <v>12</v>
      </c>
      <c r="AR166" s="12">
        <f t="shared" si="23"/>
        <v>100</v>
      </c>
      <c r="AS166">
        <v>0</v>
      </c>
      <c r="AT166">
        <v>0</v>
      </c>
      <c r="AU166">
        <v>19</v>
      </c>
      <c r="AV166" s="6">
        <v>0</v>
      </c>
      <c r="AW166">
        <v>0</v>
      </c>
      <c r="AX166">
        <v>2</v>
      </c>
      <c r="AY166" s="6">
        <v>0</v>
      </c>
      <c r="AZ166">
        <v>0</v>
      </c>
      <c r="BA166" s="6">
        <v>0</v>
      </c>
      <c r="BB166">
        <v>3</v>
      </c>
      <c r="BC166" s="6">
        <v>0</v>
      </c>
      <c r="BD166">
        <v>0</v>
      </c>
      <c r="BE166" s="6" t="s">
        <v>44</v>
      </c>
      <c r="BF166" s="6" t="s">
        <v>44</v>
      </c>
      <c r="BG166" s="6" t="s">
        <v>44</v>
      </c>
      <c r="BH166" s="6" t="s">
        <v>44</v>
      </c>
      <c r="BI166" s="6" t="s">
        <v>44</v>
      </c>
      <c r="BJ166" s="6" t="s">
        <v>44</v>
      </c>
      <c r="BK166" s="6">
        <v>0</v>
      </c>
      <c r="BL166" s="6">
        <f t="shared" si="24"/>
        <v>2</v>
      </c>
      <c r="BM166" s="6">
        <f t="shared" si="20"/>
        <v>24</v>
      </c>
    </row>
    <row r="167" spans="1:70" hidden="1">
      <c r="A167" s="16" t="str">
        <f t="shared" si="18"/>
        <v>CMS_2024_AZ_2_1</v>
      </c>
      <c r="B167" t="s">
        <v>60</v>
      </c>
      <c r="C167">
        <v>40.340800000000002</v>
      </c>
      <c r="D167">
        <v>-124.3633</v>
      </c>
      <c r="E167" s="8">
        <v>45493</v>
      </c>
      <c r="F167">
        <v>2024</v>
      </c>
      <c r="G167" t="s">
        <v>61</v>
      </c>
      <c r="H167" t="s">
        <v>42</v>
      </c>
      <c r="I167">
        <v>2</v>
      </c>
      <c r="J167">
        <v>1</v>
      </c>
      <c r="K167" t="s">
        <v>43</v>
      </c>
      <c r="L167" s="23">
        <v>3</v>
      </c>
      <c r="M167" s="23">
        <v>3</v>
      </c>
      <c r="N167" s="23">
        <v>0</v>
      </c>
      <c r="O167" s="23">
        <v>0</v>
      </c>
      <c r="P167" s="23">
        <v>1</v>
      </c>
      <c r="Q167" s="23">
        <v>0</v>
      </c>
      <c r="R167" s="23" t="s">
        <v>44</v>
      </c>
      <c r="S167" s="22">
        <v>0</v>
      </c>
      <c r="T167" s="23">
        <v>4</v>
      </c>
      <c r="U167" s="23">
        <v>11</v>
      </c>
      <c r="V167" s="18" t="s">
        <v>44</v>
      </c>
      <c r="W167" s="18" t="s">
        <v>44</v>
      </c>
      <c r="X167" s="18" t="s">
        <v>44</v>
      </c>
      <c r="Y167" s="18" t="s">
        <v>44</v>
      </c>
      <c r="Z167" s="18" t="s">
        <v>44</v>
      </c>
      <c r="AA167" s="11" t="s">
        <v>44</v>
      </c>
      <c r="AB167" s="11" t="s">
        <v>44</v>
      </c>
      <c r="AC167" s="11" t="s">
        <v>44</v>
      </c>
      <c r="AD167" s="11" t="s">
        <v>44</v>
      </c>
      <c r="AE167" s="11" t="s">
        <v>44</v>
      </c>
      <c r="AF167" s="11" t="s">
        <v>44</v>
      </c>
      <c r="AG167" s="32">
        <v>1</v>
      </c>
      <c r="AH167">
        <v>0</v>
      </c>
      <c r="AI167">
        <v>90</v>
      </c>
      <c r="AJ167">
        <v>3</v>
      </c>
      <c r="AK167">
        <v>0</v>
      </c>
      <c r="AL167">
        <v>3</v>
      </c>
      <c r="AM167">
        <v>0</v>
      </c>
      <c r="AN167">
        <v>2</v>
      </c>
      <c r="AO167">
        <v>0</v>
      </c>
      <c r="AP167">
        <v>2</v>
      </c>
      <c r="AQ167" s="21">
        <f t="shared" si="25"/>
        <v>1</v>
      </c>
      <c r="AR167" s="12">
        <f t="shared" si="23"/>
        <v>100</v>
      </c>
      <c r="AS167">
        <v>0</v>
      </c>
      <c r="AT167">
        <v>0</v>
      </c>
      <c r="AU167">
        <v>6</v>
      </c>
      <c r="AV167" s="6">
        <v>0</v>
      </c>
      <c r="AW167" s="6">
        <v>0</v>
      </c>
      <c r="AX167">
        <v>20</v>
      </c>
      <c r="AY167" s="6">
        <v>0</v>
      </c>
      <c r="AZ167" s="6">
        <v>0</v>
      </c>
      <c r="BA167" s="6">
        <v>0</v>
      </c>
      <c r="BB167">
        <v>3</v>
      </c>
      <c r="BC167" s="6">
        <v>0</v>
      </c>
      <c r="BD167" s="6">
        <v>0</v>
      </c>
      <c r="BE167" s="6" t="s">
        <v>44</v>
      </c>
      <c r="BF167" s="6" t="s">
        <v>44</v>
      </c>
      <c r="BG167" s="6" t="s">
        <v>44</v>
      </c>
      <c r="BH167" s="6" t="s">
        <v>44</v>
      </c>
      <c r="BI167" s="6" t="s">
        <v>44</v>
      </c>
      <c r="BJ167" s="6" t="s">
        <v>44</v>
      </c>
      <c r="BK167" s="6">
        <v>0</v>
      </c>
      <c r="BL167" s="6">
        <f t="shared" si="24"/>
        <v>20</v>
      </c>
      <c r="BM167" s="6">
        <f t="shared" si="20"/>
        <v>29</v>
      </c>
    </row>
    <row r="168" spans="1:70" hidden="1">
      <c r="A168" s="16" t="str">
        <f t="shared" si="18"/>
        <v>CMS_2024_AZ_2_2</v>
      </c>
      <c r="B168" t="s">
        <v>60</v>
      </c>
      <c r="C168">
        <v>40.340800000000002</v>
      </c>
      <c r="D168">
        <v>-124.3633</v>
      </c>
      <c r="E168" s="8">
        <v>45493</v>
      </c>
      <c r="F168">
        <v>2024</v>
      </c>
      <c r="G168" t="s">
        <v>61</v>
      </c>
      <c r="H168" t="s">
        <v>42</v>
      </c>
      <c r="I168">
        <v>2</v>
      </c>
      <c r="J168">
        <v>2</v>
      </c>
      <c r="K168" t="s">
        <v>43</v>
      </c>
      <c r="L168" s="23">
        <v>6</v>
      </c>
      <c r="M168" s="23">
        <v>6</v>
      </c>
      <c r="N168" s="23">
        <v>0</v>
      </c>
      <c r="O168" s="23">
        <v>0</v>
      </c>
      <c r="P168" s="23">
        <v>1</v>
      </c>
      <c r="Q168" s="23">
        <v>0</v>
      </c>
      <c r="R168" s="23">
        <v>5</v>
      </c>
      <c r="S168" s="22">
        <v>0</v>
      </c>
      <c r="T168" s="23">
        <v>4</v>
      </c>
      <c r="U168" s="23">
        <v>10</v>
      </c>
      <c r="V168" s="18" t="s">
        <v>44</v>
      </c>
      <c r="W168" s="18" t="s">
        <v>44</v>
      </c>
      <c r="X168" s="18" t="s">
        <v>44</v>
      </c>
      <c r="Y168" s="18" t="s">
        <v>44</v>
      </c>
      <c r="Z168" s="18" t="s">
        <v>44</v>
      </c>
      <c r="AA168" s="11" t="s">
        <v>44</v>
      </c>
      <c r="AB168" s="11" t="s">
        <v>44</v>
      </c>
      <c r="AC168" s="11" t="s">
        <v>44</v>
      </c>
      <c r="AD168" s="11" t="s">
        <v>44</v>
      </c>
      <c r="AE168" s="11" t="s">
        <v>44</v>
      </c>
      <c r="AF168" s="11" t="s">
        <v>44</v>
      </c>
      <c r="AG168" s="32"/>
      <c r="AH168">
        <v>0</v>
      </c>
      <c r="AI168">
        <v>83</v>
      </c>
      <c r="AJ168">
        <v>0</v>
      </c>
      <c r="AK168">
        <v>0</v>
      </c>
      <c r="AL168">
        <v>3</v>
      </c>
      <c r="AM168">
        <v>2</v>
      </c>
      <c r="AN168">
        <v>1</v>
      </c>
      <c r="AO168">
        <v>0.1</v>
      </c>
      <c r="AP168">
        <v>11</v>
      </c>
      <c r="AQ168" s="21">
        <f t="shared" si="25"/>
        <v>11</v>
      </c>
      <c r="AR168" s="12">
        <f t="shared" si="23"/>
        <v>100.1</v>
      </c>
      <c r="AS168">
        <v>0</v>
      </c>
      <c r="AT168">
        <v>0</v>
      </c>
      <c r="AU168">
        <v>1</v>
      </c>
      <c r="AV168" s="6">
        <v>0</v>
      </c>
      <c r="AW168">
        <v>0</v>
      </c>
      <c r="AX168">
        <v>1</v>
      </c>
      <c r="AY168" s="6">
        <v>0</v>
      </c>
      <c r="AZ168">
        <v>0</v>
      </c>
      <c r="BA168" s="6">
        <v>0</v>
      </c>
      <c r="BB168">
        <v>0</v>
      </c>
      <c r="BC168" s="6">
        <v>0</v>
      </c>
      <c r="BD168">
        <v>0</v>
      </c>
      <c r="BE168" s="6" t="s">
        <v>44</v>
      </c>
      <c r="BF168" s="6" t="s">
        <v>44</v>
      </c>
      <c r="BG168" s="6" t="s">
        <v>44</v>
      </c>
      <c r="BH168" s="6" t="s">
        <v>44</v>
      </c>
      <c r="BI168" s="6" t="s">
        <v>44</v>
      </c>
      <c r="BJ168" s="6" t="s">
        <v>44</v>
      </c>
      <c r="BK168" s="6">
        <v>0</v>
      </c>
      <c r="BL168" s="6">
        <f t="shared" si="24"/>
        <v>1</v>
      </c>
      <c r="BM168" s="6">
        <f t="shared" si="20"/>
        <v>2</v>
      </c>
    </row>
    <row r="169" spans="1:70" hidden="1">
      <c r="A169" s="16" t="str">
        <f t="shared" si="18"/>
        <v>CMS_2024_AZ_2_3</v>
      </c>
      <c r="B169" t="s">
        <v>60</v>
      </c>
      <c r="C169">
        <v>40.340800000000002</v>
      </c>
      <c r="D169">
        <v>-124.3633</v>
      </c>
      <c r="E169" s="8">
        <v>45493</v>
      </c>
      <c r="F169">
        <v>2024</v>
      </c>
      <c r="G169" t="s">
        <v>61</v>
      </c>
      <c r="H169" t="s">
        <v>42</v>
      </c>
      <c r="I169">
        <v>2</v>
      </c>
      <c r="J169">
        <v>3</v>
      </c>
      <c r="K169" t="s">
        <v>46</v>
      </c>
      <c r="L169" s="23">
        <v>4</v>
      </c>
      <c r="M169" s="23">
        <v>4</v>
      </c>
      <c r="N169" s="23">
        <v>0</v>
      </c>
      <c r="O169" s="23">
        <v>0</v>
      </c>
      <c r="P169" s="23">
        <v>5</v>
      </c>
      <c r="Q169" s="23">
        <v>0</v>
      </c>
      <c r="R169" s="23">
        <v>0</v>
      </c>
      <c r="S169" s="22">
        <v>0</v>
      </c>
      <c r="T169" s="23">
        <v>4</v>
      </c>
      <c r="U169" s="23">
        <v>8</v>
      </c>
      <c r="V169" s="18" t="s">
        <v>44</v>
      </c>
      <c r="W169" s="18" t="s">
        <v>44</v>
      </c>
      <c r="X169" s="18" t="s">
        <v>44</v>
      </c>
      <c r="Y169" s="18" t="s">
        <v>44</v>
      </c>
      <c r="Z169" s="18" t="s">
        <v>44</v>
      </c>
      <c r="AA169" s="11" t="s">
        <v>44</v>
      </c>
      <c r="AB169" s="11" t="s">
        <v>44</v>
      </c>
      <c r="AC169" s="11" t="s">
        <v>44</v>
      </c>
      <c r="AD169" s="11" t="s">
        <v>44</v>
      </c>
      <c r="AE169" s="11" t="s">
        <v>44</v>
      </c>
      <c r="AF169" s="11" t="s">
        <v>44</v>
      </c>
      <c r="AG169" s="32" t="s">
        <v>44</v>
      </c>
      <c r="AH169">
        <v>0</v>
      </c>
      <c r="AI169">
        <v>85</v>
      </c>
      <c r="AJ169">
        <v>1</v>
      </c>
      <c r="AK169">
        <v>0</v>
      </c>
      <c r="AL169">
        <v>5</v>
      </c>
      <c r="AM169">
        <v>1</v>
      </c>
      <c r="AN169">
        <v>4</v>
      </c>
      <c r="AO169">
        <v>0.1</v>
      </c>
      <c r="AP169">
        <v>4</v>
      </c>
      <c r="AQ169" s="21" t="e">
        <f t="shared" si="25"/>
        <v>#VALUE!</v>
      </c>
      <c r="AR169" s="12">
        <f t="shared" si="23"/>
        <v>100.1</v>
      </c>
      <c r="AS169">
        <v>0</v>
      </c>
      <c r="AT169">
        <v>0</v>
      </c>
      <c r="AU169">
        <v>0</v>
      </c>
      <c r="AV169" s="6">
        <v>0</v>
      </c>
      <c r="AW169" s="6">
        <v>0</v>
      </c>
      <c r="AX169">
        <v>6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>
        <v>0.1</v>
      </c>
      <c r="BE169" s="6" t="s">
        <v>44</v>
      </c>
      <c r="BF169" s="6" t="s">
        <v>44</v>
      </c>
      <c r="BG169" s="6" t="s">
        <v>44</v>
      </c>
      <c r="BH169" s="6" t="s">
        <v>44</v>
      </c>
      <c r="BI169" s="6" t="s">
        <v>44</v>
      </c>
      <c r="BJ169" s="6" t="s">
        <v>44</v>
      </c>
      <c r="BK169" s="6">
        <v>0</v>
      </c>
      <c r="BL169" s="6">
        <f t="shared" si="24"/>
        <v>6.1</v>
      </c>
      <c r="BM169" s="6">
        <f t="shared" si="20"/>
        <v>6.1</v>
      </c>
      <c r="BN169">
        <v>85</v>
      </c>
      <c r="BO169">
        <f t="shared" si="26"/>
        <v>85</v>
      </c>
      <c r="BP169">
        <v>1</v>
      </c>
      <c r="BQ169">
        <f>SUM(BP169,BB169,BK169)</f>
        <v>1</v>
      </c>
      <c r="BR169">
        <f t="shared" si="21"/>
        <v>0</v>
      </c>
    </row>
    <row r="170" spans="1:70">
      <c r="A170" s="16" t="str">
        <f t="shared" si="18"/>
        <v>CMS_2024_AZ_2_4</v>
      </c>
      <c r="B170" t="s">
        <v>60</v>
      </c>
      <c r="C170">
        <v>40.340800000000002</v>
      </c>
      <c r="D170">
        <v>-124.3633</v>
      </c>
      <c r="E170" s="8">
        <v>45493</v>
      </c>
      <c r="F170">
        <v>2024</v>
      </c>
      <c r="G170" t="s">
        <v>61</v>
      </c>
      <c r="H170" t="s">
        <v>42</v>
      </c>
      <c r="I170">
        <v>2</v>
      </c>
      <c r="J170">
        <v>4</v>
      </c>
      <c r="K170" t="s">
        <v>46</v>
      </c>
      <c r="L170" s="23">
        <v>1</v>
      </c>
      <c r="M170" s="23">
        <v>1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2">
        <v>0</v>
      </c>
      <c r="T170" s="23">
        <v>3</v>
      </c>
      <c r="U170" s="23">
        <v>5</v>
      </c>
      <c r="V170" s="18" t="s">
        <v>44</v>
      </c>
      <c r="W170" s="18" t="s">
        <v>44</v>
      </c>
      <c r="X170" s="18" t="s">
        <v>44</v>
      </c>
      <c r="Y170" s="18" t="s">
        <v>44</v>
      </c>
      <c r="Z170" s="18" t="s">
        <v>44</v>
      </c>
      <c r="AA170" s="11" t="s">
        <v>44</v>
      </c>
      <c r="AB170" s="11" t="s">
        <v>44</v>
      </c>
      <c r="AC170" s="11" t="s">
        <v>44</v>
      </c>
      <c r="AD170" s="11" t="s">
        <v>44</v>
      </c>
      <c r="AE170" s="11" t="s">
        <v>44</v>
      </c>
      <c r="AF170" s="11" t="s">
        <v>44</v>
      </c>
      <c r="AG170" s="32"/>
      <c r="AH170">
        <v>0</v>
      </c>
      <c r="AI170">
        <v>19</v>
      </c>
      <c r="AJ170">
        <v>10</v>
      </c>
      <c r="AK170">
        <v>0</v>
      </c>
      <c r="AL170">
        <v>0</v>
      </c>
      <c r="AM170">
        <v>8</v>
      </c>
      <c r="AN170">
        <v>13</v>
      </c>
      <c r="AO170">
        <v>0</v>
      </c>
      <c r="AP170">
        <v>50</v>
      </c>
      <c r="AQ170" s="21">
        <f t="shared" si="25"/>
        <v>50</v>
      </c>
      <c r="AR170" s="12">
        <f t="shared" si="23"/>
        <v>100</v>
      </c>
      <c r="AS170">
        <v>0</v>
      </c>
      <c r="AT170">
        <v>0</v>
      </c>
      <c r="AU170">
        <v>0</v>
      </c>
      <c r="AV170" s="6">
        <v>0</v>
      </c>
      <c r="AW170">
        <v>0</v>
      </c>
      <c r="AX170">
        <v>6</v>
      </c>
      <c r="AY170" s="6">
        <v>0</v>
      </c>
      <c r="AZ170">
        <v>0</v>
      </c>
      <c r="BA170" s="6">
        <v>0</v>
      </c>
      <c r="BB170">
        <v>7</v>
      </c>
      <c r="BC170" s="6">
        <v>0</v>
      </c>
      <c r="BD170">
        <v>0</v>
      </c>
      <c r="BE170" s="6" t="s">
        <v>44</v>
      </c>
      <c r="BF170" s="6" t="s">
        <v>44</v>
      </c>
      <c r="BG170" s="6" t="s">
        <v>44</v>
      </c>
      <c r="BH170" s="6" t="s">
        <v>44</v>
      </c>
      <c r="BI170" s="6" t="s">
        <v>44</v>
      </c>
      <c r="BJ170" s="6" t="s">
        <v>44</v>
      </c>
      <c r="BK170" s="6">
        <v>0</v>
      </c>
      <c r="BL170" s="6">
        <f t="shared" si="24"/>
        <v>6</v>
      </c>
      <c r="BM170" s="6">
        <f t="shared" si="20"/>
        <v>13</v>
      </c>
      <c r="BN170">
        <v>19</v>
      </c>
      <c r="BO170">
        <f t="shared" si="26"/>
        <v>19</v>
      </c>
      <c r="BP170">
        <v>3</v>
      </c>
    </row>
    <row r="171" spans="1:70" hidden="1">
      <c r="A171" s="16" t="str">
        <f t="shared" si="18"/>
        <v>CMS_2024_AZ_2_5</v>
      </c>
      <c r="B171" t="s">
        <v>60</v>
      </c>
      <c r="C171">
        <v>40.340800000000002</v>
      </c>
      <c r="D171">
        <v>-124.3633</v>
      </c>
      <c r="E171" s="8">
        <v>45493</v>
      </c>
      <c r="F171">
        <v>2024</v>
      </c>
      <c r="G171" t="s">
        <v>61</v>
      </c>
      <c r="H171" t="s">
        <v>42</v>
      </c>
      <c r="I171">
        <v>2</v>
      </c>
      <c r="J171">
        <v>5</v>
      </c>
      <c r="K171" t="s">
        <v>46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2">
        <v>0</v>
      </c>
      <c r="T171" s="23">
        <v>0</v>
      </c>
      <c r="U171" s="23">
        <v>0</v>
      </c>
      <c r="V171" s="18" t="s">
        <v>44</v>
      </c>
      <c r="W171" s="18" t="s">
        <v>44</v>
      </c>
      <c r="X171" s="18" t="s">
        <v>44</v>
      </c>
      <c r="Y171" s="18" t="s">
        <v>44</v>
      </c>
      <c r="Z171" s="18" t="s">
        <v>44</v>
      </c>
      <c r="AA171" s="11" t="s">
        <v>44</v>
      </c>
      <c r="AB171" s="11" t="s">
        <v>44</v>
      </c>
      <c r="AC171" s="11" t="s">
        <v>44</v>
      </c>
      <c r="AD171" s="11" t="s">
        <v>44</v>
      </c>
      <c r="AE171" s="11" t="s">
        <v>44</v>
      </c>
      <c r="AF171" s="11" t="s">
        <v>44</v>
      </c>
      <c r="AG171" s="32">
        <v>0</v>
      </c>
      <c r="AH171">
        <v>0</v>
      </c>
      <c r="AI171">
        <v>3</v>
      </c>
      <c r="AJ171">
        <v>15</v>
      </c>
      <c r="AK171">
        <v>0</v>
      </c>
      <c r="AL171">
        <v>0</v>
      </c>
      <c r="AM171">
        <v>0.1</v>
      </c>
      <c r="AN171">
        <v>15</v>
      </c>
      <c r="AO171">
        <v>0</v>
      </c>
      <c r="AP171">
        <v>67</v>
      </c>
      <c r="AQ171" s="21">
        <f t="shared" si="25"/>
        <v>67</v>
      </c>
      <c r="AR171" s="12">
        <f t="shared" si="23"/>
        <v>100.1</v>
      </c>
      <c r="AS171">
        <v>0</v>
      </c>
      <c r="AT171">
        <v>0</v>
      </c>
      <c r="AU171">
        <v>1</v>
      </c>
      <c r="AV171" s="6">
        <v>0</v>
      </c>
      <c r="AW171" s="6">
        <v>0</v>
      </c>
      <c r="AX171">
        <v>0</v>
      </c>
      <c r="AY171" s="6">
        <v>0</v>
      </c>
      <c r="AZ171" s="6">
        <v>0</v>
      </c>
      <c r="BA171" s="6">
        <v>0</v>
      </c>
      <c r="BB171">
        <v>15</v>
      </c>
      <c r="BC171" s="6">
        <v>0</v>
      </c>
      <c r="BD171" s="6">
        <v>0</v>
      </c>
      <c r="BE171" s="6" t="s">
        <v>44</v>
      </c>
      <c r="BF171" s="6" t="s">
        <v>44</v>
      </c>
      <c r="BG171" s="6" t="s">
        <v>44</v>
      </c>
      <c r="BH171" s="6" t="s">
        <v>44</v>
      </c>
      <c r="BI171" s="6" t="s">
        <v>44</v>
      </c>
      <c r="BJ171" s="6" t="s">
        <v>44</v>
      </c>
      <c r="BK171" s="6">
        <v>0</v>
      </c>
      <c r="BL171" s="6">
        <f t="shared" si="24"/>
        <v>0</v>
      </c>
      <c r="BM171" s="6">
        <f t="shared" si="20"/>
        <v>16</v>
      </c>
    </row>
    <row r="172" spans="1:70" hidden="1">
      <c r="A172" s="16" t="str">
        <f t="shared" si="18"/>
        <v>CMS_2024_UPZ_1_1</v>
      </c>
      <c r="B172" t="s">
        <v>60</v>
      </c>
      <c r="C172">
        <v>40.340800000000002</v>
      </c>
      <c r="D172">
        <v>-124.3633</v>
      </c>
      <c r="E172" s="8">
        <v>45493</v>
      </c>
      <c r="F172">
        <v>2024</v>
      </c>
      <c r="G172" t="s">
        <v>61</v>
      </c>
      <c r="H172" t="s">
        <v>45</v>
      </c>
      <c r="I172">
        <v>1</v>
      </c>
      <c r="J172">
        <v>1</v>
      </c>
      <c r="K172" t="s">
        <v>46</v>
      </c>
      <c r="L172" s="23">
        <v>34</v>
      </c>
      <c r="M172" s="23">
        <v>14</v>
      </c>
      <c r="N172" s="23">
        <v>3</v>
      </c>
      <c r="O172" s="23">
        <v>17</v>
      </c>
      <c r="P172" s="23">
        <v>24</v>
      </c>
      <c r="Q172" s="23">
        <v>8</v>
      </c>
      <c r="R172" s="23">
        <v>0</v>
      </c>
      <c r="S172" s="22">
        <v>0</v>
      </c>
      <c r="T172" s="23">
        <v>0</v>
      </c>
      <c r="U172" s="23">
        <v>14</v>
      </c>
      <c r="V172" s="18">
        <v>4.0999999999999996</v>
      </c>
      <c r="W172" s="18">
        <v>3.2</v>
      </c>
      <c r="X172" s="18">
        <v>4.2</v>
      </c>
      <c r="Y172" s="18">
        <v>4.5</v>
      </c>
      <c r="Z172" s="18">
        <v>3.8</v>
      </c>
      <c r="AA172" s="15">
        <v>0</v>
      </c>
      <c r="AB172" s="15">
        <v>0</v>
      </c>
      <c r="AC172" s="15">
        <v>0</v>
      </c>
      <c r="AD172" s="15">
        <v>1</v>
      </c>
      <c r="AE172" s="15">
        <v>0</v>
      </c>
      <c r="AF172" s="11">
        <f t="shared" si="22"/>
        <v>1</v>
      </c>
      <c r="AG172" s="32" t="s">
        <v>44</v>
      </c>
      <c r="AH172">
        <v>6</v>
      </c>
      <c r="AI172">
        <v>9</v>
      </c>
      <c r="AJ172">
        <v>0</v>
      </c>
      <c r="AK172">
        <v>0</v>
      </c>
      <c r="AL172">
        <v>70</v>
      </c>
      <c r="AM172">
        <v>2</v>
      </c>
      <c r="AN172">
        <v>1</v>
      </c>
      <c r="AO172">
        <v>0</v>
      </c>
      <c r="AP172">
        <v>12</v>
      </c>
      <c r="AQ172" s="21" t="e">
        <f t="shared" si="25"/>
        <v>#VALUE!</v>
      </c>
      <c r="AR172" s="12">
        <f t="shared" si="23"/>
        <v>100</v>
      </c>
      <c r="AS172">
        <v>0</v>
      </c>
      <c r="AT172">
        <v>0</v>
      </c>
      <c r="AU172">
        <v>0</v>
      </c>
      <c r="AV172" s="6">
        <v>0</v>
      </c>
      <c r="AW172">
        <v>0</v>
      </c>
      <c r="AX172">
        <v>0</v>
      </c>
      <c r="AY172">
        <v>1</v>
      </c>
      <c r="AZ172">
        <v>0</v>
      </c>
      <c r="BA172" s="6">
        <v>0</v>
      </c>
      <c r="BB172">
        <v>0</v>
      </c>
      <c r="BC172" s="6">
        <v>0</v>
      </c>
      <c r="BD172">
        <v>0</v>
      </c>
      <c r="BE172" s="6" t="s">
        <v>44</v>
      </c>
      <c r="BF172" s="6" t="s">
        <v>44</v>
      </c>
      <c r="BG172" s="6" t="s">
        <v>44</v>
      </c>
      <c r="BH172" s="6" t="s">
        <v>44</v>
      </c>
      <c r="BI172" s="6" t="s">
        <v>44</v>
      </c>
      <c r="BJ172" s="6" t="s">
        <v>44</v>
      </c>
      <c r="BK172" s="6">
        <v>0</v>
      </c>
      <c r="BL172" s="6">
        <f t="shared" si="24"/>
        <v>1</v>
      </c>
      <c r="BM172" s="6">
        <f t="shared" si="20"/>
        <v>1</v>
      </c>
      <c r="BN172">
        <v>9</v>
      </c>
      <c r="BO172">
        <f t="shared" si="26"/>
        <v>9</v>
      </c>
      <c r="BP172">
        <v>0</v>
      </c>
      <c r="BQ172">
        <f>SUM(BP172,BB172,BK172)</f>
        <v>0</v>
      </c>
      <c r="BR172">
        <f t="shared" si="21"/>
        <v>0</v>
      </c>
    </row>
    <row r="173" spans="1:70" hidden="1">
      <c r="A173" s="16" t="str">
        <f t="shared" si="18"/>
        <v>CMS_2024_UPZ_1_2</v>
      </c>
      <c r="B173" t="s">
        <v>60</v>
      </c>
      <c r="C173">
        <v>40.340800000000002</v>
      </c>
      <c r="D173">
        <v>-124.3633</v>
      </c>
      <c r="E173" s="8">
        <v>45493</v>
      </c>
      <c r="F173">
        <v>2024</v>
      </c>
      <c r="G173" t="s">
        <v>61</v>
      </c>
      <c r="H173" t="s">
        <v>45</v>
      </c>
      <c r="I173">
        <v>1</v>
      </c>
      <c r="J173">
        <v>2</v>
      </c>
      <c r="K173" t="s">
        <v>46</v>
      </c>
      <c r="L173" s="23">
        <v>11</v>
      </c>
      <c r="M173" s="23">
        <v>10</v>
      </c>
      <c r="N173" s="23">
        <v>0</v>
      </c>
      <c r="O173" s="23">
        <v>1</v>
      </c>
      <c r="P173" s="23">
        <v>35</v>
      </c>
      <c r="Q173" s="23" t="s">
        <v>44</v>
      </c>
      <c r="R173" s="23">
        <v>13</v>
      </c>
      <c r="S173" s="22">
        <v>0</v>
      </c>
      <c r="T173" s="23">
        <v>3</v>
      </c>
      <c r="U173" s="23">
        <v>13</v>
      </c>
      <c r="V173" s="18">
        <v>2.8</v>
      </c>
      <c r="W173" s="18">
        <v>3.5</v>
      </c>
      <c r="X173" s="18">
        <v>2.7</v>
      </c>
      <c r="Y173" s="18">
        <v>2.9</v>
      </c>
      <c r="Z173" s="18">
        <v>1.5</v>
      </c>
      <c r="AA173" s="15">
        <v>0</v>
      </c>
      <c r="AB173" s="15">
        <v>0</v>
      </c>
      <c r="AC173" s="15">
        <v>0</v>
      </c>
      <c r="AD173" s="15">
        <v>1</v>
      </c>
      <c r="AE173" s="15">
        <v>0</v>
      </c>
      <c r="AF173" s="11">
        <f t="shared" si="22"/>
        <v>1</v>
      </c>
      <c r="AG173" s="32" t="s">
        <v>44</v>
      </c>
      <c r="AH173">
        <v>1</v>
      </c>
      <c r="AI173">
        <v>16</v>
      </c>
      <c r="AJ173">
        <v>0</v>
      </c>
      <c r="AK173">
        <v>0</v>
      </c>
      <c r="AL173">
        <v>70</v>
      </c>
      <c r="AM173">
        <v>5</v>
      </c>
      <c r="AN173">
        <v>0</v>
      </c>
      <c r="AO173">
        <v>0</v>
      </c>
      <c r="AP173">
        <v>8</v>
      </c>
      <c r="AQ173" s="21" t="e">
        <f t="shared" si="25"/>
        <v>#VALUE!</v>
      </c>
      <c r="AR173" s="12">
        <f t="shared" si="23"/>
        <v>100</v>
      </c>
      <c r="AS173">
        <v>0</v>
      </c>
      <c r="AT173">
        <v>0</v>
      </c>
      <c r="AU173">
        <v>0</v>
      </c>
      <c r="AV173" s="6">
        <v>0</v>
      </c>
      <c r="AW173" s="6">
        <v>0</v>
      </c>
      <c r="AX173">
        <v>0</v>
      </c>
      <c r="AY173">
        <v>6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 t="s">
        <v>44</v>
      </c>
      <c r="BF173" s="6" t="s">
        <v>44</v>
      </c>
      <c r="BG173" s="6" t="s">
        <v>44</v>
      </c>
      <c r="BH173" s="6" t="s">
        <v>44</v>
      </c>
      <c r="BI173" s="6" t="s">
        <v>44</v>
      </c>
      <c r="BJ173" s="6" t="s">
        <v>44</v>
      </c>
      <c r="BK173" s="6">
        <v>0</v>
      </c>
      <c r="BL173" s="6">
        <f t="shared" si="24"/>
        <v>6</v>
      </c>
      <c r="BM173" s="6">
        <f t="shared" si="20"/>
        <v>6</v>
      </c>
      <c r="BN173">
        <v>16</v>
      </c>
      <c r="BO173">
        <f t="shared" si="26"/>
        <v>16</v>
      </c>
      <c r="BP173">
        <v>0</v>
      </c>
      <c r="BQ173">
        <f>SUM(BP173,BB173,BK173)</f>
        <v>0</v>
      </c>
      <c r="BR173">
        <f t="shared" si="21"/>
        <v>0</v>
      </c>
    </row>
    <row r="174" spans="1:70" hidden="1">
      <c r="A174" s="16" t="str">
        <f t="shared" si="18"/>
        <v>CMS_2024_UPZ_1_3</v>
      </c>
      <c r="B174" t="s">
        <v>60</v>
      </c>
      <c r="C174">
        <v>40.340800000000002</v>
      </c>
      <c r="D174">
        <v>-124.3633</v>
      </c>
      <c r="E174" s="8">
        <v>45493</v>
      </c>
      <c r="F174">
        <v>2024</v>
      </c>
      <c r="G174" t="s">
        <v>61</v>
      </c>
      <c r="H174" t="s">
        <v>45</v>
      </c>
      <c r="I174">
        <v>1</v>
      </c>
      <c r="J174">
        <v>3</v>
      </c>
      <c r="K174" t="s">
        <v>43</v>
      </c>
      <c r="L174" s="23">
        <v>49</v>
      </c>
      <c r="M174" s="23">
        <v>49</v>
      </c>
      <c r="N174" s="23">
        <v>0</v>
      </c>
      <c r="O174" s="23">
        <v>0</v>
      </c>
      <c r="P174" s="23">
        <v>40</v>
      </c>
      <c r="Q174" s="23" t="s">
        <v>44</v>
      </c>
      <c r="R174" s="23">
        <v>15</v>
      </c>
      <c r="S174" s="22">
        <v>0</v>
      </c>
      <c r="T174" s="23">
        <v>0</v>
      </c>
      <c r="U174" s="23">
        <v>48</v>
      </c>
      <c r="V174" s="18">
        <v>5.0999999999999996</v>
      </c>
      <c r="W174" s="18">
        <v>4.2</v>
      </c>
      <c r="X174" s="18">
        <v>2.8</v>
      </c>
      <c r="Y174" s="18">
        <v>3.2</v>
      </c>
      <c r="Z174" s="18">
        <v>3.9</v>
      </c>
      <c r="AA174" s="15">
        <v>0</v>
      </c>
      <c r="AB174" s="15">
        <v>0</v>
      </c>
      <c r="AC174" s="15">
        <v>1</v>
      </c>
      <c r="AD174" s="15">
        <v>0</v>
      </c>
      <c r="AE174" s="15">
        <v>0</v>
      </c>
      <c r="AF174" s="11">
        <f t="shared" si="22"/>
        <v>1</v>
      </c>
      <c r="AG174" s="32" t="s">
        <v>44</v>
      </c>
      <c r="AH174">
        <v>8</v>
      </c>
      <c r="AI174">
        <v>6</v>
      </c>
      <c r="AJ174">
        <v>0</v>
      </c>
      <c r="AK174">
        <v>0</v>
      </c>
      <c r="AL174">
        <v>70</v>
      </c>
      <c r="AM174">
        <v>5</v>
      </c>
      <c r="AN174">
        <v>2</v>
      </c>
      <c r="AO174">
        <v>0</v>
      </c>
      <c r="AP174">
        <v>9</v>
      </c>
      <c r="AQ174" s="21" t="e">
        <f t="shared" si="25"/>
        <v>#VALUE!</v>
      </c>
      <c r="AR174" s="12">
        <f t="shared" si="23"/>
        <v>100</v>
      </c>
      <c r="AS174">
        <v>0</v>
      </c>
      <c r="AT174">
        <v>0</v>
      </c>
      <c r="AU174">
        <v>0</v>
      </c>
      <c r="AV174" s="6">
        <v>0</v>
      </c>
      <c r="AW174">
        <v>0</v>
      </c>
      <c r="AX174">
        <v>0</v>
      </c>
      <c r="AY174" s="6">
        <v>0</v>
      </c>
      <c r="AZ174">
        <v>0</v>
      </c>
      <c r="BA174" s="6">
        <v>0</v>
      </c>
      <c r="BB174">
        <v>0</v>
      </c>
      <c r="BC174" s="6">
        <v>0</v>
      </c>
      <c r="BD174">
        <v>0</v>
      </c>
      <c r="BE174" s="6" t="s">
        <v>44</v>
      </c>
      <c r="BF174" s="6" t="s">
        <v>44</v>
      </c>
      <c r="BG174" s="6" t="s">
        <v>44</v>
      </c>
      <c r="BH174" s="6" t="s">
        <v>44</v>
      </c>
      <c r="BI174" s="6" t="s">
        <v>44</v>
      </c>
      <c r="BJ174" s="6" t="s">
        <v>44</v>
      </c>
      <c r="BK174" s="6">
        <v>0</v>
      </c>
      <c r="BL174" s="6">
        <f t="shared" si="24"/>
        <v>0</v>
      </c>
      <c r="BM174" s="6">
        <f t="shared" si="20"/>
        <v>0</v>
      </c>
      <c r="BN174">
        <v>6</v>
      </c>
      <c r="BO174">
        <f t="shared" si="26"/>
        <v>6</v>
      </c>
      <c r="BP174">
        <v>0</v>
      </c>
      <c r="BQ174">
        <f>SUM(BP174,BB174,BK174)</f>
        <v>0</v>
      </c>
      <c r="BR174">
        <f t="shared" si="21"/>
        <v>0</v>
      </c>
    </row>
    <row r="175" spans="1:70" hidden="1">
      <c r="A175" s="16" t="str">
        <f t="shared" si="18"/>
        <v>CMS_2024_UPZ_1_4</v>
      </c>
      <c r="B175" t="s">
        <v>60</v>
      </c>
      <c r="C175">
        <v>40.340800000000002</v>
      </c>
      <c r="D175">
        <v>-124.3633</v>
      </c>
      <c r="E175" s="8">
        <v>45493</v>
      </c>
      <c r="F175">
        <v>2024</v>
      </c>
      <c r="G175" t="s">
        <v>61</v>
      </c>
      <c r="H175" t="s">
        <v>45</v>
      </c>
      <c r="I175">
        <v>1</v>
      </c>
      <c r="J175">
        <v>4</v>
      </c>
      <c r="K175" t="s">
        <v>43</v>
      </c>
      <c r="L175" s="23">
        <v>40</v>
      </c>
      <c r="M175" s="23">
        <v>11</v>
      </c>
      <c r="N175" s="23">
        <v>0</v>
      </c>
      <c r="O175" s="23">
        <v>29</v>
      </c>
      <c r="P175" s="23">
        <v>14</v>
      </c>
      <c r="Q175" s="23" t="s">
        <v>44</v>
      </c>
      <c r="R175" s="23">
        <v>6</v>
      </c>
      <c r="S175" s="22">
        <v>0</v>
      </c>
      <c r="T175" s="23">
        <v>1</v>
      </c>
      <c r="U175" s="23">
        <v>12</v>
      </c>
      <c r="V175" s="18">
        <v>4.9000000000000004</v>
      </c>
      <c r="W175" s="18">
        <v>4.8</v>
      </c>
      <c r="X175" s="18">
        <v>4.4000000000000004</v>
      </c>
      <c r="Y175" s="18">
        <v>5.5</v>
      </c>
      <c r="Z175" s="18">
        <v>3.7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1">
        <f t="shared" si="22"/>
        <v>0</v>
      </c>
      <c r="AG175" s="32" t="s">
        <v>44</v>
      </c>
      <c r="AH175">
        <v>0</v>
      </c>
      <c r="AI175">
        <v>0.1</v>
      </c>
      <c r="AJ175">
        <v>0</v>
      </c>
      <c r="AK175">
        <v>0</v>
      </c>
      <c r="AL175">
        <v>77</v>
      </c>
      <c r="AM175">
        <v>3</v>
      </c>
      <c r="AN175">
        <v>7</v>
      </c>
      <c r="AO175">
        <v>2</v>
      </c>
      <c r="AP175">
        <v>11</v>
      </c>
      <c r="AQ175" s="21" t="e">
        <f t="shared" si="25"/>
        <v>#VALUE!</v>
      </c>
      <c r="AR175" s="12">
        <f t="shared" si="23"/>
        <v>100.1</v>
      </c>
      <c r="AS175">
        <v>0</v>
      </c>
      <c r="AT175">
        <v>0</v>
      </c>
      <c r="AU175">
        <v>0</v>
      </c>
      <c r="AV175" s="6">
        <v>0</v>
      </c>
      <c r="AW175" s="6">
        <v>0</v>
      </c>
      <c r="AX175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 t="s">
        <v>44</v>
      </c>
      <c r="BF175" s="6" t="s">
        <v>44</v>
      </c>
      <c r="BG175" s="6" t="s">
        <v>44</v>
      </c>
      <c r="BH175" s="6" t="s">
        <v>44</v>
      </c>
      <c r="BI175" s="6" t="s">
        <v>44</v>
      </c>
      <c r="BJ175" s="6" t="s">
        <v>44</v>
      </c>
      <c r="BK175" s="6">
        <v>0</v>
      </c>
      <c r="BL175" s="6">
        <f t="shared" si="24"/>
        <v>0</v>
      </c>
      <c r="BM175" s="6">
        <f t="shared" si="20"/>
        <v>0</v>
      </c>
      <c r="BN175">
        <v>0.1</v>
      </c>
      <c r="BO175">
        <f t="shared" si="26"/>
        <v>0.1</v>
      </c>
      <c r="BP175">
        <v>0</v>
      </c>
      <c r="BQ175">
        <f>SUM(BP175,BB175,BK175)</f>
        <v>0</v>
      </c>
      <c r="BR175">
        <f t="shared" si="21"/>
        <v>0</v>
      </c>
    </row>
    <row r="176" spans="1:70" hidden="1">
      <c r="A176" s="16" t="str">
        <f t="shared" si="18"/>
        <v>CMS_2024_UPZ_1_5</v>
      </c>
      <c r="B176" t="s">
        <v>60</v>
      </c>
      <c r="C176">
        <v>40.340800000000002</v>
      </c>
      <c r="D176">
        <v>-124.3633</v>
      </c>
      <c r="E176" s="8">
        <v>45493</v>
      </c>
      <c r="F176">
        <v>2024</v>
      </c>
      <c r="G176" t="s">
        <v>61</v>
      </c>
      <c r="H176" t="s">
        <v>45</v>
      </c>
      <c r="I176">
        <v>1</v>
      </c>
      <c r="J176">
        <v>5</v>
      </c>
      <c r="K176" t="s">
        <v>56</v>
      </c>
      <c r="L176" s="23">
        <v>48</v>
      </c>
      <c r="M176" s="23">
        <v>4</v>
      </c>
      <c r="N176" s="23">
        <v>0</v>
      </c>
      <c r="O176" s="23">
        <v>44</v>
      </c>
      <c r="P176" s="23">
        <v>4</v>
      </c>
      <c r="Q176" s="23" t="s">
        <v>44</v>
      </c>
      <c r="R176" s="23">
        <v>19</v>
      </c>
      <c r="S176" s="22">
        <v>0</v>
      </c>
      <c r="T176" s="23">
        <v>0</v>
      </c>
      <c r="U176" s="23">
        <v>4</v>
      </c>
      <c r="V176" s="18">
        <v>5.2</v>
      </c>
      <c r="W176" s="18">
        <v>4.7</v>
      </c>
      <c r="X176" s="18">
        <v>4.4000000000000004</v>
      </c>
      <c r="Y176" s="18">
        <v>3.5</v>
      </c>
      <c r="Z176" s="18">
        <v>5.6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1">
        <f t="shared" si="22"/>
        <v>0</v>
      </c>
      <c r="AG176" s="32" t="s">
        <v>44</v>
      </c>
      <c r="AH176">
        <v>0</v>
      </c>
      <c r="AI176">
        <v>0</v>
      </c>
      <c r="AJ176">
        <v>0</v>
      </c>
      <c r="AK176">
        <v>0</v>
      </c>
      <c r="AL176">
        <v>65</v>
      </c>
      <c r="AM176">
        <v>0</v>
      </c>
      <c r="AN176">
        <v>15</v>
      </c>
      <c r="AO176">
        <v>0</v>
      </c>
      <c r="AP176">
        <v>20</v>
      </c>
      <c r="AQ176" s="21" t="e">
        <f t="shared" si="25"/>
        <v>#VALUE!</v>
      </c>
      <c r="AR176" s="12">
        <f t="shared" si="23"/>
        <v>100</v>
      </c>
      <c r="AS176">
        <v>0</v>
      </c>
      <c r="AT176">
        <v>0</v>
      </c>
      <c r="AU176">
        <v>0</v>
      </c>
      <c r="AV176" s="6">
        <v>0</v>
      </c>
      <c r="AW176">
        <v>0</v>
      </c>
      <c r="AX176">
        <v>0</v>
      </c>
      <c r="AY176" s="6">
        <v>0</v>
      </c>
      <c r="AZ176">
        <v>0</v>
      </c>
      <c r="BA176" s="6">
        <v>0</v>
      </c>
      <c r="BB176">
        <v>0</v>
      </c>
      <c r="BC176" s="6">
        <v>0</v>
      </c>
      <c r="BD176">
        <v>0</v>
      </c>
      <c r="BE176" s="6" t="s">
        <v>44</v>
      </c>
      <c r="BF176" s="6" t="s">
        <v>44</v>
      </c>
      <c r="BG176" s="6" t="s">
        <v>44</v>
      </c>
      <c r="BH176" s="6" t="s">
        <v>44</v>
      </c>
      <c r="BI176" s="6" t="s">
        <v>44</v>
      </c>
      <c r="BJ176" s="6" t="s">
        <v>44</v>
      </c>
      <c r="BK176" s="6">
        <v>0</v>
      </c>
      <c r="BL176" s="6">
        <f t="shared" si="24"/>
        <v>0</v>
      </c>
      <c r="BM176" s="6">
        <f t="shared" si="20"/>
        <v>0</v>
      </c>
      <c r="BN176">
        <v>0</v>
      </c>
      <c r="BO176">
        <f t="shared" si="26"/>
        <v>0</v>
      </c>
      <c r="BP176">
        <v>0</v>
      </c>
      <c r="BQ176">
        <f>SUM(BP176,BB176,BK176)</f>
        <v>0</v>
      </c>
      <c r="BR176">
        <f t="shared" si="21"/>
        <v>0</v>
      </c>
    </row>
    <row r="177" spans="1:70" hidden="1">
      <c r="A177" s="16" t="str">
        <f t="shared" si="18"/>
        <v>CMS_2024_UPZ_2_1</v>
      </c>
      <c r="B177" t="s">
        <v>60</v>
      </c>
      <c r="C177">
        <v>40.340800000000002</v>
      </c>
      <c r="D177">
        <v>-124.3633</v>
      </c>
      <c r="E177" s="8">
        <v>45493</v>
      </c>
      <c r="F177">
        <v>2024</v>
      </c>
      <c r="G177" t="s">
        <v>61</v>
      </c>
      <c r="H177" t="s">
        <v>45</v>
      </c>
      <c r="I177">
        <v>2</v>
      </c>
      <c r="J177">
        <v>1</v>
      </c>
      <c r="K177" t="s">
        <v>43</v>
      </c>
      <c r="L177" s="23">
        <v>6</v>
      </c>
      <c r="M177" s="23">
        <v>6</v>
      </c>
      <c r="N177" s="23">
        <v>0</v>
      </c>
      <c r="O177" s="23">
        <v>0</v>
      </c>
      <c r="P177" s="23">
        <v>12</v>
      </c>
      <c r="Q177" s="23" t="s">
        <v>44</v>
      </c>
      <c r="R177" s="23">
        <v>19</v>
      </c>
      <c r="S177" s="22">
        <v>0</v>
      </c>
      <c r="T177" s="23">
        <v>2</v>
      </c>
      <c r="U177" s="23">
        <v>9</v>
      </c>
      <c r="V177" s="18">
        <v>4.2</v>
      </c>
      <c r="W177" s="18">
        <v>2.8</v>
      </c>
      <c r="X177" s="18">
        <v>3.7</v>
      </c>
      <c r="Y177" s="18">
        <v>2.2000000000000002</v>
      </c>
      <c r="Z177" s="18">
        <v>2.9</v>
      </c>
      <c r="AA177" s="15">
        <v>0</v>
      </c>
      <c r="AB177" s="15">
        <v>1</v>
      </c>
      <c r="AC177" s="15">
        <v>0</v>
      </c>
      <c r="AD177" s="15">
        <v>1</v>
      </c>
      <c r="AE177" s="15">
        <v>0</v>
      </c>
      <c r="AF177" s="11">
        <f t="shared" si="22"/>
        <v>2</v>
      </c>
      <c r="AG177" s="32" t="s">
        <v>44</v>
      </c>
      <c r="AH177">
        <v>1</v>
      </c>
      <c r="AI177">
        <v>65</v>
      </c>
      <c r="AJ177">
        <v>0</v>
      </c>
      <c r="AK177">
        <v>0</v>
      </c>
      <c r="AL177">
        <v>24</v>
      </c>
      <c r="AM177">
        <v>3</v>
      </c>
      <c r="AN177">
        <v>1</v>
      </c>
      <c r="AO177">
        <v>0</v>
      </c>
      <c r="AP177">
        <v>6</v>
      </c>
      <c r="AQ177" s="21" t="e">
        <f t="shared" si="25"/>
        <v>#VALUE!</v>
      </c>
      <c r="AR177" s="12">
        <f t="shared" si="23"/>
        <v>100</v>
      </c>
      <c r="AS177">
        <v>2</v>
      </c>
      <c r="AT177">
        <v>12</v>
      </c>
      <c r="AU177">
        <v>0</v>
      </c>
      <c r="AV177" s="6">
        <v>0</v>
      </c>
      <c r="AW177" s="6">
        <v>0</v>
      </c>
      <c r="AX177">
        <v>5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 t="s">
        <v>44</v>
      </c>
      <c r="BF177" s="6" t="s">
        <v>44</v>
      </c>
      <c r="BG177" s="6" t="s">
        <v>44</v>
      </c>
      <c r="BH177" s="6" t="s">
        <v>44</v>
      </c>
      <c r="BI177" s="6" t="s">
        <v>44</v>
      </c>
      <c r="BJ177" s="6" t="s">
        <v>44</v>
      </c>
      <c r="BK177" s="6">
        <v>0</v>
      </c>
      <c r="BL177" s="6">
        <f t="shared" si="24"/>
        <v>19</v>
      </c>
      <c r="BM177" s="6">
        <f t="shared" si="20"/>
        <v>19</v>
      </c>
      <c r="BN177">
        <v>65</v>
      </c>
      <c r="BO177">
        <f t="shared" si="26"/>
        <v>65</v>
      </c>
      <c r="BP177">
        <v>0</v>
      </c>
      <c r="BQ177">
        <f>SUM(BP177,BB177,BK177)</f>
        <v>0</v>
      </c>
      <c r="BR177">
        <f t="shared" si="21"/>
        <v>0</v>
      </c>
    </row>
    <row r="178" spans="1:70" hidden="1">
      <c r="A178" s="16" t="str">
        <f t="shared" si="18"/>
        <v>CMS_2024_UPZ_2_2</v>
      </c>
      <c r="B178" t="s">
        <v>60</v>
      </c>
      <c r="C178">
        <v>40.340800000000002</v>
      </c>
      <c r="D178">
        <v>-124.3633</v>
      </c>
      <c r="E178" s="8">
        <v>45493</v>
      </c>
      <c r="F178">
        <v>2024</v>
      </c>
      <c r="G178" t="s">
        <v>61</v>
      </c>
      <c r="H178" t="s">
        <v>45</v>
      </c>
      <c r="I178">
        <v>2</v>
      </c>
      <c r="J178">
        <v>2</v>
      </c>
      <c r="K178" t="s">
        <v>43</v>
      </c>
      <c r="L178" s="23">
        <v>16</v>
      </c>
      <c r="M178" s="23">
        <v>7</v>
      </c>
      <c r="N178" s="23">
        <v>3</v>
      </c>
      <c r="O178" s="23">
        <v>6</v>
      </c>
      <c r="P178" s="23">
        <v>28</v>
      </c>
      <c r="Q178" s="23" t="s">
        <v>44</v>
      </c>
      <c r="R178" s="23">
        <v>29</v>
      </c>
      <c r="S178" s="22">
        <v>0</v>
      </c>
      <c r="T178" s="23">
        <v>3</v>
      </c>
      <c r="U178" s="23">
        <v>11</v>
      </c>
      <c r="V178" s="18">
        <v>4.5</v>
      </c>
      <c r="W178" s="18">
        <v>3.9</v>
      </c>
      <c r="X178" s="18">
        <v>3.4</v>
      </c>
      <c r="Y178" s="18">
        <v>2.8</v>
      </c>
      <c r="Z178" s="18">
        <v>2</v>
      </c>
      <c r="AA178" s="15">
        <v>0</v>
      </c>
      <c r="AB178" s="15">
        <v>1</v>
      </c>
      <c r="AC178" s="15">
        <v>0</v>
      </c>
      <c r="AD178" s="15">
        <v>0</v>
      </c>
      <c r="AE178" s="15">
        <v>0</v>
      </c>
      <c r="AF178" s="11">
        <f t="shared" si="22"/>
        <v>1</v>
      </c>
      <c r="AG178" s="32" t="s">
        <v>44</v>
      </c>
      <c r="AH178">
        <v>0</v>
      </c>
      <c r="AI178">
        <v>18</v>
      </c>
      <c r="AJ178">
        <v>0</v>
      </c>
      <c r="AK178">
        <v>0</v>
      </c>
      <c r="AL178">
        <v>27</v>
      </c>
      <c r="AM178">
        <v>2</v>
      </c>
      <c r="AN178">
        <v>4</v>
      </c>
      <c r="AO178">
        <v>0</v>
      </c>
      <c r="AP178">
        <v>49</v>
      </c>
      <c r="AQ178" s="21" t="e">
        <f t="shared" si="25"/>
        <v>#VALUE!</v>
      </c>
      <c r="AR178" s="12">
        <f t="shared" si="23"/>
        <v>100</v>
      </c>
      <c r="AS178">
        <v>0</v>
      </c>
      <c r="AT178">
        <v>0</v>
      </c>
      <c r="AU178">
        <v>0</v>
      </c>
      <c r="AV178" s="6">
        <v>0</v>
      </c>
      <c r="AW178">
        <v>0</v>
      </c>
      <c r="AX178">
        <v>4</v>
      </c>
      <c r="AY178" s="6">
        <v>0</v>
      </c>
      <c r="AZ178">
        <v>0</v>
      </c>
      <c r="BA178" s="6">
        <v>0</v>
      </c>
      <c r="BB178">
        <v>0</v>
      </c>
      <c r="BC178" s="6">
        <v>0</v>
      </c>
      <c r="BD178">
        <v>0</v>
      </c>
      <c r="BE178" s="6" t="s">
        <v>44</v>
      </c>
      <c r="BF178" s="6" t="s">
        <v>44</v>
      </c>
      <c r="BG178" s="6" t="s">
        <v>44</v>
      </c>
      <c r="BH178" s="6" t="s">
        <v>44</v>
      </c>
      <c r="BI178" s="6" t="s">
        <v>44</v>
      </c>
      <c r="BJ178" s="6" t="s">
        <v>44</v>
      </c>
      <c r="BK178" s="6">
        <v>0</v>
      </c>
      <c r="BL178" s="6">
        <f t="shared" si="24"/>
        <v>4</v>
      </c>
      <c r="BM178" s="6">
        <f t="shared" si="20"/>
        <v>4</v>
      </c>
      <c r="BN178">
        <v>18</v>
      </c>
      <c r="BO178">
        <f t="shared" si="26"/>
        <v>18</v>
      </c>
      <c r="BP178">
        <v>0</v>
      </c>
      <c r="BQ178">
        <f>SUM(BP178,BB178,BK178)</f>
        <v>0</v>
      </c>
      <c r="BR178">
        <f t="shared" si="21"/>
        <v>0</v>
      </c>
    </row>
    <row r="179" spans="1:70" hidden="1">
      <c r="A179" s="16" t="str">
        <f t="shared" si="18"/>
        <v>CMS_2024_UPZ_2_3</v>
      </c>
      <c r="B179" t="s">
        <v>60</v>
      </c>
      <c r="C179">
        <v>40.340800000000002</v>
      </c>
      <c r="D179">
        <v>-124.3633</v>
      </c>
      <c r="E179" s="8">
        <v>45493</v>
      </c>
      <c r="F179">
        <v>2024</v>
      </c>
      <c r="G179" t="s">
        <v>61</v>
      </c>
      <c r="H179" t="s">
        <v>45</v>
      </c>
      <c r="I179">
        <v>2</v>
      </c>
      <c r="J179">
        <v>3</v>
      </c>
      <c r="K179" t="s">
        <v>53</v>
      </c>
      <c r="L179" s="23">
        <v>45</v>
      </c>
      <c r="M179" s="23">
        <v>41</v>
      </c>
      <c r="N179" s="23">
        <v>4</v>
      </c>
      <c r="O179" s="23">
        <v>0</v>
      </c>
      <c r="P179" s="23">
        <v>65</v>
      </c>
      <c r="Q179" s="23" t="s">
        <v>44</v>
      </c>
      <c r="R179" s="23">
        <v>38</v>
      </c>
      <c r="S179" s="22">
        <v>0</v>
      </c>
      <c r="T179" s="23">
        <v>0</v>
      </c>
      <c r="U179" s="23">
        <v>41</v>
      </c>
      <c r="V179" s="18">
        <v>3.5</v>
      </c>
      <c r="W179" s="18">
        <v>3.8</v>
      </c>
      <c r="X179" s="18">
        <v>4.5</v>
      </c>
      <c r="Y179" s="18">
        <v>3.8</v>
      </c>
      <c r="Z179" s="18">
        <v>3.8</v>
      </c>
      <c r="AA179" s="15">
        <v>0</v>
      </c>
      <c r="AB179" s="15">
        <v>0</v>
      </c>
      <c r="AC179" s="15">
        <v>0</v>
      </c>
      <c r="AD179" s="15">
        <v>1</v>
      </c>
      <c r="AE179" s="15">
        <v>1</v>
      </c>
      <c r="AF179" s="11">
        <f t="shared" si="22"/>
        <v>2</v>
      </c>
      <c r="AG179" s="32" t="s">
        <v>44</v>
      </c>
      <c r="AH179">
        <v>0</v>
      </c>
      <c r="AI179">
        <v>6</v>
      </c>
      <c r="AJ179">
        <v>0</v>
      </c>
      <c r="AK179">
        <v>0</v>
      </c>
      <c r="AL179">
        <v>25</v>
      </c>
      <c r="AM179">
        <v>0</v>
      </c>
      <c r="AN179">
        <v>4</v>
      </c>
      <c r="AO179">
        <v>3</v>
      </c>
      <c r="AP179">
        <v>62</v>
      </c>
      <c r="AQ179" s="21" t="e">
        <f t="shared" si="25"/>
        <v>#VALUE!</v>
      </c>
      <c r="AR179" s="12">
        <f t="shared" si="23"/>
        <v>100</v>
      </c>
      <c r="AS179">
        <v>0</v>
      </c>
      <c r="AT179">
        <v>0</v>
      </c>
      <c r="AU179">
        <v>0</v>
      </c>
      <c r="AV179" s="6">
        <v>0</v>
      </c>
      <c r="AW179" s="6">
        <v>0</v>
      </c>
      <c r="AX179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 t="s">
        <v>44</v>
      </c>
      <c r="BF179" s="6" t="s">
        <v>44</v>
      </c>
      <c r="BG179" s="6" t="s">
        <v>44</v>
      </c>
      <c r="BH179" s="6" t="s">
        <v>44</v>
      </c>
      <c r="BI179" s="6" t="s">
        <v>44</v>
      </c>
      <c r="BJ179" s="6" t="s">
        <v>44</v>
      </c>
      <c r="BK179" s="6">
        <v>0</v>
      </c>
      <c r="BL179" s="6">
        <f t="shared" si="24"/>
        <v>0</v>
      </c>
      <c r="BM179" s="6">
        <f t="shared" si="20"/>
        <v>0</v>
      </c>
      <c r="BN179">
        <v>6</v>
      </c>
      <c r="BO179">
        <f t="shared" si="26"/>
        <v>6</v>
      </c>
      <c r="BP179">
        <v>0</v>
      </c>
      <c r="BQ179">
        <f>SUM(BP179,BB179,BK179)</f>
        <v>0</v>
      </c>
      <c r="BR179">
        <f t="shared" si="21"/>
        <v>0</v>
      </c>
    </row>
    <row r="180" spans="1:70" hidden="1">
      <c r="A180" s="16" t="str">
        <f t="shared" si="18"/>
        <v>CMS_2024_UPZ_2_4</v>
      </c>
      <c r="B180" t="s">
        <v>60</v>
      </c>
      <c r="C180">
        <v>40.340800000000002</v>
      </c>
      <c r="D180">
        <v>-124.3633</v>
      </c>
      <c r="E180" s="8">
        <v>45493</v>
      </c>
      <c r="F180">
        <v>2024</v>
      </c>
      <c r="G180" t="s">
        <v>61</v>
      </c>
      <c r="H180" t="s">
        <v>45</v>
      </c>
      <c r="I180">
        <v>2</v>
      </c>
      <c r="J180">
        <v>4</v>
      </c>
      <c r="K180" t="s">
        <v>43</v>
      </c>
      <c r="L180" s="23">
        <v>6</v>
      </c>
      <c r="M180" s="23">
        <v>6</v>
      </c>
      <c r="N180" s="23">
        <v>0</v>
      </c>
      <c r="O180" s="23">
        <v>0</v>
      </c>
      <c r="P180" s="23">
        <v>9</v>
      </c>
      <c r="Q180" s="23" t="s">
        <v>44</v>
      </c>
      <c r="R180" s="23">
        <v>7</v>
      </c>
      <c r="S180" s="22">
        <v>0</v>
      </c>
      <c r="T180" s="23">
        <v>4</v>
      </c>
      <c r="U180" s="23">
        <v>11</v>
      </c>
      <c r="V180" s="18">
        <v>4.4000000000000004</v>
      </c>
      <c r="W180" s="18">
        <v>2.9</v>
      </c>
      <c r="X180" s="18">
        <v>3.5</v>
      </c>
      <c r="Y180" s="18">
        <v>1.6</v>
      </c>
      <c r="Z180" s="18">
        <v>2.5</v>
      </c>
      <c r="AA180" s="15">
        <v>0</v>
      </c>
      <c r="AB180" s="15">
        <v>0</v>
      </c>
      <c r="AC180" s="15">
        <v>0</v>
      </c>
      <c r="AD180" s="15">
        <v>0</v>
      </c>
      <c r="AE180" s="15">
        <v>1</v>
      </c>
      <c r="AF180" s="11">
        <f t="shared" si="22"/>
        <v>1</v>
      </c>
      <c r="AG180" s="32" t="s">
        <v>44</v>
      </c>
      <c r="AH180">
        <v>0</v>
      </c>
      <c r="AI180">
        <v>30</v>
      </c>
      <c r="AJ180">
        <v>0</v>
      </c>
      <c r="AK180">
        <v>0</v>
      </c>
      <c r="AL180">
        <v>30</v>
      </c>
      <c r="AM180">
        <v>3</v>
      </c>
      <c r="AN180">
        <v>3</v>
      </c>
      <c r="AO180">
        <v>0</v>
      </c>
      <c r="AP180">
        <v>34</v>
      </c>
      <c r="AQ180" s="21" t="e">
        <f t="shared" si="25"/>
        <v>#VALUE!</v>
      </c>
      <c r="AR180" s="12">
        <f t="shared" si="23"/>
        <v>100</v>
      </c>
      <c r="AS180">
        <v>0</v>
      </c>
      <c r="AT180">
        <v>19</v>
      </c>
      <c r="AU180">
        <v>0</v>
      </c>
      <c r="AV180" s="6">
        <v>0</v>
      </c>
      <c r="AW180">
        <v>0</v>
      </c>
      <c r="AX180">
        <v>6</v>
      </c>
      <c r="AY180" s="6">
        <v>0</v>
      </c>
      <c r="AZ180">
        <v>0</v>
      </c>
      <c r="BA180" s="6">
        <v>0</v>
      </c>
      <c r="BB180">
        <v>0</v>
      </c>
      <c r="BC180" s="6">
        <v>0</v>
      </c>
      <c r="BD180">
        <v>0</v>
      </c>
      <c r="BE180" s="6" t="s">
        <v>44</v>
      </c>
      <c r="BF180" s="6" t="s">
        <v>44</v>
      </c>
      <c r="BG180" s="6" t="s">
        <v>44</v>
      </c>
      <c r="BH180" s="6" t="s">
        <v>44</v>
      </c>
      <c r="BI180" s="6" t="s">
        <v>44</v>
      </c>
      <c r="BJ180" s="6" t="s">
        <v>44</v>
      </c>
      <c r="BK180" s="6">
        <v>0</v>
      </c>
      <c r="BL180" s="6">
        <f t="shared" si="24"/>
        <v>25</v>
      </c>
      <c r="BM180" s="6">
        <f t="shared" si="20"/>
        <v>25</v>
      </c>
      <c r="BN180">
        <v>30</v>
      </c>
      <c r="BO180">
        <f t="shared" si="26"/>
        <v>30</v>
      </c>
      <c r="BP180">
        <v>0</v>
      </c>
      <c r="BQ180">
        <f>SUM(BP180,BB180,BK180)</f>
        <v>0</v>
      </c>
      <c r="BR180">
        <f t="shared" si="21"/>
        <v>0</v>
      </c>
    </row>
    <row r="181" spans="1:70" hidden="1">
      <c r="A181" s="16" t="str">
        <f t="shared" si="18"/>
        <v>CMS_2024_UPZ_2_5</v>
      </c>
      <c r="B181" t="s">
        <v>60</v>
      </c>
      <c r="C181">
        <v>40.340800000000002</v>
      </c>
      <c r="D181">
        <v>-124.3633</v>
      </c>
      <c r="E181" s="8">
        <v>45493</v>
      </c>
      <c r="F181">
        <v>2024</v>
      </c>
      <c r="G181" t="s">
        <v>61</v>
      </c>
      <c r="H181" t="s">
        <v>45</v>
      </c>
      <c r="I181">
        <v>2</v>
      </c>
      <c r="J181">
        <v>5</v>
      </c>
      <c r="K181" t="s">
        <v>43</v>
      </c>
      <c r="L181" s="23">
        <v>8</v>
      </c>
      <c r="M181" s="23">
        <v>7</v>
      </c>
      <c r="N181" s="23">
        <v>1</v>
      </c>
      <c r="O181" s="23">
        <v>0</v>
      </c>
      <c r="P181" s="23">
        <v>25</v>
      </c>
      <c r="Q181" s="23" t="s">
        <v>44</v>
      </c>
      <c r="R181" s="23">
        <v>28</v>
      </c>
      <c r="S181" s="22">
        <v>0</v>
      </c>
      <c r="T181" s="23">
        <v>6</v>
      </c>
      <c r="U181" s="23">
        <v>13</v>
      </c>
      <c r="V181" s="18">
        <v>4.2</v>
      </c>
      <c r="W181" s="18">
        <v>4.4000000000000004</v>
      </c>
      <c r="X181" s="18">
        <v>3</v>
      </c>
      <c r="Y181" s="18">
        <v>3.2</v>
      </c>
      <c r="Z181" s="18">
        <v>3.2</v>
      </c>
      <c r="AA181" s="15">
        <v>0</v>
      </c>
      <c r="AB181" s="15">
        <v>0</v>
      </c>
      <c r="AC181" s="15">
        <v>0</v>
      </c>
      <c r="AD181" s="15">
        <v>0</v>
      </c>
      <c r="AE181" s="15">
        <v>1</v>
      </c>
      <c r="AF181" s="11">
        <f t="shared" si="22"/>
        <v>1</v>
      </c>
      <c r="AG181" s="32" t="s">
        <v>44</v>
      </c>
      <c r="AH181">
        <v>0</v>
      </c>
      <c r="AI181">
        <v>11</v>
      </c>
      <c r="AJ181">
        <v>0</v>
      </c>
      <c r="AK181">
        <v>0</v>
      </c>
      <c r="AL181">
        <v>81</v>
      </c>
      <c r="AM181">
        <v>1</v>
      </c>
      <c r="AN181">
        <v>4</v>
      </c>
      <c r="AO181">
        <v>0</v>
      </c>
      <c r="AP181">
        <v>3</v>
      </c>
      <c r="AQ181" s="21" t="e">
        <f t="shared" si="25"/>
        <v>#VALUE!</v>
      </c>
      <c r="AR181" s="12">
        <f t="shared" si="23"/>
        <v>100</v>
      </c>
      <c r="AS181">
        <v>32</v>
      </c>
      <c r="AT181">
        <v>0</v>
      </c>
      <c r="AU181">
        <v>0</v>
      </c>
      <c r="AV181" s="6">
        <v>0</v>
      </c>
      <c r="AW181" s="6">
        <v>0</v>
      </c>
      <c r="AX181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 t="s">
        <v>44</v>
      </c>
      <c r="BF181" s="6" t="s">
        <v>44</v>
      </c>
      <c r="BG181" s="6" t="s">
        <v>44</v>
      </c>
      <c r="BH181" s="6" t="s">
        <v>44</v>
      </c>
      <c r="BI181" s="6" t="s">
        <v>44</v>
      </c>
      <c r="BJ181" s="6" t="s">
        <v>44</v>
      </c>
      <c r="BK181" s="6">
        <v>0</v>
      </c>
      <c r="BL181" s="6">
        <f t="shared" si="24"/>
        <v>32</v>
      </c>
      <c r="BM181" s="6">
        <f t="shared" si="20"/>
        <v>32</v>
      </c>
      <c r="BN181">
        <v>11</v>
      </c>
      <c r="BO181">
        <f t="shared" si="26"/>
        <v>11</v>
      </c>
      <c r="BP181">
        <v>0</v>
      </c>
      <c r="BQ181">
        <f>SUM(BP181,BB181,BK181)</f>
        <v>0</v>
      </c>
      <c r="BR181">
        <f t="shared" si="21"/>
        <v>0</v>
      </c>
    </row>
    <row r="182" spans="1:70" hidden="1">
      <c r="A182" s="16" t="str">
        <f t="shared" si="18"/>
        <v>CMS_2024_NPZ_1_1</v>
      </c>
      <c r="B182" t="s">
        <v>60</v>
      </c>
      <c r="C182">
        <v>40.340800000000002</v>
      </c>
      <c r="D182">
        <v>-124.3633</v>
      </c>
      <c r="E182" s="8">
        <v>45493</v>
      </c>
      <c r="F182">
        <v>2024</v>
      </c>
      <c r="G182" t="s">
        <v>61</v>
      </c>
      <c r="H182" t="s">
        <v>48</v>
      </c>
      <c r="I182">
        <v>1</v>
      </c>
      <c r="J182">
        <v>1</v>
      </c>
      <c r="K182" t="s">
        <v>57</v>
      </c>
      <c r="L182" s="23">
        <v>45</v>
      </c>
      <c r="M182" s="23">
        <v>45</v>
      </c>
      <c r="N182" s="23">
        <v>0</v>
      </c>
      <c r="O182" s="23">
        <v>0</v>
      </c>
      <c r="P182" s="23">
        <v>9</v>
      </c>
      <c r="Q182" s="23">
        <v>0</v>
      </c>
      <c r="R182" s="23">
        <v>4</v>
      </c>
      <c r="S182" s="22">
        <v>0</v>
      </c>
      <c r="T182" s="23">
        <v>0</v>
      </c>
      <c r="U182" s="23">
        <v>45</v>
      </c>
      <c r="V182" s="18">
        <v>4.7</v>
      </c>
      <c r="W182" s="18">
        <v>5.5</v>
      </c>
      <c r="X182" s="18">
        <v>5.0999999999999996</v>
      </c>
      <c r="Y182" s="18">
        <v>3.8</v>
      </c>
      <c r="Z182" s="18">
        <v>2.7</v>
      </c>
      <c r="AA182" s="15">
        <v>0</v>
      </c>
      <c r="AB182" s="15">
        <v>0</v>
      </c>
      <c r="AC182" s="15">
        <v>0</v>
      </c>
      <c r="AD182" s="15">
        <v>1</v>
      </c>
      <c r="AE182" s="15">
        <v>0</v>
      </c>
      <c r="AF182" s="11">
        <f t="shared" si="22"/>
        <v>1</v>
      </c>
      <c r="AG182" s="32" t="s">
        <v>44</v>
      </c>
      <c r="AH182">
        <v>0</v>
      </c>
      <c r="AI182">
        <v>0</v>
      </c>
      <c r="AJ182">
        <v>0</v>
      </c>
      <c r="AK182">
        <v>0</v>
      </c>
      <c r="AL182">
        <v>14</v>
      </c>
      <c r="AM182">
        <v>2</v>
      </c>
      <c r="AN182">
        <v>0</v>
      </c>
      <c r="AO182">
        <v>0</v>
      </c>
      <c r="AP182">
        <v>84</v>
      </c>
      <c r="AQ182" s="21" t="e">
        <f t="shared" si="25"/>
        <v>#VALUE!</v>
      </c>
      <c r="AR182" s="12">
        <f t="shared" si="23"/>
        <v>100</v>
      </c>
      <c r="AS182">
        <v>0</v>
      </c>
      <c r="AT182">
        <v>0</v>
      </c>
      <c r="AU182">
        <v>0</v>
      </c>
      <c r="AV182" s="6">
        <v>0</v>
      </c>
      <c r="AW182">
        <v>0</v>
      </c>
      <c r="AX182">
        <v>0</v>
      </c>
      <c r="AY182" s="6">
        <v>0</v>
      </c>
      <c r="AZ182">
        <v>0</v>
      </c>
      <c r="BA182" s="6">
        <v>0</v>
      </c>
      <c r="BB182">
        <v>0</v>
      </c>
      <c r="BC182" s="6">
        <v>0</v>
      </c>
      <c r="BD182">
        <v>0</v>
      </c>
      <c r="BE182" s="6" t="s">
        <v>44</v>
      </c>
      <c r="BF182" s="6" t="s">
        <v>44</v>
      </c>
      <c r="BG182" s="6" t="s">
        <v>44</v>
      </c>
      <c r="BH182" s="6" t="s">
        <v>44</v>
      </c>
      <c r="BI182" s="6" t="s">
        <v>44</v>
      </c>
      <c r="BJ182" s="6" t="s">
        <v>44</v>
      </c>
      <c r="BK182" s="6">
        <v>0</v>
      </c>
      <c r="BL182" s="6">
        <f t="shared" si="24"/>
        <v>0</v>
      </c>
      <c r="BM182" s="6">
        <f t="shared" si="20"/>
        <v>0</v>
      </c>
      <c r="BN182">
        <v>0</v>
      </c>
      <c r="BO182">
        <f t="shared" si="26"/>
        <v>0</v>
      </c>
      <c r="BP182">
        <v>0</v>
      </c>
      <c r="BQ182">
        <f>SUM(BP182,BB182,BK182)</f>
        <v>0</v>
      </c>
      <c r="BR182">
        <f t="shared" si="21"/>
        <v>0</v>
      </c>
    </row>
    <row r="183" spans="1:70" hidden="1">
      <c r="A183" s="16" t="str">
        <f t="shared" si="18"/>
        <v>CMS_2024_NPZ_1_2</v>
      </c>
      <c r="B183" t="s">
        <v>60</v>
      </c>
      <c r="C183">
        <v>40.340800000000002</v>
      </c>
      <c r="D183">
        <v>-124.3633</v>
      </c>
      <c r="E183" s="8">
        <v>45493</v>
      </c>
      <c r="F183">
        <v>2024</v>
      </c>
      <c r="G183" t="s">
        <v>61</v>
      </c>
      <c r="H183" t="s">
        <v>48</v>
      </c>
      <c r="I183">
        <v>1</v>
      </c>
      <c r="J183">
        <v>2</v>
      </c>
      <c r="K183" t="s">
        <v>57</v>
      </c>
      <c r="L183" s="23">
        <v>31</v>
      </c>
      <c r="M183" s="23">
        <v>1</v>
      </c>
      <c r="N183" s="23">
        <v>4</v>
      </c>
      <c r="O183" s="23">
        <f t="shared" ref="O183:O191" si="27">L183-M183-N183</f>
        <v>26</v>
      </c>
      <c r="P183" s="23">
        <v>33</v>
      </c>
      <c r="Q183" s="23">
        <v>1</v>
      </c>
      <c r="R183" s="23">
        <v>0</v>
      </c>
      <c r="S183" s="22">
        <v>0</v>
      </c>
      <c r="T183" s="23">
        <v>1</v>
      </c>
      <c r="U183" s="23">
        <v>2</v>
      </c>
      <c r="V183" s="18">
        <v>3.6</v>
      </c>
      <c r="W183" s="18">
        <v>2.7</v>
      </c>
      <c r="X183" s="18">
        <v>2.9</v>
      </c>
      <c r="Y183" s="18">
        <v>2.8</v>
      </c>
      <c r="Z183" s="18">
        <v>2.8</v>
      </c>
      <c r="AA183" s="15">
        <v>0</v>
      </c>
      <c r="AB183" s="15">
        <v>0</v>
      </c>
      <c r="AC183" s="15">
        <v>0</v>
      </c>
      <c r="AD183" s="15">
        <v>1</v>
      </c>
      <c r="AE183" s="15">
        <v>0</v>
      </c>
      <c r="AF183" s="11">
        <f t="shared" si="22"/>
        <v>1</v>
      </c>
      <c r="AG183" s="32" t="s">
        <v>44</v>
      </c>
      <c r="AH183">
        <v>0</v>
      </c>
      <c r="AI183">
        <v>4</v>
      </c>
      <c r="AJ183">
        <v>0</v>
      </c>
      <c r="AK183">
        <v>0</v>
      </c>
      <c r="AL183">
        <v>19</v>
      </c>
      <c r="AM183">
        <v>0</v>
      </c>
      <c r="AN183">
        <v>10</v>
      </c>
      <c r="AO183">
        <v>0</v>
      </c>
      <c r="AP183">
        <v>67</v>
      </c>
      <c r="AQ183" s="21" t="e">
        <f t="shared" si="25"/>
        <v>#VALUE!</v>
      </c>
      <c r="AR183" s="12">
        <f t="shared" si="23"/>
        <v>100</v>
      </c>
      <c r="AS183">
        <v>0</v>
      </c>
      <c r="AT183">
        <v>0</v>
      </c>
      <c r="AU183">
        <v>0</v>
      </c>
      <c r="AV183" s="6">
        <v>0</v>
      </c>
      <c r="AW183" s="6">
        <v>0</v>
      </c>
      <c r="AX183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 t="s">
        <v>44</v>
      </c>
      <c r="BF183" s="6" t="s">
        <v>44</v>
      </c>
      <c r="BG183" s="6" t="s">
        <v>44</v>
      </c>
      <c r="BH183" s="6" t="s">
        <v>44</v>
      </c>
      <c r="BI183" s="6" t="s">
        <v>44</v>
      </c>
      <c r="BJ183" s="6" t="s">
        <v>44</v>
      </c>
      <c r="BK183" s="6">
        <v>0</v>
      </c>
      <c r="BL183" s="6">
        <f t="shared" si="24"/>
        <v>0</v>
      </c>
      <c r="BM183" s="6">
        <f t="shared" si="20"/>
        <v>0</v>
      </c>
      <c r="BN183">
        <v>4</v>
      </c>
      <c r="BO183">
        <f t="shared" si="26"/>
        <v>4</v>
      </c>
      <c r="BP183">
        <v>0</v>
      </c>
      <c r="BQ183">
        <f>SUM(BP183,BB183,BK183)</f>
        <v>0</v>
      </c>
      <c r="BR183">
        <f t="shared" si="21"/>
        <v>0</v>
      </c>
    </row>
    <row r="184" spans="1:70" hidden="1">
      <c r="A184" s="16" t="str">
        <f t="shared" si="18"/>
        <v>CMS_2024_NPZ_1_3</v>
      </c>
      <c r="B184" t="s">
        <v>60</v>
      </c>
      <c r="C184">
        <v>40.340800000000002</v>
      </c>
      <c r="D184">
        <v>-124.3633</v>
      </c>
      <c r="E184" s="8">
        <v>45493</v>
      </c>
      <c r="F184">
        <v>2024</v>
      </c>
      <c r="G184" t="s">
        <v>61</v>
      </c>
      <c r="H184" t="s">
        <v>48</v>
      </c>
      <c r="I184">
        <v>1</v>
      </c>
      <c r="J184">
        <v>3</v>
      </c>
      <c r="K184" t="s">
        <v>56</v>
      </c>
      <c r="L184" s="23">
        <v>46</v>
      </c>
      <c r="M184" s="23">
        <v>0</v>
      </c>
      <c r="N184" s="23">
        <v>3</v>
      </c>
      <c r="O184" s="23">
        <f t="shared" si="27"/>
        <v>43</v>
      </c>
      <c r="P184" s="23">
        <v>11</v>
      </c>
      <c r="Q184" s="23">
        <v>0</v>
      </c>
      <c r="R184" s="23">
        <v>0</v>
      </c>
      <c r="S184" s="22">
        <v>0</v>
      </c>
      <c r="T184" s="23">
        <v>0</v>
      </c>
      <c r="U184" s="23">
        <v>0</v>
      </c>
      <c r="V184" s="18">
        <v>6.3</v>
      </c>
      <c r="W184" s="18">
        <v>6.3</v>
      </c>
      <c r="X184" s="18">
        <v>4.5999999999999996</v>
      </c>
      <c r="Y184" s="18">
        <v>5.4</v>
      </c>
      <c r="Z184" s="18">
        <v>4.7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1">
        <f t="shared" si="22"/>
        <v>0</v>
      </c>
      <c r="AG184" s="32" t="s">
        <v>44</v>
      </c>
      <c r="AH184">
        <v>0</v>
      </c>
      <c r="AI184">
        <v>0</v>
      </c>
      <c r="AJ184">
        <v>0</v>
      </c>
      <c r="AK184">
        <v>0</v>
      </c>
      <c r="AL184">
        <v>3</v>
      </c>
      <c r="AM184">
        <v>0</v>
      </c>
      <c r="AN184">
        <v>7</v>
      </c>
      <c r="AO184">
        <v>10</v>
      </c>
      <c r="AP184">
        <v>80</v>
      </c>
      <c r="AQ184" s="21" t="e">
        <f t="shared" si="25"/>
        <v>#VALUE!</v>
      </c>
      <c r="AR184" s="12">
        <f t="shared" si="23"/>
        <v>100</v>
      </c>
      <c r="AS184">
        <v>0</v>
      </c>
      <c r="AT184">
        <v>0</v>
      </c>
      <c r="AU184">
        <v>0</v>
      </c>
      <c r="AV184" s="6">
        <v>0</v>
      </c>
      <c r="AW184">
        <v>0</v>
      </c>
      <c r="AX184">
        <v>0</v>
      </c>
      <c r="AY184" s="6">
        <v>0</v>
      </c>
      <c r="AZ184">
        <v>0</v>
      </c>
      <c r="BA184" s="6">
        <v>0</v>
      </c>
      <c r="BB184">
        <v>0</v>
      </c>
      <c r="BC184" s="6">
        <v>0</v>
      </c>
      <c r="BD184">
        <v>0</v>
      </c>
      <c r="BE184" s="6" t="s">
        <v>44</v>
      </c>
      <c r="BF184" s="6" t="s">
        <v>44</v>
      </c>
      <c r="BG184" s="6" t="s">
        <v>44</v>
      </c>
      <c r="BH184" s="6" t="s">
        <v>44</v>
      </c>
      <c r="BI184" s="6" t="s">
        <v>44</v>
      </c>
      <c r="BJ184" s="6" t="s">
        <v>44</v>
      </c>
      <c r="BK184" s="6">
        <v>0</v>
      </c>
      <c r="BL184" s="6">
        <f t="shared" si="24"/>
        <v>0</v>
      </c>
      <c r="BM184" s="6">
        <f t="shared" si="20"/>
        <v>0</v>
      </c>
      <c r="BN184">
        <v>0</v>
      </c>
      <c r="BO184">
        <f t="shared" si="26"/>
        <v>0</v>
      </c>
      <c r="BP184">
        <v>0</v>
      </c>
      <c r="BQ184">
        <f>SUM(BP184,BB184,BK184)</f>
        <v>0</v>
      </c>
      <c r="BR184">
        <f t="shared" si="21"/>
        <v>0</v>
      </c>
    </row>
    <row r="185" spans="1:70" hidden="1">
      <c r="A185" s="16" t="str">
        <f t="shared" si="18"/>
        <v>CMS_2024_NPZ_1_4</v>
      </c>
      <c r="B185" t="s">
        <v>60</v>
      </c>
      <c r="C185">
        <v>40.340800000000002</v>
      </c>
      <c r="D185">
        <v>-124.3633</v>
      </c>
      <c r="E185" s="8">
        <v>45493</v>
      </c>
      <c r="F185">
        <v>2024</v>
      </c>
      <c r="G185" t="s">
        <v>61</v>
      </c>
      <c r="H185" t="s">
        <v>48</v>
      </c>
      <c r="I185">
        <v>1</v>
      </c>
      <c r="J185">
        <v>4</v>
      </c>
      <c r="K185" t="s">
        <v>57</v>
      </c>
      <c r="L185" s="23">
        <v>36</v>
      </c>
      <c r="M185" s="23">
        <v>1</v>
      </c>
      <c r="N185" s="23">
        <v>4</v>
      </c>
      <c r="O185" s="23">
        <f t="shared" si="27"/>
        <v>31</v>
      </c>
      <c r="P185" s="23">
        <v>24</v>
      </c>
      <c r="Q185" s="23">
        <v>0</v>
      </c>
      <c r="R185" s="23">
        <v>0</v>
      </c>
      <c r="S185" s="22">
        <v>0</v>
      </c>
      <c r="T185" s="23">
        <v>1</v>
      </c>
      <c r="U185" s="23">
        <v>2</v>
      </c>
      <c r="V185" s="18">
        <v>4</v>
      </c>
      <c r="W185" s="18">
        <v>5.4</v>
      </c>
      <c r="X185" s="18">
        <v>4.2</v>
      </c>
      <c r="Y185" s="18">
        <v>6.6</v>
      </c>
      <c r="Z185" s="18">
        <v>4.4000000000000004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1">
        <f t="shared" si="22"/>
        <v>0</v>
      </c>
      <c r="AG185" s="32" t="s">
        <v>44</v>
      </c>
      <c r="AH185">
        <v>0</v>
      </c>
      <c r="AI185">
        <v>2</v>
      </c>
      <c r="AJ185">
        <v>0</v>
      </c>
      <c r="AK185">
        <v>0</v>
      </c>
      <c r="AL185">
        <v>11</v>
      </c>
      <c r="AM185">
        <v>2</v>
      </c>
      <c r="AN185">
        <v>4</v>
      </c>
      <c r="AO185">
        <v>2</v>
      </c>
      <c r="AP185">
        <v>79</v>
      </c>
      <c r="AQ185" s="21" t="e">
        <f t="shared" si="25"/>
        <v>#VALUE!</v>
      </c>
      <c r="AR185" s="12">
        <f t="shared" si="23"/>
        <v>100</v>
      </c>
      <c r="AS185">
        <v>0</v>
      </c>
      <c r="AT185">
        <v>0</v>
      </c>
      <c r="AU185">
        <v>0</v>
      </c>
      <c r="AV185" s="6">
        <v>0</v>
      </c>
      <c r="AW185" s="6">
        <v>0</v>
      </c>
      <c r="AX185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 t="s">
        <v>44</v>
      </c>
      <c r="BF185" s="6" t="s">
        <v>44</v>
      </c>
      <c r="BG185" s="6" t="s">
        <v>44</v>
      </c>
      <c r="BH185" s="6" t="s">
        <v>44</v>
      </c>
      <c r="BI185" s="6" t="s">
        <v>44</v>
      </c>
      <c r="BJ185" s="6" t="s">
        <v>44</v>
      </c>
      <c r="BK185" s="6">
        <v>0</v>
      </c>
      <c r="BL185" s="6">
        <f t="shared" si="24"/>
        <v>0</v>
      </c>
      <c r="BM185" s="6">
        <f t="shared" si="20"/>
        <v>0</v>
      </c>
      <c r="BN185">
        <v>2</v>
      </c>
      <c r="BO185">
        <f t="shared" si="26"/>
        <v>2</v>
      </c>
      <c r="BP185">
        <v>0</v>
      </c>
      <c r="BQ185">
        <f>SUM(BP185,BB185,BK185)</f>
        <v>0</v>
      </c>
      <c r="BR185">
        <f t="shared" si="21"/>
        <v>0</v>
      </c>
    </row>
    <row r="186" spans="1:70" hidden="1">
      <c r="A186" s="16" t="str">
        <f t="shared" si="18"/>
        <v>CMS_2024_NPZ_1_5</v>
      </c>
      <c r="B186" t="s">
        <v>60</v>
      </c>
      <c r="C186">
        <v>40.340800000000002</v>
      </c>
      <c r="D186">
        <v>-124.3633</v>
      </c>
      <c r="E186" s="8">
        <v>45493</v>
      </c>
      <c r="F186">
        <v>2024</v>
      </c>
      <c r="G186" t="s">
        <v>61</v>
      </c>
      <c r="H186" t="s">
        <v>48</v>
      </c>
      <c r="I186">
        <v>1</v>
      </c>
      <c r="J186">
        <v>5</v>
      </c>
      <c r="K186" t="s">
        <v>57</v>
      </c>
      <c r="L186" s="23">
        <v>56</v>
      </c>
      <c r="M186" s="23">
        <v>0</v>
      </c>
      <c r="N186" s="23">
        <v>2</v>
      </c>
      <c r="O186" s="23">
        <f t="shared" si="27"/>
        <v>54</v>
      </c>
      <c r="P186" s="23">
        <v>8</v>
      </c>
      <c r="Q186" s="23">
        <v>0</v>
      </c>
      <c r="R186" s="23">
        <v>0</v>
      </c>
      <c r="S186" s="22">
        <v>0</v>
      </c>
      <c r="T186" s="23">
        <v>0</v>
      </c>
      <c r="U186" s="23">
        <v>0</v>
      </c>
      <c r="V186" s="18">
        <v>4.0999999999999996</v>
      </c>
      <c r="W186" s="18">
        <v>2.6</v>
      </c>
      <c r="X186" s="18">
        <v>3.1</v>
      </c>
      <c r="Y186" s="18">
        <v>4.4000000000000004</v>
      </c>
      <c r="Z186" s="18">
        <v>3.1</v>
      </c>
      <c r="AA186" s="15">
        <v>0</v>
      </c>
      <c r="AB186" s="15">
        <v>1</v>
      </c>
      <c r="AC186" s="15">
        <v>0</v>
      </c>
      <c r="AD186" s="15">
        <v>1</v>
      </c>
      <c r="AE186" s="15">
        <v>1</v>
      </c>
      <c r="AF186" s="11">
        <f t="shared" si="22"/>
        <v>3</v>
      </c>
      <c r="AG186" s="32">
        <v>60</v>
      </c>
      <c r="AH186">
        <v>0</v>
      </c>
      <c r="AI186">
        <v>13</v>
      </c>
      <c r="AJ186">
        <v>0</v>
      </c>
      <c r="AK186">
        <v>0</v>
      </c>
      <c r="AL186">
        <v>8</v>
      </c>
      <c r="AM186">
        <v>0</v>
      </c>
      <c r="AN186">
        <v>2</v>
      </c>
      <c r="AO186">
        <v>6</v>
      </c>
      <c r="AP186">
        <v>74</v>
      </c>
      <c r="AQ186" s="21">
        <f t="shared" si="25"/>
        <v>14</v>
      </c>
      <c r="AR186" s="12">
        <f t="shared" si="23"/>
        <v>103</v>
      </c>
      <c r="AS186">
        <v>0</v>
      </c>
      <c r="AT186">
        <v>0</v>
      </c>
      <c r="AU186">
        <v>2</v>
      </c>
      <c r="AV186" s="6">
        <v>0</v>
      </c>
      <c r="AW186">
        <v>0</v>
      </c>
      <c r="AX186">
        <v>4</v>
      </c>
      <c r="AY186" s="6">
        <v>0</v>
      </c>
      <c r="AZ186">
        <v>0</v>
      </c>
      <c r="BA186" s="6">
        <v>0</v>
      </c>
      <c r="BB186">
        <v>0</v>
      </c>
      <c r="BC186" s="6">
        <v>0</v>
      </c>
      <c r="BD186">
        <v>0</v>
      </c>
      <c r="BE186" s="6" t="s">
        <v>44</v>
      </c>
      <c r="BF186" s="6" t="s">
        <v>44</v>
      </c>
      <c r="BG186" s="6" t="s">
        <v>44</v>
      </c>
      <c r="BH186" s="6" t="s">
        <v>44</v>
      </c>
      <c r="BI186" s="6" t="s">
        <v>44</v>
      </c>
      <c r="BJ186" s="6" t="s">
        <v>44</v>
      </c>
      <c r="BK186" s="6">
        <v>0</v>
      </c>
      <c r="BL186" s="6">
        <f t="shared" si="24"/>
        <v>4</v>
      </c>
      <c r="BM186" s="6">
        <f t="shared" si="20"/>
        <v>6</v>
      </c>
    </row>
    <row r="187" spans="1:70" hidden="1">
      <c r="A187" s="16" t="str">
        <f t="shared" si="18"/>
        <v>CMS_2024_NPZ_2_1</v>
      </c>
      <c r="B187" t="s">
        <v>60</v>
      </c>
      <c r="C187">
        <v>40.340800000000002</v>
      </c>
      <c r="D187">
        <v>-124.3633</v>
      </c>
      <c r="E187" s="8">
        <v>45493</v>
      </c>
      <c r="F187">
        <v>2024</v>
      </c>
      <c r="G187" t="s">
        <v>61</v>
      </c>
      <c r="H187" t="s">
        <v>48</v>
      </c>
      <c r="I187">
        <v>2</v>
      </c>
      <c r="J187">
        <v>1</v>
      </c>
      <c r="K187" t="s">
        <v>58</v>
      </c>
      <c r="L187" s="23">
        <v>34</v>
      </c>
      <c r="M187" s="23">
        <v>0</v>
      </c>
      <c r="N187" s="23">
        <v>3</v>
      </c>
      <c r="O187" s="23">
        <f t="shared" si="27"/>
        <v>31</v>
      </c>
      <c r="P187" s="23">
        <v>0</v>
      </c>
      <c r="Q187" s="23">
        <v>0</v>
      </c>
      <c r="R187" s="23">
        <v>0</v>
      </c>
      <c r="S187" s="22">
        <v>0</v>
      </c>
      <c r="T187" s="23">
        <v>0</v>
      </c>
      <c r="U187" s="23">
        <v>0</v>
      </c>
      <c r="V187" s="18">
        <v>5.7</v>
      </c>
      <c r="W187" s="18">
        <v>3.4</v>
      </c>
      <c r="X187" s="18">
        <v>2.7</v>
      </c>
      <c r="Y187" s="18">
        <v>6.3</v>
      </c>
      <c r="Z187" s="18">
        <v>4.3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1">
        <f t="shared" si="22"/>
        <v>0</v>
      </c>
      <c r="AG187" s="32" t="s">
        <v>44</v>
      </c>
      <c r="AH187">
        <v>0</v>
      </c>
      <c r="AI187">
        <v>0</v>
      </c>
      <c r="AJ187">
        <v>0</v>
      </c>
      <c r="AK187">
        <v>0</v>
      </c>
      <c r="AL187">
        <v>4</v>
      </c>
      <c r="AM187">
        <v>1</v>
      </c>
      <c r="AN187">
        <v>0</v>
      </c>
      <c r="AO187">
        <v>17</v>
      </c>
      <c r="AP187">
        <v>78</v>
      </c>
      <c r="AQ187" s="21" t="e">
        <f t="shared" si="25"/>
        <v>#VALUE!</v>
      </c>
      <c r="AR187" s="12">
        <f t="shared" si="23"/>
        <v>100</v>
      </c>
      <c r="AS187">
        <v>0</v>
      </c>
      <c r="AT187">
        <v>0</v>
      </c>
      <c r="AU187">
        <v>0</v>
      </c>
      <c r="AV187" s="6">
        <v>0</v>
      </c>
      <c r="AW187" s="6">
        <v>0</v>
      </c>
      <c r="AX187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 t="s">
        <v>44</v>
      </c>
      <c r="BF187" s="6" t="s">
        <v>44</v>
      </c>
      <c r="BG187" s="6" t="s">
        <v>44</v>
      </c>
      <c r="BH187" s="6" t="s">
        <v>44</v>
      </c>
      <c r="BI187" s="6" t="s">
        <v>44</v>
      </c>
      <c r="BJ187" s="6" t="s">
        <v>44</v>
      </c>
      <c r="BK187" s="6">
        <v>0</v>
      </c>
      <c r="BL187" s="6">
        <f t="shared" si="24"/>
        <v>0</v>
      </c>
      <c r="BM187" s="6">
        <f t="shared" si="20"/>
        <v>0</v>
      </c>
      <c r="BN187">
        <v>0</v>
      </c>
      <c r="BO187">
        <f t="shared" si="26"/>
        <v>0</v>
      </c>
      <c r="BP187">
        <v>0</v>
      </c>
      <c r="BQ187">
        <f>SUM(BP187,BB187,BK187)</f>
        <v>0</v>
      </c>
      <c r="BR187">
        <f t="shared" si="21"/>
        <v>0</v>
      </c>
    </row>
    <row r="188" spans="1:70" hidden="1">
      <c r="A188" s="16" t="str">
        <f t="shared" si="18"/>
        <v>CMS_2024_NPZ_2_2</v>
      </c>
      <c r="B188" t="s">
        <v>60</v>
      </c>
      <c r="C188">
        <v>40.340800000000002</v>
      </c>
      <c r="D188">
        <v>-124.3633</v>
      </c>
      <c r="E188" s="8">
        <v>45493</v>
      </c>
      <c r="F188">
        <v>2024</v>
      </c>
      <c r="G188" t="s">
        <v>61</v>
      </c>
      <c r="H188" t="s">
        <v>48</v>
      </c>
      <c r="I188">
        <v>2</v>
      </c>
      <c r="J188">
        <v>2</v>
      </c>
      <c r="K188" t="s">
        <v>58</v>
      </c>
      <c r="L188" s="23">
        <v>29</v>
      </c>
      <c r="M188" s="23">
        <v>0</v>
      </c>
      <c r="N188" s="23">
        <v>0</v>
      </c>
      <c r="O188" s="23">
        <f t="shared" si="27"/>
        <v>29</v>
      </c>
      <c r="P188" s="23">
        <v>0</v>
      </c>
      <c r="Q188" s="23">
        <v>0</v>
      </c>
      <c r="R188" s="23">
        <v>0</v>
      </c>
      <c r="S188" s="22">
        <v>0</v>
      </c>
      <c r="T188" s="23">
        <v>0</v>
      </c>
      <c r="U188" s="23">
        <v>0</v>
      </c>
      <c r="V188" s="18">
        <v>4.4000000000000004</v>
      </c>
      <c r="W188" s="18">
        <v>5.3</v>
      </c>
      <c r="X188" s="18">
        <v>4.8</v>
      </c>
      <c r="Y188" s="18">
        <v>6.1</v>
      </c>
      <c r="Z188" s="18">
        <v>4.2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1">
        <f t="shared" si="22"/>
        <v>0</v>
      </c>
      <c r="AG188" s="32" t="s">
        <v>44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1</v>
      </c>
      <c r="AN188">
        <v>3</v>
      </c>
      <c r="AO188">
        <v>3</v>
      </c>
      <c r="AP188">
        <v>91</v>
      </c>
      <c r="AQ188" s="21" t="e">
        <f t="shared" si="25"/>
        <v>#VALUE!</v>
      </c>
      <c r="AR188" s="12">
        <f t="shared" si="23"/>
        <v>100</v>
      </c>
      <c r="AS188">
        <v>0</v>
      </c>
      <c r="AT188">
        <v>0</v>
      </c>
      <c r="AU188">
        <v>0</v>
      </c>
      <c r="AV188" s="6">
        <v>0</v>
      </c>
      <c r="AW188">
        <v>0</v>
      </c>
      <c r="AX188">
        <v>0</v>
      </c>
      <c r="AY188" s="6">
        <v>0</v>
      </c>
      <c r="AZ188">
        <v>0</v>
      </c>
      <c r="BA188" s="6">
        <v>0</v>
      </c>
      <c r="BB188">
        <v>0</v>
      </c>
      <c r="BC188" s="6">
        <v>0</v>
      </c>
      <c r="BD188">
        <v>0</v>
      </c>
      <c r="BE188" s="6" t="s">
        <v>44</v>
      </c>
      <c r="BF188" s="6" t="s">
        <v>44</v>
      </c>
      <c r="BG188" s="6" t="s">
        <v>44</v>
      </c>
      <c r="BH188" s="6" t="s">
        <v>44</v>
      </c>
      <c r="BI188" s="6" t="s">
        <v>44</v>
      </c>
      <c r="BJ188" s="6" t="s">
        <v>44</v>
      </c>
      <c r="BK188" s="6">
        <v>0</v>
      </c>
      <c r="BL188" s="6">
        <f t="shared" si="24"/>
        <v>0</v>
      </c>
      <c r="BM188" s="6">
        <f t="shared" si="20"/>
        <v>0</v>
      </c>
      <c r="BN188">
        <v>0</v>
      </c>
      <c r="BO188">
        <f t="shared" si="26"/>
        <v>0</v>
      </c>
      <c r="BP188">
        <v>0</v>
      </c>
      <c r="BQ188">
        <f>SUM(BP188,BB188,BK188)</f>
        <v>0</v>
      </c>
      <c r="BR188">
        <f t="shared" si="21"/>
        <v>0</v>
      </c>
    </row>
    <row r="189" spans="1:70" hidden="1">
      <c r="A189" s="16" t="str">
        <f t="shared" si="18"/>
        <v>CMS_2024_NPZ_2_3</v>
      </c>
      <c r="B189" t="s">
        <v>60</v>
      </c>
      <c r="C189">
        <v>40.340800000000002</v>
      </c>
      <c r="D189">
        <v>-124.3633</v>
      </c>
      <c r="E189" s="8">
        <v>45493</v>
      </c>
      <c r="F189">
        <v>2024</v>
      </c>
      <c r="G189" t="s">
        <v>61</v>
      </c>
      <c r="H189" t="s">
        <v>48</v>
      </c>
      <c r="I189">
        <v>2</v>
      </c>
      <c r="J189">
        <v>3</v>
      </c>
      <c r="K189" t="s">
        <v>57</v>
      </c>
      <c r="L189" s="23">
        <v>27</v>
      </c>
      <c r="M189" s="23">
        <v>0</v>
      </c>
      <c r="N189" s="23">
        <v>19</v>
      </c>
      <c r="O189" s="23">
        <f t="shared" si="27"/>
        <v>8</v>
      </c>
      <c r="P189" s="23">
        <v>0</v>
      </c>
      <c r="Q189" s="23">
        <v>0</v>
      </c>
      <c r="R189" s="23">
        <v>0</v>
      </c>
      <c r="S189" s="22">
        <v>0</v>
      </c>
      <c r="T189" s="23">
        <v>0</v>
      </c>
      <c r="U189" s="23">
        <v>0</v>
      </c>
      <c r="V189" s="18">
        <v>4.9000000000000004</v>
      </c>
      <c r="W189" s="18">
        <v>5.3</v>
      </c>
      <c r="X189" s="18">
        <v>3.9</v>
      </c>
      <c r="Y189" s="18">
        <v>3.3</v>
      </c>
      <c r="Z189" s="18">
        <v>2.9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1">
        <f t="shared" si="22"/>
        <v>0</v>
      </c>
      <c r="AG189" s="32" t="s">
        <v>44</v>
      </c>
      <c r="AH189">
        <v>0</v>
      </c>
      <c r="AI189">
        <v>0</v>
      </c>
      <c r="AJ189">
        <v>0</v>
      </c>
      <c r="AK189">
        <v>0</v>
      </c>
      <c r="AL189">
        <v>0.1</v>
      </c>
      <c r="AM189">
        <v>0</v>
      </c>
      <c r="AN189">
        <v>0</v>
      </c>
      <c r="AO189">
        <v>3</v>
      </c>
      <c r="AP189">
        <v>97</v>
      </c>
      <c r="AQ189" s="21" t="e">
        <f t="shared" si="25"/>
        <v>#VALUE!</v>
      </c>
      <c r="AR189" s="12">
        <f t="shared" si="23"/>
        <v>100.1</v>
      </c>
      <c r="AS189">
        <v>0</v>
      </c>
      <c r="AT189">
        <v>0</v>
      </c>
      <c r="AU189">
        <v>0</v>
      </c>
      <c r="AV189" s="6">
        <v>0</v>
      </c>
      <c r="AW189" s="6">
        <v>0</v>
      </c>
      <c r="AX189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 t="s">
        <v>44</v>
      </c>
      <c r="BF189" s="6" t="s">
        <v>44</v>
      </c>
      <c r="BG189" s="6" t="s">
        <v>44</v>
      </c>
      <c r="BH189" s="6" t="s">
        <v>44</v>
      </c>
      <c r="BI189" s="6" t="s">
        <v>44</v>
      </c>
      <c r="BJ189" s="6" t="s">
        <v>44</v>
      </c>
      <c r="BK189" s="6">
        <v>0</v>
      </c>
      <c r="BL189" s="6">
        <f t="shared" si="24"/>
        <v>0</v>
      </c>
      <c r="BM189" s="6">
        <f t="shared" si="20"/>
        <v>0</v>
      </c>
      <c r="BN189">
        <v>0</v>
      </c>
      <c r="BO189">
        <f t="shared" si="26"/>
        <v>0</v>
      </c>
      <c r="BP189">
        <v>0</v>
      </c>
      <c r="BQ189">
        <f>SUM(BP189,BB189,BK189)</f>
        <v>0</v>
      </c>
      <c r="BR189">
        <f t="shared" si="21"/>
        <v>0</v>
      </c>
    </row>
    <row r="190" spans="1:70" hidden="1">
      <c r="A190" s="16" t="str">
        <f t="shared" si="18"/>
        <v>CMS_2024_NPZ_2_4</v>
      </c>
      <c r="B190" t="s">
        <v>60</v>
      </c>
      <c r="C190">
        <v>40.340800000000002</v>
      </c>
      <c r="D190">
        <v>-124.3633</v>
      </c>
      <c r="E190" s="8">
        <v>45493</v>
      </c>
      <c r="F190">
        <v>2024</v>
      </c>
      <c r="G190" t="s">
        <v>61</v>
      </c>
      <c r="H190" t="s">
        <v>48</v>
      </c>
      <c r="I190">
        <v>2</v>
      </c>
      <c r="J190">
        <v>4</v>
      </c>
      <c r="K190" t="s">
        <v>57</v>
      </c>
      <c r="L190" s="23">
        <v>36</v>
      </c>
      <c r="M190" s="23">
        <v>0</v>
      </c>
      <c r="N190" s="23">
        <v>13</v>
      </c>
      <c r="O190" s="23">
        <f t="shared" si="27"/>
        <v>23</v>
      </c>
      <c r="P190" s="23">
        <v>0</v>
      </c>
      <c r="Q190" s="23">
        <v>0</v>
      </c>
      <c r="R190" s="23">
        <v>0</v>
      </c>
      <c r="S190" s="22">
        <v>0</v>
      </c>
      <c r="T190" s="23">
        <v>0</v>
      </c>
      <c r="U190" s="23">
        <v>0</v>
      </c>
      <c r="V190" s="18">
        <v>3.2</v>
      </c>
      <c r="W190" s="18">
        <v>2.7</v>
      </c>
      <c r="X190" s="18">
        <v>5.9</v>
      </c>
      <c r="Y190" s="18">
        <v>5.4</v>
      </c>
      <c r="Z190" s="18">
        <v>5.6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1">
        <f t="shared" si="22"/>
        <v>0</v>
      </c>
      <c r="AG190" s="32" t="s">
        <v>44</v>
      </c>
      <c r="AH190">
        <v>0</v>
      </c>
      <c r="AI190">
        <v>3</v>
      </c>
      <c r="AJ190">
        <v>0</v>
      </c>
      <c r="AK190">
        <v>0</v>
      </c>
      <c r="AL190">
        <v>1</v>
      </c>
      <c r="AM190">
        <v>8</v>
      </c>
      <c r="AN190">
        <v>3</v>
      </c>
      <c r="AO190">
        <v>3</v>
      </c>
      <c r="AP190">
        <v>82</v>
      </c>
      <c r="AQ190" s="21" t="e">
        <f t="shared" si="25"/>
        <v>#VALUE!</v>
      </c>
      <c r="AR190" s="12">
        <f t="shared" si="23"/>
        <v>100</v>
      </c>
      <c r="AS190">
        <v>0</v>
      </c>
      <c r="AT190">
        <v>0</v>
      </c>
      <c r="AU190">
        <v>0</v>
      </c>
      <c r="AV190" s="6">
        <v>0</v>
      </c>
      <c r="AW190">
        <v>0</v>
      </c>
      <c r="AX190">
        <v>0</v>
      </c>
      <c r="AY190" s="6">
        <v>0</v>
      </c>
      <c r="AZ190">
        <v>0</v>
      </c>
      <c r="BA190" s="6">
        <v>0</v>
      </c>
      <c r="BB190">
        <v>0</v>
      </c>
      <c r="BC190" s="6">
        <v>0</v>
      </c>
      <c r="BD190">
        <v>0</v>
      </c>
      <c r="BE190" s="6" t="s">
        <v>44</v>
      </c>
      <c r="BF190" s="6" t="s">
        <v>44</v>
      </c>
      <c r="BG190" s="6" t="s">
        <v>44</v>
      </c>
      <c r="BH190" s="6" t="s">
        <v>44</v>
      </c>
      <c r="BI190" s="6" t="s">
        <v>44</v>
      </c>
      <c r="BJ190" s="6" t="s">
        <v>44</v>
      </c>
      <c r="BK190" s="6">
        <v>0</v>
      </c>
      <c r="BL190" s="6">
        <f t="shared" si="24"/>
        <v>0</v>
      </c>
      <c r="BM190" s="6">
        <f t="shared" si="20"/>
        <v>0</v>
      </c>
      <c r="BN190">
        <v>3</v>
      </c>
      <c r="BO190">
        <f t="shared" si="26"/>
        <v>3</v>
      </c>
      <c r="BP190">
        <v>0</v>
      </c>
      <c r="BQ190">
        <f>SUM(BP190,BB190,BK190)</f>
        <v>0</v>
      </c>
      <c r="BR190">
        <f t="shared" si="21"/>
        <v>0</v>
      </c>
    </row>
    <row r="191" spans="1:70" hidden="1">
      <c r="A191" s="16" t="str">
        <f t="shared" si="18"/>
        <v>CMS_2024_NPZ_2_5</v>
      </c>
      <c r="B191" t="s">
        <v>60</v>
      </c>
      <c r="C191">
        <v>40.340800000000002</v>
      </c>
      <c r="D191">
        <v>-124.3633</v>
      </c>
      <c r="E191" s="8">
        <v>45493</v>
      </c>
      <c r="F191">
        <v>2024</v>
      </c>
      <c r="G191" t="s">
        <v>61</v>
      </c>
      <c r="H191" t="s">
        <v>48</v>
      </c>
      <c r="I191">
        <v>2</v>
      </c>
      <c r="J191">
        <v>5</v>
      </c>
      <c r="K191" t="s">
        <v>58</v>
      </c>
      <c r="L191" s="23">
        <v>40</v>
      </c>
      <c r="M191" s="23">
        <v>0</v>
      </c>
      <c r="N191" s="23">
        <v>23</v>
      </c>
      <c r="O191" s="23">
        <f t="shared" si="27"/>
        <v>17</v>
      </c>
      <c r="P191" s="23">
        <v>1</v>
      </c>
      <c r="Q191" s="23">
        <v>0</v>
      </c>
      <c r="R191" s="23">
        <v>0</v>
      </c>
      <c r="S191" s="22">
        <v>0</v>
      </c>
      <c r="T191" s="23">
        <v>0</v>
      </c>
      <c r="U191" s="23">
        <v>0</v>
      </c>
      <c r="V191" s="18">
        <v>3.5</v>
      </c>
      <c r="W191" s="18">
        <v>4.0999999999999996</v>
      </c>
      <c r="X191" s="18">
        <v>6.3</v>
      </c>
      <c r="Y191" s="18">
        <v>4.3</v>
      </c>
      <c r="Z191" s="18">
        <v>4.4000000000000004</v>
      </c>
      <c r="AA191" s="15">
        <v>0</v>
      </c>
      <c r="AB191" s="15">
        <v>0</v>
      </c>
      <c r="AC191" s="15">
        <v>0</v>
      </c>
      <c r="AD191" s="15">
        <v>0</v>
      </c>
      <c r="AE191" s="15">
        <v>1</v>
      </c>
      <c r="AF191" s="11">
        <f t="shared" si="22"/>
        <v>1</v>
      </c>
      <c r="AG191" s="32" t="s">
        <v>44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0.1</v>
      </c>
      <c r="AN191">
        <v>0</v>
      </c>
      <c r="AO191">
        <v>0</v>
      </c>
      <c r="AP191">
        <v>99</v>
      </c>
      <c r="AQ191" s="21" t="e">
        <f t="shared" si="25"/>
        <v>#VALUE!</v>
      </c>
      <c r="AR191" s="12">
        <f t="shared" si="23"/>
        <v>100.1</v>
      </c>
      <c r="AS191">
        <v>0</v>
      </c>
      <c r="AT191">
        <v>0</v>
      </c>
      <c r="AU191">
        <v>0</v>
      </c>
      <c r="AV191" s="6">
        <v>0</v>
      </c>
      <c r="AW191" s="6">
        <v>0</v>
      </c>
      <c r="AX191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 t="s">
        <v>44</v>
      </c>
      <c r="BF191" s="6" t="s">
        <v>44</v>
      </c>
      <c r="BG191" s="6" t="s">
        <v>44</v>
      </c>
      <c r="BH191" s="6" t="s">
        <v>44</v>
      </c>
      <c r="BI191" s="6" t="s">
        <v>44</v>
      </c>
      <c r="BJ191" s="6" t="s">
        <v>44</v>
      </c>
      <c r="BK191" s="6">
        <v>0</v>
      </c>
      <c r="BL191" s="6">
        <f t="shared" si="24"/>
        <v>0</v>
      </c>
      <c r="BM191" s="6">
        <f t="shared" si="20"/>
        <v>0</v>
      </c>
      <c r="BN191">
        <v>0</v>
      </c>
      <c r="BO191">
        <f t="shared" si="26"/>
        <v>0</v>
      </c>
      <c r="BP191">
        <v>0</v>
      </c>
      <c r="BQ191">
        <f>SUM(BP191,BB191,BK191)</f>
        <v>0</v>
      </c>
      <c r="BR191">
        <f t="shared" si="21"/>
        <v>0</v>
      </c>
    </row>
    <row r="192" spans="1:70" hidden="1">
      <c r="A192" s="16" t="str">
        <f t="shared" si="18"/>
        <v>CMN_2024_NPZ_2_1</v>
      </c>
      <c r="B192" t="s">
        <v>62</v>
      </c>
      <c r="C192">
        <v>40.343000000000004</v>
      </c>
      <c r="D192">
        <v>124.36450000000001</v>
      </c>
      <c r="E192" s="8">
        <v>45494</v>
      </c>
      <c r="F192">
        <v>2024</v>
      </c>
      <c r="G192" t="s">
        <v>61</v>
      </c>
      <c r="H192" t="s">
        <v>48</v>
      </c>
      <c r="I192">
        <v>2</v>
      </c>
      <c r="J192">
        <v>1</v>
      </c>
      <c r="K192" t="s">
        <v>58</v>
      </c>
      <c r="L192" s="23">
        <v>38</v>
      </c>
      <c r="M192" s="23">
        <v>36</v>
      </c>
      <c r="N192" s="23">
        <v>0</v>
      </c>
      <c r="O192" s="23">
        <v>2</v>
      </c>
      <c r="P192" s="23">
        <v>6</v>
      </c>
      <c r="Q192" s="23">
        <v>0</v>
      </c>
      <c r="R192" s="23" t="s">
        <v>44</v>
      </c>
      <c r="S192" s="22">
        <v>0</v>
      </c>
      <c r="T192" s="23">
        <v>2</v>
      </c>
      <c r="U192" s="23">
        <v>38</v>
      </c>
      <c r="V192" s="18">
        <v>4.7</v>
      </c>
      <c r="W192" s="18">
        <v>4.4000000000000004</v>
      </c>
      <c r="X192" s="18">
        <v>5.9</v>
      </c>
      <c r="Y192" s="18">
        <v>7.3</v>
      </c>
      <c r="Z192" s="18">
        <v>5.6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1">
        <f t="shared" si="22"/>
        <v>0</v>
      </c>
      <c r="AG192" s="32" t="s">
        <v>44</v>
      </c>
      <c r="AH192">
        <v>0</v>
      </c>
      <c r="AI192">
        <v>0</v>
      </c>
      <c r="AJ192">
        <v>0</v>
      </c>
      <c r="AK192">
        <v>0</v>
      </c>
      <c r="AL192">
        <v>9</v>
      </c>
      <c r="AM192">
        <v>3</v>
      </c>
      <c r="AN192">
        <v>3</v>
      </c>
      <c r="AO192">
        <v>5</v>
      </c>
      <c r="AP192">
        <v>80</v>
      </c>
      <c r="AQ192" s="21" t="e">
        <f t="shared" si="25"/>
        <v>#VALUE!</v>
      </c>
      <c r="AR192" s="12">
        <f t="shared" si="23"/>
        <v>100</v>
      </c>
      <c r="AS192">
        <v>0</v>
      </c>
      <c r="AT192">
        <v>0</v>
      </c>
      <c r="AU192">
        <v>0</v>
      </c>
      <c r="AV192" s="6">
        <v>0</v>
      </c>
      <c r="AW192">
        <v>0</v>
      </c>
      <c r="AX192">
        <v>0</v>
      </c>
      <c r="AY192" s="6">
        <v>0</v>
      </c>
      <c r="AZ192">
        <v>0</v>
      </c>
      <c r="BA192" s="6">
        <v>0</v>
      </c>
      <c r="BB192">
        <v>0</v>
      </c>
      <c r="BC192" s="6">
        <v>0</v>
      </c>
      <c r="BD192">
        <v>0</v>
      </c>
      <c r="BE192" s="6" t="s">
        <v>44</v>
      </c>
      <c r="BF192" s="6" t="s">
        <v>44</v>
      </c>
      <c r="BG192" s="6" t="s">
        <v>44</v>
      </c>
      <c r="BH192" s="6" t="s">
        <v>44</v>
      </c>
      <c r="BI192" s="6" t="s">
        <v>44</v>
      </c>
      <c r="BJ192" s="6" t="s">
        <v>44</v>
      </c>
      <c r="BK192" s="6">
        <v>0</v>
      </c>
      <c r="BL192" s="6">
        <f t="shared" si="24"/>
        <v>0</v>
      </c>
      <c r="BM192" s="6">
        <f t="shared" si="20"/>
        <v>0</v>
      </c>
      <c r="BN192">
        <v>0</v>
      </c>
      <c r="BO192">
        <f t="shared" si="26"/>
        <v>0</v>
      </c>
      <c r="BP192">
        <v>0</v>
      </c>
      <c r="BQ192">
        <f>SUM(BP192,BB192,BK192)</f>
        <v>0</v>
      </c>
      <c r="BR192">
        <f t="shared" si="21"/>
        <v>0</v>
      </c>
    </row>
    <row r="193" spans="1:70" hidden="1">
      <c r="A193" s="16" t="str">
        <f t="shared" si="18"/>
        <v>CMN_2024_NPZ_2_2</v>
      </c>
      <c r="B193" t="s">
        <v>62</v>
      </c>
      <c r="C193">
        <v>40.343000000000004</v>
      </c>
      <c r="D193">
        <v>124.36450000000001</v>
      </c>
      <c r="E193" s="8">
        <v>41841</v>
      </c>
      <c r="F193">
        <v>2024</v>
      </c>
      <c r="G193" t="s">
        <v>61</v>
      </c>
      <c r="H193" t="s">
        <v>48</v>
      </c>
      <c r="I193">
        <v>2</v>
      </c>
      <c r="J193">
        <v>2</v>
      </c>
      <c r="K193" t="s">
        <v>58</v>
      </c>
      <c r="L193" s="23">
        <v>20</v>
      </c>
      <c r="M193" s="23">
        <v>12</v>
      </c>
      <c r="N193" s="23">
        <v>0</v>
      </c>
      <c r="O193" s="23">
        <v>8</v>
      </c>
      <c r="P193" s="23">
        <v>11</v>
      </c>
      <c r="Q193" s="23">
        <v>0</v>
      </c>
      <c r="R193" s="23" t="s">
        <v>44</v>
      </c>
      <c r="S193" s="22">
        <v>0</v>
      </c>
      <c r="T193" s="23">
        <v>1</v>
      </c>
      <c r="U193" s="23">
        <v>13</v>
      </c>
      <c r="V193" s="18">
        <v>5.6</v>
      </c>
      <c r="W193" s="18">
        <v>4.2</v>
      </c>
      <c r="X193" s="18">
        <v>3.4</v>
      </c>
      <c r="Y193" s="18">
        <v>5.2</v>
      </c>
      <c r="Z193" s="18">
        <v>4.5</v>
      </c>
      <c r="AA193" s="15">
        <v>2</v>
      </c>
      <c r="AB193" s="15">
        <v>0</v>
      </c>
      <c r="AC193" s="15">
        <v>0</v>
      </c>
      <c r="AD193" s="15">
        <v>0</v>
      </c>
      <c r="AE193" s="15">
        <v>0</v>
      </c>
      <c r="AF193" s="11">
        <f t="shared" si="22"/>
        <v>2</v>
      </c>
      <c r="AG193" s="32" t="s">
        <v>44</v>
      </c>
      <c r="AH193">
        <v>0</v>
      </c>
      <c r="AI193">
        <v>26</v>
      </c>
      <c r="AJ193">
        <v>0</v>
      </c>
      <c r="AK193">
        <v>0</v>
      </c>
      <c r="AL193">
        <v>11</v>
      </c>
      <c r="AM193">
        <v>7</v>
      </c>
      <c r="AN193">
        <v>4</v>
      </c>
      <c r="AO193">
        <v>6</v>
      </c>
      <c r="AP193">
        <v>46</v>
      </c>
      <c r="AQ193" s="21" t="e">
        <f t="shared" si="25"/>
        <v>#VALUE!</v>
      </c>
      <c r="AR193" s="12">
        <f t="shared" si="23"/>
        <v>100</v>
      </c>
      <c r="AS193">
        <v>0</v>
      </c>
      <c r="AT193">
        <v>0</v>
      </c>
      <c r="AU193">
        <v>0</v>
      </c>
      <c r="AV193" s="6">
        <v>0</v>
      </c>
      <c r="AW193">
        <v>0</v>
      </c>
      <c r="AX193">
        <v>8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 t="s">
        <v>44</v>
      </c>
      <c r="BF193" s="6" t="s">
        <v>44</v>
      </c>
      <c r="BG193" s="6" t="s">
        <v>44</v>
      </c>
      <c r="BH193" s="6" t="s">
        <v>44</v>
      </c>
      <c r="BI193" s="6" t="s">
        <v>44</v>
      </c>
      <c r="BJ193" s="6" t="s">
        <v>44</v>
      </c>
      <c r="BK193" s="6">
        <v>0</v>
      </c>
      <c r="BL193" s="6">
        <f t="shared" si="24"/>
        <v>8</v>
      </c>
      <c r="BM193" s="6">
        <f t="shared" si="20"/>
        <v>8</v>
      </c>
      <c r="BN193">
        <v>26</v>
      </c>
      <c r="BO193">
        <f t="shared" si="26"/>
        <v>26</v>
      </c>
      <c r="BP193">
        <v>0</v>
      </c>
      <c r="BQ193">
        <f>SUM(BP193,BB193,BK193)</f>
        <v>0</v>
      </c>
      <c r="BR193">
        <f t="shared" si="21"/>
        <v>0</v>
      </c>
    </row>
    <row r="194" spans="1:70" hidden="1">
      <c r="A194" s="16" t="str">
        <f t="shared" ref="A194:A257" si="28">_xlfn.CONCAT(B194,"_",F194, "_",H194, "_",I194,"_",J194)</f>
        <v>CMN_2024_NPZ_2_3</v>
      </c>
      <c r="B194" t="s">
        <v>62</v>
      </c>
      <c r="C194">
        <v>40.343000000000004</v>
      </c>
      <c r="D194">
        <v>124.36450000000001</v>
      </c>
      <c r="E194" s="8">
        <v>45494</v>
      </c>
      <c r="F194">
        <v>2024</v>
      </c>
      <c r="G194" t="s">
        <v>61</v>
      </c>
      <c r="H194" t="s">
        <v>48</v>
      </c>
      <c r="I194">
        <v>2</v>
      </c>
      <c r="J194">
        <v>3</v>
      </c>
      <c r="K194" t="s">
        <v>47</v>
      </c>
      <c r="L194" s="23">
        <v>30</v>
      </c>
      <c r="M194" s="23">
        <v>15</v>
      </c>
      <c r="N194" s="23">
        <v>0</v>
      </c>
      <c r="O194" s="23">
        <v>15</v>
      </c>
      <c r="P194" s="23">
        <v>8</v>
      </c>
      <c r="Q194" s="23">
        <v>0</v>
      </c>
      <c r="R194" s="23" t="s">
        <v>44</v>
      </c>
      <c r="S194" s="22">
        <v>0</v>
      </c>
      <c r="T194" s="23">
        <v>2</v>
      </c>
      <c r="U194" s="23">
        <v>17</v>
      </c>
      <c r="V194" s="18">
        <v>5</v>
      </c>
      <c r="W194" s="18">
        <v>5.3</v>
      </c>
      <c r="X194" s="18">
        <v>5.7</v>
      </c>
      <c r="Y194" s="18">
        <v>4.9000000000000004</v>
      </c>
      <c r="Z194" s="18">
        <v>3.7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1">
        <f t="shared" si="22"/>
        <v>1</v>
      </c>
      <c r="AG194" s="32" t="s">
        <v>44</v>
      </c>
      <c r="AH194">
        <v>0</v>
      </c>
      <c r="AI194">
        <v>20</v>
      </c>
      <c r="AJ194">
        <v>0</v>
      </c>
      <c r="AK194">
        <v>0</v>
      </c>
      <c r="AL194">
        <v>6</v>
      </c>
      <c r="AM194">
        <v>0</v>
      </c>
      <c r="AN194">
        <v>1</v>
      </c>
      <c r="AO194">
        <v>0.1</v>
      </c>
      <c r="AP194">
        <v>73</v>
      </c>
      <c r="AQ194" s="21" t="e">
        <f t="shared" si="25"/>
        <v>#VALUE!</v>
      </c>
      <c r="AR194" s="12">
        <f t="shared" si="23"/>
        <v>100.1</v>
      </c>
      <c r="AS194">
        <v>0</v>
      </c>
      <c r="AT194">
        <v>0</v>
      </c>
      <c r="AU194">
        <v>0</v>
      </c>
      <c r="AV194" s="6">
        <v>0</v>
      </c>
      <c r="AW194">
        <v>0</v>
      </c>
      <c r="AX194">
        <v>0</v>
      </c>
      <c r="AY194" s="6">
        <v>0</v>
      </c>
      <c r="AZ194">
        <v>0</v>
      </c>
      <c r="BA194" s="6">
        <v>0</v>
      </c>
      <c r="BB194">
        <v>0</v>
      </c>
      <c r="BC194" s="6">
        <v>0</v>
      </c>
      <c r="BD194">
        <v>0</v>
      </c>
      <c r="BE194" s="6" t="s">
        <v>44</v>
      </c>
      <c r="BF194" s="6" t="s">
        <v>44</v>
      </c>
      <c r="BG194" s="6" t="s">
        <v>44</v>
      </c>
      <c r="BH194" s="6" t="s">
        <v>44</v>
      </c>
      <c r="BI194" s="6" t="s">
        <v>44</v>
      </c>
      <c r="BJ194" s="6" t="s">
        <v>44</v>
      </c>
      <c r="BK194" s="6">
        <v>0</v>
      </c>
      <c r="BL194" s="6">
        <f t="shared" si="24"/>
        <v>0</v>
      </c>
      <c r="BM194" s="6">
        <f t="shared" ref="BM194:BM257" si="29">SUM(AS194:BJ194)</f>
        <v>0</v>
      </c>
      <c r="BN194">
        <v>20</v>
      </c>
      <c r="BO194">
        <f t="shared" si="26"/>
        <v>20</v>
      </c>
      <c r="BP194">
        <v>0</v>
      </c>
      <c r="BQ194">
        <f>SUM(BP194,BB194,BK194)</f>
        <v>0</v>
      </c>
      <c r="BR194">
        <f t="shared" ref="BR194:BR250" si="30">BQ194-BP194</f>
        <v>0</v>
      </c>
    </row>
    <row r="195" spans="1:70" hidden="1">
      <c r="A195" s="16" t="str">
        <f t="shared" si="28"/>
        <v>CMN_2024_NPZ_2_4</v>
      </c>
      <c r="B195" t="s">
        <v>62</v>
      </c>
      <c r="C195">
        <v>40.343000000000004</v>
      </c>
      <c r="D195">
        <v>124.36450000000001</v>
      </c>
      <c r="E195" s="8">
        <v>41841</v>
      </c>
      <c r="F195">
        <v>2024</v>
      </c>
      <c r="G195" t="s">
        <v>61</v>
      </c>
      <c r="H195" t="s">
        <v>48</v>
      </c>
      <c r="I195">
        <v>2</v>
      </c>
      <c r="J195">
        <v>4</v>
      </c>
      <c r="K195" t="s">
        <v>56</v>
      </c>
      <c r="L195" s="23">
        <v>22</v>
      </c>
      <c r="M195" s="23">
        <v>3</v>
      </c>
      <c r="N195" s="23">
        <v>0</v>
      </c>
      <c r="O195" s="23">
        <v>19</v>
      </c>
      <c r="P195" s="23">
        <v>0</v>
      </c>
      <c r="Q195" s="23">
        <v>0</v>
      </c>
      <c r="R195" s="23" t="s">
        <v>44</v>
      </c>
      <c r="S195" s="22">
        <v>0</v>
      </c>
      <c r="T195" s="23">
        <v>0</v>
      </c>
      <c r="U195" s="23">
        <v>3</v>
      </c>
      <c r="V195" s="18">
        <v>8.1</v>
      </c>
      <c r="W195" s="18">
        <v>5.8</v>
      </c>
      <c r="X195" s="18">
        <v>5</v>
      </c>
      <c r="Y195" s="18">
        <v>5.3</v>
      </c>
      <c r="Z195" s="18">
        <v>5.4</v>
      </c>
      <c r="AA195" s="15">
        <v>0</v>
      </c>
      <c r="AB195" s="15">
        <v>1</v>
      </c>
      <c r="AC195" s="15">
        <v>0</v>
      </c>
      <c r="AD195" s="15">
        <v>0</v>
      </c>
      <c r="AE195" s="15">
        <v>0</v>
      </c>
      <c r="AF195" s="11">
        <f>SUM(AA195:AE195)</f>
        <v>1</v>
      </c>
      <c r="AG195" s="32" t="s">
        <v>44</v>
      </c>
      <c r="AH195">
        <v>0</v>
      </c>
      <c r="AI195">
        <v>14</v>
      </c>
      <c r="AJ195">
        <v>0</v>
      </c>
      <c r="AK195">
        <v>0</v>
      </c>
      <c r="AL195">
        <v>7</v>
      </c>
      <c r="AM195">
        <v>0</v>
      </c>
      <c r="AN195">
        <v>3</v>
      </c>
      <c r="AO195">
        <v>8</v>
      </c>
      <c r="AP195">
        <v>68</v>
      </c>
      <c r="AQ195" s="21" t="e">
        <f t="shared" si="25"/>
        <v>#VALUE!</v>
      </c>
      <c r="AR195" s="12">
        <f t="shared" ref="AR195:AR258" si="31">SUM(AH195:AP195)</f>
        <v>100</v>
      </c>
      <c r="AS195">
        <v>0</v>
      </c>
      <c r="AT195">
        <v>0</v>
      </c>
      <c r="AU195">
        <v>0</v>
      </c>
      <c r="AV195" s="6">
        <v>0</v>
      </c>
      <c r="AW195">
        <v>0</v>
      </c>
      <c r="AX195">
        <v>7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 t="s">
        <v>44</v>
      </c>
      <c r="BF195" s="6" t="s">
        <v>44</v>
      </c>
      <c r="BG195" s="6" t="s">
        <v>44</v>
      </c>
      <c r="BH195" s="6" t="s">
        <v>44</v>
      </c>
      <c r="BI195" s="6" t="s">
        <v>44</v>
      </c>
      <c r="BJ195" s="6" t="s">
        <v>44</v>
      </c>
      <c r="BK195" s="6">
        <v>0</v>
      </c>
      <c r="BL195" s="6">
        <f t="shared" ref="BL195:BL258" si="32">SUM(AS195:AT195,AV195:AW195,AX195:BA195,BC195:BF195,BJ195)</f>
        <v>7</v>
      </c>
      <c r="BM195" s="6">
        <f t="shared" si="29"/>
        <v>7</v>
      </c>
      <c r="BN195">
        <v>14</v>
      </c>
      <c r="BO195">
        <f t="shared" si="26"/>
        <v>14</v>
      </c>
      <c r="BP195">
        <v>0</v>
      </c>
      <c r="BQ195">
        <f>SUM(BP195,BB195,BK195)</f>
        <v>0</v>
      </c>
      <c r="BR195">
        <f t="shared" si="30"/>
        <v>0</v>
      </c>
    </row>
    <row r="196" spans="1:70" hidden="1">
      <c r="A196" s="16" t="str">
        <f t="shared" si="28"/>
        <v>CMN_2024_NPZ_2_5</v>
      </c>
      <c r="B196" t="s">
        <v>62</v>
      </c>
      <c r="C196">
        <v>40.343000000000004</v>
      </c>
      <c r="D196">
        <v>124.36450000000001</v>
      </c>
      <c r="E196" s="8">
        <v>45494</v>
      </c>
      <c r="F196">
        <v>2024</v>
      </c>
      <c r="G196" t="s">
        <v>61</v>
      </c>
      <c r="H196" t="s">
        <v>48</v>
      </c>
      <c r="I196">
        <v>2</v>
      </c>
      <c r="J196">
        <v>5</v>
      </c>
      <c r="K196" t="s">
        <v>56</v>
      </c>
      <c r="L196" s="23">
        <v>47</v>
      </c>
      <c r="M196" s="23">
        <v>0</v>
      </c>
      <c r="N196" s="23">
        <v>0</v>
      </c>
      <c r="O196" s="23">
        <v>47</v>
      </c>
      <c r="P196" s="23">
        <v>9</v>
      </c>
      <c r="Q196" s="23">
        <v>0</v>
      </c>
      <c r="R196" s="23" t="s">
        <v>44</v>
      </c>
      <c r="S196" s="22">
        <v>0</v>
      </c>
      <c r="T196" s="23">
        <v>0</v>
      </c>
      <c r="U196" s="23">
        <v>0</v>
      </c>
      <c r="V196" s="18">
        <v>6.2</v>
      </c>
      <c r="W196" s="18">
        <v>4.7</v>
      </c>
      <c r="X196" s="18">
        <v>6.1</v>
      </c>
      <c r="Y196" s="18">
        <v>5.5</v>
      </c>
      <c r="Z196" s="18">
        <v>3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1">
        <f>SUM(AA196:AE196)</f>
        <v>0</v>
      </c>
      <c r="AG196" s="32" t="s">
        <v>44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0.1</v>
      </c>
      <c r="AN196">
        <v>4</v>
      </c>
      <c r="AO196">
        <v>32</v>
      </c>
      <c r="AP196">
        <v>63</v>
      </c>
      <c r="AQ196" s="21" t="e">
        <f t="shared" si="25"/>
        <v>#VALUE!</v>
      </c>
      <c r="AR196" s="12">
        <f t="shared" si="31"/>
        <v>100.1</v>
      </c>
      <c r="AS196">
        <v>0</v>
      </c>
      <c r="AT196">
        <v>0</v>
      </c>
      <c r="AU196">
        <v>0</v>
      </c>
      <c r="AV196" s="6">
        <v>0</v>
      </c>
      <c r="AW196">
        <v>0</v>
      </c>
      <c r="AX196">
        <v>0</v>
      </c>
      <c r="AY196" s="6">
        <v>0</v>
      </c>
      <c r="AZ196">
        <v>0</v>
      </c>
      <c r="BA196" s="6">
        <v>0</v>
      </c>
      <c r="BB196">
        <v>0</v>
      </c>
      <c r="BC196" s="6">
        <v>0</v>
      </c>
      <c r="BD196">
        <v>0</v>
      </c>
      <c r="BE196" s="6" t="s">
        <v>44</v>
      </c>
      <c r="BF196" s="6" t="s">
        <v>44</v>
      </c>
      <c r="BG196" s="6" t="s">
        <v>44</v>
      </c>
      <c r="BH196" s="6" t="s">
        <v>44</v>
      </c>
      <c r="BI196" s="6" t="s">
        <v>44</v>
      </c>
      <c r="BJ196" s="6" t="s">
        <v>44</v>
      </c>
      <c r="BK196" s="6">
        <v>0</v>
      </c>
      <c r="BL196" s="6">
        <f t="shared" si="32"/>
        <v>0</v>
      </c>
      <c r="BM196" s="6">
        <f t="shared" si="29"/>
        <v>0</v>
      </c>
      <c r="BN196">
        <v>0</v>
      </c>
      <c r="BO196">
        <f t="shared" si="26"/>
        <v>0</v>
      </c>
      <c r="BP196">
        <v>0</v>
      </c>
      <c r="BQ196">
        <f>SUM(BP196,BB196,BK196)</f>
        <v>0</v>
      </c>
      <c r="BR196">
        <f t="shared" si="30"/>
        <v>0</v>
      </c>
    </row>
    <row r="197" spans="1:70" hidden="1">
      <c r="A197" s="16" t="str">
        <f t="shared" si="28"/>
        <v>CMN_2024_AZ_2_1</v>
      </c>
      <c r="B197" t="s">
        <v>62</v>
      </c>
      <c r="C197">
        <v>40.343000000000004</v>
      </c>
      <c r="D197">
        <v>124.36450000000001</v>
      </c>
      <c r="E197" s="8">
        <v>41841</v>
      </c>
      <c r="F197">
        <v>2024</v>
      </c>
      <c r="G197" t="s">
        <v>61</v>
      </c>
      <c r="H197" t="s">
        <v>42</v>
      </c>
      <c r="I197">
        <v>2</v>
      </c>
      <c r="J197">
        <v>1</v>
      </c>
      <c r="K197" t="s">
        <v>43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 t="s">
        <v>44</v>
      </c>
      <c r="S197" s="22">
        <v>0</v>
      </c>
      <c r="T197" s="23">
        <v>1</v>
      </c>
      <c r="U197" s="23">
        <v>1</v>
      </c>
      <c r="V197" s="18" t="s">
        <v>44</v>
      </c>
      <c r="W197" s="18" t="s">
        <v>44</v>
      </c>
      <c r="X197" s="18" t="s">
        <v>44</v>
      </c>
      <c r="Y197" s="18" t="s">
        <v>44</v>
      </c>
      <c r="Z197" s="18" t="s">
        <v>44</v>
      </c>
      <c r="AA197" s="11" t="s">
        <v>44</v>
      </c>
      <c r="AB197" s="11" t="s">
        <v>44</v>
      </c>
      <c r="AC197" s="11" t="s">
        <v>44</v>
      </c>
      <c r="AD197" s="11" t="s">
        <v>44</v>
      </c>
      <c r="AE197" s="11" t="s">
        <v>44</v>
      </c>
      <c r="AF197" s="11" t="s">
        <v>44</v>
      </c>
      <c r="AG197" s="32">
        <v>0</v>
      </c>
      <c r="AH197">
        <v>0</v>
      </c>
      <c r="AI197">
        <v>94</v>
      </c>
      <c r="AJ197">
        <v>1</v>
      </c>
      <c r="AK197">
        <v>0</v>
      </c>
      <c r="AL197">
        <v>0</v>
      </c>
      <c r="AM197">
        <v>0.1</v>
      </c>
      <c r="AN197">
        <v>2</v>
      </c>
      <c r="AO197">
        <v>0</v>
      </c>
      <c r="AP197">
        <v>3</v>
      </c>
      <c r="AQ197" s="21">
        <f t="shared" si="25"/>
        <v>3</v>
      </c>
      <c r="AR197" s="12">
        <f t="shared" si="31"/>
        <v>100.1</v>
      </c>
      <c r="AS197">
        <v>0</v>
      </c>
      <c r="AT197">
        <v>0</v>
      </c>
      <c r="AU197">
        <v>26</v>
      </c>
      <c r="AV197" s="6">
        <v>0</v>
      </c>
      <c r="AW197">
        <v>0</v>
      </c>
      <c r="AX197">
        <v>6</v>
      </c>
      <c r="AY197" s="6">
        <v>0</v>
      </c>
      <c r="AZ197" s="6">
        <v>0</v>
      </c>
      <c r="BA197" s="6">
        <v>0</v>
      </c>
      <c r="BB197">
        <v>1</v>
      </c>
      <c r="BC197" s="6">
        <v>0</v>
      </c>
      <c r="BD197">
        <v>19</v>
      </c>
      <c r="BE197" s="6" t="s">
        <v>44</v>
      </c>
      <c r="BF197" s="6" t="s">
        <v>44</v>
      </c>
      <c r="BG197" s="6" t="s">
        <v>44</v>
      </c>
      <c r="BH197" s="6" t="s">
        <v>44</v>
      </c>
      <c r="BI197" s="6" t="s">
        <v>44</v>
      </c>
      <c r="BJ197" s="6" t="s">
        <v>44</v>
      </c>
      <c r="BK197" s="6">
        <v>0</v>
      </c>
      <c r="BL197" s="6">
        <f t="shared" si="32"/>
        <v>25</v>
      </c>
      <c r="BM197" s="6">
        <f t="shared" si="29"/>
        <v>52</v>
      </c>
    </row>
    <row r="198" spans="1:70" hidden="1">
      <c r="A198" s="16" t="str">
        <f t="shared" si="28"/>
        <v>CMN_2024_AZ_2_2</v>
      </c>
      <c r="B198" t="s">
        <v>62</v>
      </c>
      <c r="C198">
        <v>40.343000000000004</v>
      </c>
      <c r="D198">
        <v>124.36450000000001</v>
      </c>
      <c r="E198" s="8">
        <v>45494</v>
      </c>
      <c r="F198">
        <v>2024</v>
      </c>
      <c r="G198" t="s">
        <v>61</v>
      </c>
      <c r="H198" t="s">
        <v>42</v>
      </c>
      <c r="I198">
        <v>2</v>
      </c>
      <c r="J198">
        <v>2</v>
      </c>
      <c r="K198" t="s">
        <v>43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 t="s">
        <v>44</v>
      </c>
      <c r="S198" s="22">
        <v>0</v>
      </c>
      <c r="T198" s="23">
        <v>4</v>
      </c>
      <c r="U198" s="23">
        <v>4</v>
      </c>
      <c r="V198" s="18" t="s">
        <v>44</v>
      </c>
      <c r="W198" s="18" t="s">
        <v>44</v>
      </c>
      <c r="X198" s="18" t="s">
        <v>44</v>
      </c>
      <c r="Y198" s="18" t="s">
        <v>44</v>
      </c>
      <c r="Z198" s="18" t="s">
        <v>44</v>
      </c>
      <c r="AA198" s="11" t="s">
        <v>44</v>
      </c>
      <c r="AB198" s="11" t="s">
        <v>44</v>
      </c>
      <c r="AC198" s="11" t="s">
        <v>44</v>
      </c>
      <c r="AD198" s="11" t="s">
        <v>44</v>
      </c>
      <c r="AE198" s="11" t="s">
        <v>44</v>
      </c>
      <c r="AF198" s="11" t="s">
        <v>44</v>
      </c>
      <c r="AG198" s="32">
        <v>0</v>
      </c>
      <c r="AH198">
        <v>0</v>
      </c>
      <c r="AI198">
        <v>94</v>
      </c>
      <c r="AJ198">
        <v>2</v>
      </c>
      <c r="AK198">
        <v>0</v>
      </c>
      <c r="AL198">
        <v>0.1</v>
      </c>
      <c r="AM198">
        <v>0.1</v>
      </c>
      <c r="AN198">
        <v>0.1</v>
      </c>
      <c r="AO198">
        <v>0</v>
      </c>
      <c r="AP198">
        <v>4</v>
      </c>
      <c r="AQ198" s="21">
        <f t="shared" si="25"/>
        <v>4</v>
      </c>
      <c r="AR198" s="12">
        <f t="shared" si="31"/>
        <v>100.29999999999998</v>
      </c>
      <c r="AS198">
        <v>0</v>
      </c>
      <c r="AT198">
        <v>0</v>
      </c>
      <c r="AU198">
        <v>9</v>
      </c>
      <c r="AV198" s="6">
        <v>0</v>
      </c>
      <c r="AW198">
        <v>0</v>
      </c>
      <c r="AX198">
        <v>15</v>
      </c>
      <c r="AY198" s="6">
        <v>0</v>
      </c>
      <c r="AZ198">
        <v>0</v>
      </c>
      <c r="BA198" s="6">
        <v>0</v>
      </c>
      <c r="BB198">
        <v>2</v>
      </c>
      <c r="BC198" s="6">
        <v>0</v>
      </c>
      <c r="BD198">
        <v>2</v>
      </c>
      <c r="BE198" s="6" t="s">
        <v>44</v>
      </c>
      <c r="BF198" s="6" t="s">
        <v>44</v>
      </c>
      <c r="BG198" s="6" t="s">
        <v>44</v>
      </c>
      <c r="BH198" s="6" t="s">
        <v>44</v>
      </c>
      <c r="BI198" s="6" t="s">
        <v>44</v>
      </c>
      <c r="BJ198" s="6" t="s">
        <v>44</v>
      </c>
      <c r="BK198" s="6">
        <v>0</v>
      </c>
      <c r="BL198" s="6">
        <f t="shared" si="32"/>
        <v>17</v>
      </c>
      <c r="BM198" s="6">
        <f t="shared" si="29"/>
        <v>28</v>
      </c>
    </row>
    <row r="199" spans="1:70" hidden="1">
      <c r="A199" s="16" t="str">
        <f t="shared" si="28"/>
        <v>CMN_2024_AZ_2_3</v>
      </c>
      <c r="B199" t="s">
        <v>62</v>
      </c>
      <c r="C199">
        <v>40.343000000000004</v>
      </c>
      <c r="D199">
        <v>124.36450000000001</v>
      </c>
      <c r="E199" s="8">
        <v>41841</v>
      </c>
      <c r="F199">
        <v>2024</v>
      </c>
      <c r="G199" t="s">
        <v>61</v>
      </c>
      <c r="H199" t="s">
        <v>42</v>
      </c>
      <c r="I199">
        <v>2</v>
      </c>
      <c r="J199">
        <v>3</v>
      </c>
      <c r="K199" t="s">
        <v>43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 t="s">
        <v>44</v>
      </c>
      <c r="S199" s="22">
        <v>0</v>
      </c>
      <c r="T199" s="23">
        <v>5</v>
      </c>
      <c r="U199" s="23">
        <v>5</v>
      </c>
      <c r="V199" s="18" t="s">
        <v>44</v>
      </c>
      <c r="W199" s="18" t="s">
        <v>44</v>
      </c>
      <c r="X199" s="18" t="s">
        <v>44</v>
      </c>
      <c r="Y199" s="18" t="s">
        <v>44</v>
      </c>
      <c r="Z199" s="18" t="s">
        <v>44</v>
      </c>
      <c r="AA199" s="11" t="s">
        <v>44</v>
      </c>
      <c r="AB199" s="11" t="s">
        <v>44</v>
      </c>
      <c r="AC199" s="11" t="s">
        <v>44</v>
      </c>
      <c r="AD199" s="11" t="s">
        <v>44</v>
      </c>
      <c r="AE199" s="11" t="s">
        <v>44</v>
      </c>
      <c r="AF199" s="11" t="s">
        <v>44</v>
      </c>
      <c r="AG199" s="32">
        <v>0</v>
      </c>
      <c r="AH199">
        <v>0</v>
      </c>
      <c r="AI199">
        <v>70</v>
      </c>
      <c r="AJ199">
        <v>22</v>
      </c>
      <c r="AK199">
        <v>0</v>
      </c>
      <c r="AL199">
        <v>0</v>
      </c>
      <c r="AM199">
        <v>1</v>
      </c>
      <c r="AN199">
        <v>4</v>
      </c>
      <c r="AO199">
        <v>0</v>
      </c>
      <c r="AP199">
        <v>3</v>
      </c>
      <c r="AQ199" s="21">
        <f t="shared" si="25"/>
        <v>3</v>
      </c>
      <c r="AR199" s="12">
        <f t="shared" si="31"/>
        <v>100</v>
      </c>
      <c r="AS199">
        <v>0</v>
      </c>
      <c r="AT199">
        <v>0</v>
      </c>
      <c r="AU199">
        <v>16</v>
      </c>
      <c r="AV199" s="6">
        <v>0</v>
      </c>
      <c r="AW199">
        <v>0</v>
      </c>
      <c r="AX199">
        <v>6</v>
      </c>
      <c r="AY199" s="6">
        <v>0</v>
      </c>
      <c r="AZ199" s="6">
        <v>0</v>
      </c>
      <c r="BA199" s="6">
        <v>0</v>
      </c>
      <c r="BB199">
        <v>23</v>
      </c>
      <c r="BC199" s="6">
        <v>0</v>
      </c>
      <c r="BD199" s="6">
        <v>0</v>
      </c>
      <c r="BE199" s="6" t="s">
        <v>44</v>
      </c>
      <c r="BF199" s="6" t="s">
        <v>44</v>
      </c>
      <c r="BG199" s="6" t="s">
        <v>44</v>
      </c>
      <c r="BH199" s="6" t="s">
        <v>44</v>
      </c>
      <c r="BI199" s="6" t="s">
        <v>44</v>
      </c>
      <c r="BJ199" s="6" t="s">
        <v>44</v>
      </c>
      <c r="BK199" s="6">
        <v>0</v>
      </c>
      <c r="BL199" s="6">
        <f t="shared" si="32"/>
        <v>6</v>
      </c>
      <c r="BM199" s="6">
        <f t="shared" si="29"/>
        <v>45</v>
      </c>
    </row>
    <row r="200" spans="1:70" hidden="1">
      <c r="A200" s="16" t="str">
        <f t="shared" si="28"/>
        <v>CMN_2024_AZ_2_4</v>
      </c>
      <c r="B200" t="s">
        <v>62</v>
      </c>
      <c r="C200">
        <v>40.343000000000004</v>
      </c>
      <c r="D200">
        <v>124.36450000000001</v>
      </c>
      <c r="E200" s="8">
        <v>45494</v>
      </c>
      <c r="F200">
        <v>2024</v>
      </c>
      <c r="G200" t="s">
        <v>61</v>
      </c>
      <c r="H200" t="s">
        <v>42</v>
      </c>
      <c r="I200">
        <v>2</v>
      </c>
      <c r="J200">
        <v>4</v>
      </c>
      <c r="K200" t="s">
        <v>43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 t="s">
        <v>44</v>
      </c>
      <c r="S200" s="22">
        <v>0</v>
      </c>
      <c r="T200" s="23">
        <v>1</v>
      </c>
      <c r="U200" s="23">
        <v>1</v>
      </c>
      <c r="V200" s="18" t="s">
        <v>44</v>
      </c>
      <c r="W200" s="18" t="s">
        <v>44</v>
      </c>
      <c r="X200" s="18" t="s">
        <v>44</v>
      </c>
      <c r="Y200" s="18" t="s">
        <v>44</v>
      </c>
      <c r="Z200" s="18" t="s">
        <v>44</v>
      </c>
      <c r="AA200" s="11" t="s">
        <v>44</v>
      </c>
      <c r="AB200" s="11" t="s">
        <v>44</v>
      </c>
      <c r="AC200" s="11" t="s">
        <v>44</v>
      </c>
      <c r="AD200" s="11" t="s">
        <v>44</v>
      </c>
      <c r="AE200" s="11" t="s">
        <v>44</v>
      </c>
      <c r="AF200" s="11" t="s">
        <v>44</v>
      </c>
      <c r="AG200" s="32">
        <v>0</v>
      </c>
      <c r="AH200">
        <v>0</v>
      </c>
      <c r="AI200">
        <v>79</v>
      </c>
      <c r="AJ200">
        <v>4</v>
      </c>
      <c r="AK200">
        <v>0</v>
      </c>
      <c r="AL200">
        <v>2</v>
      </c>
      <c r="AM200">
        <v>2</v>
      </c>
      <c r="AN200">
        <v>5</v>
      </c>
      <c r="AO200">
        <v>4</v>
      </c>
      <c r="AP200">
        <v>4</v>
      </c>
      <c r="AQ200" s="21">
        <f t="shared" si="25"/>
        <v>4</v>
      </c>
      <c r="AR200" s="12">
        <f t="shared" si="31"/>
        <v>100</v>
      </c>
      <c r="AS200">
        <v>0</v>
      </c>
      <c r="AT200">
        <v>0</v>
      </c>
      <c r="AU200">
        <v>6</v>
      </c>
      <c r="AV200" s="6">
        <v>0</v>
      </c>
      <c r="AW200">
        <v>0</v>
      </c>
      <c r="AX200">
        <v>64</v>
      </c>
      <c r="AY200" s="6">
        <v>0</v>
      </c>
      <c r="AZ200">
        <v>0</v>
      </c>
      <c r="BA200" s="6">
        <v>0</v>
      </c>
      <c r="BB200">
        <v>4</v>
      </c>
      <c r="BC200" s="6">
        <v>0</v>
      </c>
      <c r="BD200">
        <v>5</v>
      </c>
      <c r="BE200" s="6" t="s">
        <v>44</v>
      </c>
      <c r="BF200" s="6" t="s">
        <v>44</v>
      </c>
      <c r="BG200" s="6" t="s">
        <v>44</v>
      </c>
      <c r="BH200" s="6" t="s">
        <v>44</v>
      </c>
      <c r="BI200" s="6" t="s">
        <v>44</v>
      </c>
      <c r="BJ200" s="6" t="s">
        <v>44</v>
      </c>
      <c r="BK200" s="6">
        <v>0</v>
      </c>
      <c r="BL200" s="6">
        <f t="shared" si="32"/>
        <v>69</v>
      </c>
      <c r="BM200" s="6">
        <f t="shared" si="29"/>
        <v>79</v>
      </c>
    </row>
    <row r="201" spans="1:70" hidden="1">
      <c r="A201" s="16" t="str">
        <f t="shared" si="28"/>
        <v>CMN_2024_AZ_2_5</v>
      </c>
      <c r="B201" t="s">
        <v>62</v>
      </c>
      <c r="C201">
        <v>40.343000000000004</v>
      </c>
      <c r="D201">
        <v>124.36450000000001</v>
      </c>
      <c r="E201" s="8">
        <v>41841</v>
      </c>
      <c r="F201">
        <v>2024</v>
      </c>
      <c r="G201" t="s">
        <v>61</v>
      </c>
      <c r="H201" t="s">
        <v>42</v>
      </c>
      <c r="I201">
        <v>2</v>
      </c>
      <c r="J201">
        <v>5</v>
      </c>
      <c r="K201" t="s">
        <v>43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 t="s">
        <v>44</v>
      </c>
      <c r="S201" s="22">
        <v>0</v>
      </c>
      <c r="T201" s="23">
        <v>0</v>
      </c>
      <c r="U201" s="23">
        <v>0</v>
      </c>
      <c r="V201" s="18" t="s">
        <v>44</v>
      </c>
      <c r="W201" s="18" t="s">
        <v>44</v>
      </c>
      <c r="X201" s="18" t="s">
        <v>44</v>
      </c>
      <c r="Y201" s="18" t="s">
        <v>44</v>
      </c>
      <c r="Z201" s="18" t="s">
        <v>44</v>
      </c>
      <c r="AA201" s="11" t="s">
        <v>44</v>
      </c>
      <c r="AB201" s="11" t="s">
        <v>44</v>
      </c>
      <c r="AC201" s="11" t="s">
        <v>44</v>
      </c>
      <c r="AD201" s="11" t="s">
        <v>44</v>
      </c>
      <c r="AE201" s="11" t="s">
        <v>44</v>
      </c>
      <c r="AF201" s="11" t="s">
        <v>44</v>
      </c>
      <c r="AG201" s="32">
        <v>0</v>
      </c>
      <c r="AH201">
        <v>0</v>
      </c>
      <c r="AI201">
        <v>92</v>
      </c>
      <c r="AJ201">
        <v>0</v>
      </c>
      <c r="AK201">
        <v>0</v>
      </c>
      <c r="AL201">
        <v>0</v>
      </c>
      <c r="AM201">
        <v>0.1</v>
      </c>
      <c r="AN201">
        <v>3</v>
      </c>
      <c r="AO201">
        <v>2</v>
      </c>
      <c r="AP201">
        <v>3</v>
      </c>
      <c r="AQ201" s="21">
        <f t="shared" si="25"/>
        <v>3</v>
      </c>
      <c r="AR201" s="12">
        <f t="shared" si="31"/>
        <v>100.1</v>
      </c>
      <c r="AS201">
        <v>0</v>
      </c>
      <c r="AT201">
        <v>0</v>
      </c>
      <c r="AU201">
        <v>4</v>
      </c>
      <c r="AV201" s="6">
        <v>0</v>
      </c>
      <c r="AW201">
        <v>0</v>
      </c>
      <c r="AX201">
        <v>44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>
        <v>5</v>
      </c>
      <c r="BE201" s="6" t="s">
        <v>44</v>
      </c>
      <c r="BF201" s="6" t="s">
        <v>44</v>
      </c>
      <c r="BG201" s="6" t="s">
        <v>44</v>
      </c>
      <c r="BH201" s="6" t="s">
        <v>44</v>
      </c>
      <c r="BI201" s="6" t="s">
        <v>44</v>
      </c>
      <c r="BJ201" s="6" t="s">
        <v>44</v>
      </c>
      <c r="BK201" s="6">
        <v>0</v>
      </c>
      <c r="BL201" s="6">
        <f t="shared" si="32"/>
        <v>49</v>
      </c>
      <c r="BM201" s="6">
        <f t="shared" si="29"/>
        <v>53</v>
      </c>
    </row>
    <row r="202" spans="1:70" hidden="1">
      <c r="A202" s="16" t="str">
        <f t="shared" si="28"/>
        <v>CMN_2024_AZ_1_1</v>
      </c>
      <c r="B202" t="s">
        <v>62</v>
      </c>
      <c r="C202">
        <v>40.343000000000004</v>
      </c>
      <c r="D202">
        <v>124.36450000000001</v>
      </c>
      <c r="E202" s="8">
        <v>38189</v>
      </c>
      <c r="F202">
        <v>2024</v>
      </c>
      <c r="G202" t="s">
        <v>61</v>
      </c>
      <c r="H202" t="s">
        <v>42</v>
      </c>
      <c r="I202">
        <v>1</v>
      </c>
      <c r="J202">
        <v>1</v>
      </c>
      <c r="K202" t="s">
        <v>46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 t="s">
        <v>44</v>
      </c>
      <c r="S202" s="22">
        <v>0</v>
      </c>
      <c r="T202" s="23">
        <v>0</v>
      </c>
      <c r="U202" s="23">
        <v>0</v>
      </c>
      <c r="V202" s="18" t="s">
        <v>44</v>
      </c>
      <c r="W202" s="18" t="s">
        <v>44</v>
      </c>
      <c r="X202" s="18" t="s">
        <v>44</v>
      </c>
      <c r="Y202" s="18" t="s">
        <v>44</v>
      </c>
      <c r="Z202" s="18" t="s">
        <v>44</v>
      </c>
      <c r="AA202" s="11" t="s">
        <v>44</v>
      </c>
      <c r="AB202" s="11" t="s">
        <v>44</v>
      </c>
      <c r="AC202" s="11" t="s">
        <v>44</v>
      </c>
      <c r="AD202" s="11" t="s">
        <v>44</v>
      </c>
      <c r="AE202" s="11" t="s">
        <v>44</v>
      </c>
      <c r="AF202" s="11" t="s">
        <v>44</v>
      </c>
      <c r="AG202" s="32">
        <v>0</v>
      </c>
      <c r="AH202">
        <v>0</v>
      </c>
      <c r="AI202">
        <v>86</v>
      </c>
      <c r="AJ202">
        <v>0</v>
      </c>
      <c r="AK202">
        <v>0</v>
      </c>
      <c r="AL202">
        <v>6</v>
      </c>
      <c r="AM202">
        <v>0</v>
      </c>
      <c r="AN202">
        <v>0</v>
      </c>
      <c r="AO202">
        <v>4</v>
      </c>
      <c r="AP202">
        <v>4</v>
      </c>
      <c r="AQ202" s="21">
        <f t="shared" si="25"/>
        <v>4</v>
      </c>
      <c r="AR202" s="12">
        <f t="shared" si="31"/>
        <v>100</v>
      </c>
      <c r="AS202">
        <v>0</v>
      </c>
      <c r="AT202">
        <v>0</v>
      </c>
      <c r="AU202">
        <v>0</v>
      </c>
      <c r="AV202" s="6">
        <v>0</v>
      </c>
      <c r="AW202">
        <v>0</v>
      </c>
      <c r="AX202">
        <v>100</v>
      </c>
      <c r="AY202" s="6">
        <v>0</v>
      </c>
      <c r="AZ202">
        <v>0</v>
      </c>
      <c r="BA202" s="6">
        <v>0</v>
      </c>
      <c r="BB202">
        <v>0</v>
      </c>
      <c r="BC202" s="6">
        <v>0</v>
      </c>
      <c r="BD202">
        <v>0</v>
      </c>
      <c r="BE202" s="6" t="s">
        <v>44</v>
      </c>
      <c r="BF202" s="6" t="s">
        <v>44</v>
      </c>
      <c r="BG202" s="6" t="s">
        <v>44</v>
      </c>
      <c r="BH202" s="6" t="s">
        <v>44</v>
      </c>
      <c r="BI202" s="6" t="s">
        <v>44</v>
      </c>
      <c r="BJ202" s="6" t="s">
        <v>44</v>
      </c>
      <c r="BK202" s="6">
        <v>0</v>
      </c>
      <c r="BL202" s="6">
        <f t="shared" si="32"/>
        <v>100</v>
      </c>
      <c r="BM202" s="6">
        <f t="shared" si="29"/>
        <v>100</v>
      </c>
      <c r="BN202">
        <v>86</v>
      </c>
      <c r="BO202">
        <f t="shared" si="26"/>
        <v>86</v>
      </c>
      <c r="BP202">
        <v>0</v>
      </c>
      <c r="BQ202">
        <f>SUM(BP202,BB202,BK202)</f>
        <v>0</v>
      </c>
      <c r="BR202">
        <f t="shared" si="30"/>
        <v>0</v>
      </c>
    </row>
    <row r="203" spans="1:70" hidden="1">
      <c r="A203" s="16" t="str">
        <f t="shared" si="28"/>
        <v>CMN_2024_AZ_1_2</v>
      </c>
      <c r="B203" t="s">
        <v>62</v>
      </c>
      <c r="C203">
        <v>40.343000000000004</v>
      </c>
      <c r="D203">
        <v>124.36450000000001</v>
      </c>
      <c r="E203" s="8">
        <v>34536</v>
      </c>
      <c r="F203">
        <v>2024</v>
      </c>
      <c r="G203" t="s">
        <v>61</v>
      </c>
      <c r="H203" t="s">
        <v>42</v>
      </c>
      <c r="I203">
        <v>1</v>
      </c>
      <c r="J203">
        <v>2</v>
      </c>
      <c r="K203" t="s">
        <v>46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 t="s">
        <v>44</v>
      </c>
      <c r="S203" s="22">
        <v>0</v>
      </c>
      <c r="T203" s="23">
        <v>0</v>
      </c>
      <c r="U203" s="23">
        <v>0</v>
      </c>
      <c r="V203" s="18" t="s">
        <v>44</v>
      </c>
      <c r="W203" s="18" t="s">
        <v>44</v>
      </c>
      <c r="X203" s="18" t="s">
        <v>44</v>
      </c>
      <c r="Y203" s="18" t="s">
        <v>44</v>
      </c>
      <c r="Z203" s="18" t="s">
        <v>44</v>
      </c>
      <c r="AA203" s="11" t="s">
        <v>44</v>
      </c>
      <c r="AB203" s="11" t="s">
        <v>44</v>
      </c>
      <c r="AC203" s="11" t="s">
        <v>44</v>
      </c>
      <c r="AD203" s="11" t="s">
        <v>44</v>
      </c>
      <c r="AE203" s="11" t="s">
        <v>44</v>
      </c>
      <c r="AF203" s="11" t="s">
        <v>44</v>
      </c>
      <c r="AG203" s="32">
        <v>0</v>
      </c>
      <c r="AH203">
        <v>0</v>
      </c>
      <c r="AI203">
        <v>92</v>
      </c>
      <c r="AJ203">
        <v>0</v>
      </c>
      <c r="AK203">
        <v>0</v>
      </c>
      <c r="AL203">
        <v>5</v>
      </c>
      <c r="AM203">
        <v>0.1</v>
      </c>
      <c r="AN203">
        <v>0</v>
      </c>
      <c r="AO203">
        <v>0</v>
      </c>
      <c r="AP203">
        <v>3</v>
      </c>
      <c r="AQ203" s="21">
        <f t="shared" si="25"/>
        <v>3</v>
      </c>
      <c r="AR203" s="12">
        <f t="shared" si="31"/>
        <v>100.1</v>
      </c>
      <c r="AS203">
        <v>0</v>
      </c>
      <c r="AT203">
        <v>0</v>
      </c>
      <c r="AU203">
        <v>9</v>
      </c>
      <c r="AV203" s="6">
        <v>0</v>
      </c>
      <c r="AW203">
        <v>0</v>
      </c>
      <c r="AX203">
        <v>94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 t="s">
        <v>44</v>
      </c>
      <c r="BF203" s="6" t="s">
        <v>44</v>
      </c>
      <c r="BG203" s="6" t="s">
        <v>44</v>
      </c>
      <c r="BH203" s="6" t="s">
        <v>44</v>
      </c>
      <c r="BI203" s="6" t="s">
        <v>44</v>
      </c>
      <c r="BJ203" s="6" t="s">
        <v>44</v>
      </c>
      <c r="BK203" s="6">
        <v>0</v>
      </c>
      <c r="BL203" s="6">
        <f t="shared" si="32"/>
        <v>94</v>
      </c>
      <c r="BM203" s="6">
        <f t="shared" si="29"/>
        <v>103</v>
      </c>
    </row>
    <row r="204" spans="1:70" hidden="1">
      <c r="A204" s="16" t="str">
        <f t="shared" si="28"/>
        <v>CMN_2024_AZ_1_3</v>
      </c>
      <c r="B204" t="s">
        <v>62</v>
      </c>
      <c r="C204">
        <v>40.343000000000004</v>
      </c>
      <c r="D204">
        <v>124.36450000000001</v>
      </c>
      <c r="E204" s="8">
        <v>30884</v>
      </c>
      <c r="F204">
        <v>2024</v>
      </c>
      <c r="G204" t="s">
        <v>61</v>
      </c>
      <c r="H204" t="s">
        <v>42</v>
      </c>
      <c r="I204">
        <v>1</v>
      </c>
      <c r="J204">
        <v>3</v>
      </c>
      <c r="K204" t="s">
        <v>46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 t="s">
        <v>44</v>
      </c>
      <c r="S204" s="22">
        <v>0</v>
      </c>
      <c r="T204" s="23">
        <v>0</v>
      </c>
      <c r="U204" s="23">
        <v>0</v>
      </c>
      <c r="V204" s="18" t="s">
        <v>44</v>
      </c>
      <c r="W204" s="18" t="s">
        <v>44</v>
      </c>
      <c r="X204" s="18" t="s">
        <v>44</v>
      </c>
      <c r="Y204" s="18" t="s">
        <v>44</v>
      </c>
      <c r="Z204" s="18" t="s">
        <v>44</v>
      </c>
      <c r="AA204" s="11" t="s">
        <v>44</v>
      </c>
      <c r="AB204" s="11" t="s">
        <v>44</v>
      </c>
      <c r="AC204" s="11" t="s">
        <v>44</v>
      </c>
      <c r="AD204" s="11" t="s">
        <v>44</v>
      </c>
      <c r="AE204" s="11" t="s">
        <v>44</v>
      </c>
      <c r="AF204" s="11" t="s">
        <v>44</v>
      </c>
      <c r="AG204" s="32">
        <v>0</v>
      </c>
      <c r="AH204">
        <v>0</v>
      </c>
      <c r="AI204">
        <v>92</v>
      </c>
      <c r="AJ204">
        <v>0</v>
      </c>
      <c r="AK204">
        <v>0</v>
      </c>
      <c r="AL204">
        <v>4</v>
      </c>
      <c r="AM204">
        <v>0</v>
      </c>
      <c r="AN204">
        <v>0</v>
      </c>
      <c r="AO204">
        <v>4</v>
      </c>
      <c r="AP204">
        <v>0</v>
      </c>
      <c r="AQ204" s="21">
        <f t="shared" si="25"/>
        <v>0</v>
      </c>
      <c r="AR204" s="12">
        <f t="shared" si="31"/>
        <v>100</v>
      </c>
      <c r="AS204">
        <v>0</v>
      </c>
      <c r="AT204">
        <v>0</v>
      </c>
      <c r="AU204">
        <v>0</v>
      </c>
      <c r="AV204" s="6">
        <v>0</v>
      </c>
      <c r="AW204">
        <v>0</v>
      </c>
      <c r="AX204">
        <v>98</v>
      </c>
      <c r="AY204" s="6">
        <v>0</v>
      </c>
      <c r="AZ204">
        <v>0</v>
      </c>
      <c r="BA204" s="6">
        <v>0</v>
      </c>
      <c r="BB204">
        <v>0</v>
      </c>
      <c r="BC204" s="6">
        <v>0</v>
      </c>
      <c r="BD204">
        <v>0</v>
      </c>
      <c r="BE204" s="6" t="s">
        <v>44</v>
      </c>
      <c r="BF204" s="6" t="s">
        <v>44</v>
      </c>
      <c r="BG204" s="6" t="s">
        <v>44</v>
      </c>
      <c r="BH204" s="6" t="s">
        <v>44</v>
      </c>
      <c r="BI204" s="6" t="s">
        <v>44</v>
      </c>
      <c r="BJ204" s="6" t="s">
        <v>44</v>
      </c>
      <c r="BK204" s="6">
        <v>0</v>
      </c>
      <c r="BL204" s="6">
        <f t="shared" si="32"/>
        <v>98</v>
      </c>
      <c r="BM204" s="6">
        <f t="shared" si="29"/>
        <v>98</v>
      </c>
      <c r="BN204">
        <v>92</v>
      </c>
      <c r="BO204">
        <f t="shared" si="26"/>
        <v>92</v>
      </c>
      <c r="BP204">
        <v>0</v>
      </c>
      <c r="BQ204">
        <f>SUM(BP204,BB204,BK204)</f>
        <v>0</v>
      </c>
      <c r="BR204">
        <f t="shared" si="30"/>
        <v>0</v>
      </c>
    </row>
    <row r="205" spans="1:70" hidden="1">
      <c r="A205" s="16" t="str">
        <f t="shared" si="28"/>
        <v>CMN_2024_AZ_1_4</v>
      </c>
      <c r="B205" t="s">
        <v>62</v>
      </c>
      <c r="C205">
        <v>40.343000000000004</v>
      </c>
      <c r="D205">
        <v>124.36450000000001</v>
      </c>
      <c r="E205" s="8">
        <v>27231</v>
      </c>
      <c r="F205">
        <v>2024</v>
      </c>
      <c r="G205" t="s">
        <v>61</v>
      </c>
      <c r="H205" t="s">
        <v>42</v>
      </c>
      <c r="I205">
        <v>1</v>
      </c>
      <c r="J205">
        <v>4</v>
      </c>
      <c r="K205" t="s">
        <v>46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 t="s">
        <v>44</v>
      </c>
      <c r="S205" s="22">
        <v>0</v>
      </c>
      <c r="T205" s="23">
        <v>0</v>
      </c>
      <c r="U205" s="23">
        <v>0</v>
      </c>
      <c r="V205" s="18" t="s">
        <v>44</v>
      </c>
      <c r="W205" s="18" t="s">
        <v>44</v>
      </c>
      <c r="X205" s="18" t="s">
        <v>44</v>
      </c>
      <c r="Y205" s="18" t="s">
        <v>44</v>
      </c>
      <c r="Z205" s="18" t="s">
        <v>44</v>
      </c>
      <c r="AA205" s="11" t="s">
        <v>44</v>
      </c>
      <c r="AB205" s="11" t="s">
        <v>44</v>
      </c>
      <c r="AC205" s="11" t="s">
        <v>44</v>
      </c>
      <c r="AD205" s="11" t="s">
        <v>44</v>
      </c>
      <c r="AE205" s="11" t="s">
        <v>44</v>
      </c>
      <c r="AF205" s="11" t="s">
        <v>44</v>
      </c>
      <c r="AG205" s="32">
        <v>0</v>
      </c>
      <c r="AH205">
        <v>0</v>
      </c>
      <c r="AI205">
        <v>83</v>
      </c>
      <c r="AJ205">
        <v>0</v>
      </c>
      <c r="AK205">
        <v>0</v>
      </c>
      <c r="AL205">
        <v>7</v>
      </c>
      <c r="AM205">
        <v>5</v>
      </c>
      <c r="AN205">
        <v>0.1</v>
      </c>
      <c r="AO205">
        <v>2</v>
      </c>
      <c r="AP205">
        <v>3</v>
      </c>
      <c r="AQ205" s="21">
        <f t="shared" si="25"/>
        <v>3</v>
      </c>
      <c r="AR205" s="12">
        <f t="shared" si="31"/>
        <v>100.1</v>
      </c>
      <c r="AS205">
        <v>0</v>
      </c>
      <c r="AT205">
        <v>0</v>
      </c>
      <c r="AU205">
        <v>0</v>
      </c>
      <c r="AV205" s="6">
        <v>0</v>
      </c>
      <c r="AW205">
        <v>0</v>
      </c>
      <c r="AX205">
        <v>96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 t="s">
        <v>44</v>
      </c>
      <c r="BF205" s="6" t="s">
        <v>44</v>
      </c>
      <c r="BG205" s="6" t="s">
        <v>44</v>
      </c>
      <c r="BH205" s="6" t="s">
        <v>44</v>
      </c>
      <c r="BI205" s="6" t="s">
        <v>44</v>
      </c>
      <c r="BJ205" s="6" t="s">
        <v>44</v>
      </c>
      <c r="BK205" s="6">
        <v>0</v>
      </c>
      <c r="BL205" s="6">
        <f t="shared" si="32"/>
        <v>96</v>
      </c>
      <c r="BM205" s="6">
        <f t="shared" si="29"/>
        <v>96</v>
      </c>
      <c r="BN205">
        <v>83</v>
      </c>
      <c r="BO205">
        <f t="shared" si="26"/>
        <v>83</v>
      </c>
      <c r="BP205">
        <v>0</v>
      </c>
      <c r="BQ205">
        <f>SUM(BP205,BB205,BK205)</f>
        <v>0</v>
      </c>
      <c r="BR205">
        <f t="shared" si="30"/>
        <v>0</v>
      </c>
    </row>
    <row r="206" spans="1:70" hidden="1">
      <c r="A206" s="16" t="str">
        <f t="shared" si="28"/>
        <v>CMN_2024_AZ_1_5</v>
      </c>
      <c r="B206" t="s">
        <v>62</v>
      </c>
      <c r="C206">
        <v>40.343000000000004</v>
      </c>
      <c r="D206">
        <v>124.36450000000001</v>
      </c>
      <c r="E206" s="8">
        <v>23579</v>
      </c>
      <c r="F206">
        <v>2024</v>
      </c>
      <c r="G206" t="s">
        <v>61</v>
      </c>
      <c r="H206" t="s">
        <v>42</v>
      </c>
      <c r="I206">
        <v>1</v>
      </c>
      <c r="J206">
        <v>5</v>
      </c>
      <c r="K206" t="s">
        <v>46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 t="s">
        <v>44</v>
      </c>
      <c r="S206" s="22">
        <v>0</v>
      </c>
      <c r="T206" s="23">
        <v>0</v>
      </c>
      <c r="U206" s="23">
        <v>0</v>
      </c>
      <c r="V206" s="18" t="s">
        <v>44</v>
      </c>
      <c r="W206" s="18" t="s">
        <v>44</v>
      </c>
      <c r="X206" s="18" t="s">
        <v>44</v>
      </c>
      <c r="Y206" s="18" t="s">
        <v>44</v>
      </c>
      <c r="Z206" s="18" t="s">
        <v>44</v>
      </c>
      <c r="AA206" s="11" t="s">
        <v>44</v>
      </c>
      <c r="AB206" s="11" t="s">
        <v>44</v>
      </c>
      <c r="AC206" s="11" t="s">
        <v>44</v>
      </c>
      <c r="AD206" s="11" t="s">
        <v>44</v>
      </c>
      <c r="AE206" s="11" t="s">
        <v>44</v>
      </c>
      <c r="AF206" s="11" t="s">
        <v>44</v>
      </c>
      <c r="AG206" s="32">
        <v>0</v>
      </c>
      <c r="AH206">
        <v>0</v>
      </c>
      <c r="AI206">
        <v>89</v>
      </c>
      <c r="AJ206">
        <v>0</v>
      </c>
      <c r="AK206">
        <v>0</v>
      </c>
      <c r="AL206">
        <v>6</v>
      </c>
      <c r="AM206">
        <v>0.1</v>
      </c>
      <c r="AN206">
        <v>0.1</v>
      </c>
      <c r="AO206">
        <v>4</v>
      </c>
      <c r="AP206">
        <v>1</v>
      </c>
      <c r="AQ206" s="21">
        <f t="shared" si="25"/>
        <v>1</v>
      </c>
      <c r="AR206" s="12">
        <f t="shared" si="31"/>
        <v>100.19999999999999</v>
      </c>
      <c r="AS206">
        <v>0</v>
      </c>
      <c r="AT206">
        <v>0</v>
      </c>
      <c r="AU206">
        <v>0</v>
      </c>
      <c r="AV206" s="6">
        <v>0</v>
      </c>
      <c r="AW206">
        <v>0</v>
      </c>
      <c r="AX206">
        <v>92</v>
      </c>
      <c r="AY206" s="6">
        <v>0</v>
      </c>
      <c r="AZ206">
        <v>0</v>
      </c>
      <c r="BA206" s="6">
        <v>0</v>
      </c>
      <c r="BB206">
        <v>0</v>
      </c>
      <c r="BC206" s="6">
        <v>0</v>
      </c>
      <c r="BD206">
        <v>0</v>
      </c>
      <c r="BE206" s="6" t="s">
        <v>44</v>
      </c>
      <c r="BF206" s="6" t="s">
        <v>44</v>
      </c>
      <c r="BG206" s="6" t="s">
        <v>44</v>
      </c>
      <c r="BH206" s="6" t="s">
        <v>44</v>
      </c>
      <c r="BI206" s="6" t="s">
        <v>44</v>
      </c>
      <c r="BJ206" s="6" t="s">
        <v>44</v>
      </c>
      <c r="BK206" s="6">
        <v>0</v>
      </c>
      <c r="BL206" s="6">
        <f t="shared" si="32"/>
        <v>92</v>
      </c>
      <c r="BM206" s="6">
        <f t="shared" si="29"/>
        <v>92</v>
      </c>
      <c r="BN206">
        <v>89</v>
      </c>
      <c r="BO206">
        <f t="shared" si="26"/>
        <v>89</v>
      </c>
      <c r="BP206">
        <v>0</v>
      </c>
      <c r="BQ206">
        <f>SUM(BP206,BB206,BK206)</f>
        <v>0</v>
      </c>
      <c r="BR206">
        <f t="shared" si="30"/>
        <v>0</v>
      </c>
    </row>
    <row r="207" spans="1:70" hidden="1">
      <c r="A207" s="16" t="str">
        <f t="shared" si="28"/>
        <v>CMN_2024_UPZ_1_1</v>
      </c>
      <c r="B207" t="s">
        <v>62</v>
      </c>
      <c r="C207">
        <v>40.343000000000004</v>
      </c>
      <c r="D207">
        <v>124.36450000000001</v>
      </c>
      <c r="E207" s="8">
        <v>19926</v>
      </c>
      <c r="F207">
        <v>2024</v>
      </c>
      <c r="G207" t="s">
        <v>61</v>
      </c>
      <c r="H207" t="s">
        <v>45</v>
      </c>
      <c r="I207">
        <v>1</v>
      </c>
      <c r="J207">
        <v>1</v>
      </c>
      <c r="K207" t="s">
        <v>46</v>
      </c>
      <c r="L207" s="23">
        <v>15</v>
      </c>
      <c r="M207" s="23">
        <v>15</v>
      </c>
      <c r="N207" s="23">
        <v>0</v>
      </c>
      <c r="O207" s="23">
        <v>0</v>
      </c>
      <c r="P207" s="23">
        <v>21</v>
      </c>
      <c r="Q207" s="23">
        <v>21</v>
      </c>
      <c r="R207" s="23" t="s">
        <v>44</v>
      </c>
      <c r="S207" s="22">
        <v>0</v>
      </c>
      <c r="T207" s="23">
        <v>7</v>
      </c>
      <c r="U207" s="23">
        <v>22</v>
      </c>
      <c r="V207" s="18">
        <v>2.2999999999999998</v>
      </c>
      <c r="W207" s="18">
        <v>3.9</v>
      </c>
      <c r="X207" s="18">
        <v>3.9</v>
      </c>
      <c r="Y207" s="18">
        <v>4.3</v>
      </c>
      <c r="Z207" s="18">
        <v>1.7</v>
      </c>
      <c r="AA207" s="15">
        <v>1</v>
      </c>
      <c r="AB207" s="15">
        <v>0</v>
      </c>
      <c r="AC207" s="15">
        <v>0</v>
      </c>
      <c r="AD207" s="15">
        <v>0</v>
      </c>
      <c r="AE207" s="15">
        <v>0</v>
      </c>
      <c r="AF207" s="11">
        <f t="shared" ref="AF207:AF231" si="33">SUM(AA207:AE207)</f>
        <v>1</v>
      </c>
      <c r="AG207" s="32" t="s">
        <v>44</v>
      </c>
      <c r="AH207">
        <v>0</v>
      </c>
      <c r="AI207">
        <v>47</v>
      </c>
      <c r="AJ207">
        <v>0</v>
      </c>
      <c r="AK207">
        <v>0</v>
      </c>
      <c r="AL207">
        <v>36</v>
      </c>
      <c r="AM207">
        <v>9</v>
      </c>
      <c r="AN207">
        <v>1</v>
      </c>
      <c r="AO207">
        <v>0.1</v>
      </c>
      <c r="AP207">
        <v>7</v>
      </c>
      <c r="AQ207" s="21" t="e">
        <f t="shared" si="25"/>
        <v>#VALUE!</v>
      </c>
      <c r="AR207" s="12">
        <f t="shared" si="31"/>
        <v>100.1</v>
      </c>
      <c r="AS207">
        <v>0</v>
      </c>
      <c r="AT207">
        <v>18</v>
      </c>
      <c r="AU207">
        <v>0</v>
      </c>
      <c r="AV207" s="6">
        <v>0</v>
      </c>
      <c r="AW207">
        <v>0</v>
      </c>
      <c r="AX207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 t="s">
        <v>44</v>
      </c>
      <c r="BF207" s="6" t="s">
        <v>44</v>
      </c>
      <c r="BG207" s="6" t="s">
        <v>44</v>
      </c>
      <c r="BH207" s="6" t="s">
        <v>44</v>
      </c>
      <c r="BI207" s="6" t="s">
        <v>44</v>
      </c>
      <c r="BJ207" s="6" t="s">
        <v>44</v>
      </c>
      <c r="BK207" s="6">
        <v>0</v>
      </c>
      <c r="BL207" s="6">
        <f t="shared" si="32"/>
        <v>18</v>
      </c>
      <c r="BM207" s="6">
        <f t="shared" si="29"/>
        <v>18</v>
      </c>
      <c r="BN207">
        <v>47</v>
      </c>
      <c r="BO207">
        <f t="shared" si="26"/>
        <v>47</v>
      </c>
      <c r="BP207">
        <v>0</v>
      </c>
      <c r="BQ207">
        <f>SUM(BP207,BB207,BK207)</f>
        <v>0</v>
      </c>
      <c r="BR207">
        <f t="shared" si="30"/>
        <v>0</v>
      </c>
    </row>
    <row r="208" spans="1:70" hidden="1">
      <c r="A208" s="16" t="str">
        <f t="shared" si="28"/>
        <v>CMN_2024_UPZ_1_2</v>
      </c>
      <c r="B208" t="s">
        <v>62</v>
      </c>
      <c r="C208">
        <v>40.343000000000004</v>
      </c>
      <c r="D208">
        <v>124.36450000000001</v>
      </c>
      <c r="E208" s="8">
        <v>16274</v>
      </c>
      <c r="F208">
        <v>2024</v>
      </c>
      <c r="G208" t="s">
        <v>61</v>
      </c>
      <c r="H208" t="s">
        <v>45</v>
      </c>
      <c r="I208">
        <v>1</v>
      </c>
      <c r="J208">
        <v>2</v>
      </c>
      <c r="K208" t="s">
        <v>46</v>
      </c>
      <c r="L208" s="23">
        <v>13</v>
      </c>
      <c r="M208" s="23">
        <v>13</v>
      </c>
      <c r="N208" s="23">
        <v>0</v>
      </c>
      <c r="O208" s="23">
        <v>0</v>
      </c>
      <c r="P208" s="23">
        <v>13</v>
      </c>
      <c r="Q208" s="23">
        <v>0</v>
      </c>
      <c r="R208" s="23" t="s">
        <v>44</v>
      </c>
      <c r="S208" s="22">
        <v>0</v>
      </c>
      <c r="T208" s="23">
        <v>9</v>
      </c>
      <c r="U208" s="23">
        <f t="shared" ref="U208:U221" si="34">M208+T208</f>
        <v>22</v>
      </c>
      <c r="V208" s="18">
        <v>5</v>
      </c>
      <c r="W208" s="18">
        <v>4.9000000000000004</v>
      </c>
      <c r="X208" s="18">
        <v>3.2</v>
      </c>
      <c r="Y208" s="18">
        <v>2.8</v>
      </c>
      <c r="Z208" s="18">
        <v>3</v>
      </c>
      <c r="AA208" s="15">
        <v>0</v>
      </c>
      <c r="AB208" s="15">
        <v>1</v>
      </c>
      <c r="AC208" s="15">
        <v>0</v>
      </c>
      <c r="AD208" s="15">
        <v>0</v>
      </c>
      <c r="AE208" s="15">
        <v>0</v>
      </c>
      <c r="AF208" s="11">
        <f t="shared" si="33"/>
        <v>1</v>
      </c>
      <c r="AG208" s="32" t="s">
        <v>44</v>
      </c>
      <c r="AH208">
        <v>0</v>
      </c>
      <c r="AI208">
        <v>53</v>
      </c>
      <c r="AJ208">
        <v>0</v>
      </c>
      <c r="AK208">
        <v>0</v>
      </c>
      <c r="AL208">
        <v>35</v>
      </c>
      <c r="AM208">
        <v>2</v>
      </c>
      <c r="AN208">
        <v>2</v>
      </c>
      <c r="AO208">
        <v>0</v>
      </c>
      <c r="AP208">
        <v>8</v>
      </c>
      <c r="AQ208" s="21" t="e">
        <f t="shared" si="25"/>
        <v>#VALUE!</v>
      </c>
      <c r="AR208" s="12">
        <f t="shared" si="31"/>
        <v>100</v>
      </c>
      <c r="AS208">
        <v>0</v>
      </c>
      <c r="AT208">
        <v>0</v>
      </c>
      <c r="AU208">
        <v>0</v>
      </c>
      <c r="AV208" s="6">
        <v>0</v>
      </c>
      <c r="AW208">
        <v>0</v>
      </c>
      <c r="AX208">
        <v>0</v>
      </c>
      <c r="AY208" s="6">
        <v>0</v>
      </c>
      <c r="AZ208">
        <v>0</v>
      </c>
      <c r="BA208" s="6">
        <v>0</v>
      </c>
      <c r="BB208">
        <v>0</v>
      </c>
      <c r="BC208" s="6">
        <v>0</v>
      </c>
      <c r="BD208">
        <v>0</v>
      </c>
      <c r="BE208" s="6" t="s">
        <v>44</v>
      </c>
      <c r="BF208" s="6" t="s">
        <v>44</v>
      </c>
      <c r="BG208" s="6" t="s">
        <v>44</v>
      </c>
      <c r="BH208" s="6" t="s">
        <v>44</v>
      </c>
      <c r="BI208" s="6" t="s">
        <v>44</v>
      </c>
      <c r="BJ208" s="6" t="s">
        <v>44</v>
      </c>
      <c r="BK208" s="6">
        <v>0</v>
      </c>
      <c r="BL208" s="6">
        <f t="shared" si="32"/>
        <v>0</v>
      </c>
      <c r="BM208" s="6">
        <f t="shared" si="29"/>
        <v>0</v>
      </c>
      <c r="BN208">
        <v>53</v>
      </c>
      <c r="BO208">
        <f t="shared" si="26"/>
        <v>53</v>
      </c>
      <c r="BP208">
        <v>0</v>
      </c>
      <c r="BQ208">
        <f>SUM(BP208,BB208,BK208)</f>
        <v>0</v>
      </c>
      <c r="BR208">
        <f t="shared" si="30"/>
        <v>0</v>
      </c>
    </row>
    <row r="209" spans="1:70" hidden="1">
      <c r="A209" s="16" t="str">
        <f t="shared" si="28"/>
        <v>CMN_2024_UPZ_1_3</v>
      </c>
      <c r="B209" t="s">
        <v>62</v>
      </c>
      <c r="C209">
        <v>40.343000000000004</v>
      </c>
      <c r="D209">
        <v>124.36450000000001</v>
      </c>
      <c r="E209" s="8">
        <v>12621</v>
      </c>
      <c r="F209">
        <v>2024</v>
      </c>
      <c r="G209" t="s">
        <v>61</v>
      </c>
      <c r="H209" t="s">
        <v>45</v>
      </c>
      <c r="I209">
        <v>1</v>
      </c>
      <c r="J209">
        <v>3</v>
      </c>
      <c r="K209" t="s">
        <v>46</v>
      </c>
      <c r="L209" s="23">
        <v>27</v>
      </c>
      <c r="M209" s="23">
        <v>27</v>
      </c>
      <c r="N209" s="23">
        <v>0</v>
      </c>
      <c r="O209" s="23">
        <v>0</v>
      </c>
      <c r="P209" s="23">
        <v>1</v>
      </c>
      <c r="Q209" s="23">
        <v>0</v>
      </c>
      <c r="R209" s="23" t="s">
        <v>44</v>
      </c>
      <c r="S209" s="22">
        <v>0</v>
      </c>
      <c r="T209" s="23">
        <v>9</v>
      </c>
      <c r="U209" s="23">
        <f t="shared" si="34"/>
        <v>36</v>
      </c>
      <c r="V209" s="18">
        <v>4.3</v>
      </c>
      <c r="W209" s="18">
        <v>4.5999999999999996</v>
      </c>
      <c r="X209" s="18">
        <v>4.3</v>
      </c>
      <c r="Y209" s="18">
        <v>3.6</v>
      </c>
      <c r="Z209" s="18">
        <v>5.5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1">
        <f t="shared" si="33"/>
        <v>0</v>
      </c>
      <c r="AG209" s="32" t="s">
        <v>44</v>
      </c>
      <c r="AH209">
        <v>0</v>
      </c>
      <c r="AI209">
        <v>5</v>
      </c>
      <c r="AJ209">
        <v>0</v>
      </c>
      <c r="AK209">
        <v>0</v>
      </c>
      <c r="AL209">
        <v>17</v>
      </c>
      <c r="AM209">
        <v>3</v>
      </c>
      <c r="AN209">
        <v>3</v>
      </c>
      <c r="AO209">
        <v>0.1</v>
      </c>
      <c r="AP209">
        <v>72</v>
      </c>
      <c r="AQ209" s="21" t="e">
        <f t="shared" si="25"/>
        <v>#VALUE!</v>
      </c>
      <c r="AR209" s="12">
        <f t="shared" si="31"/>
        <v>100.1</v>
      </c>
      <c r="AS209">
        <v>0</v>
      </c>
      <c r="AT209">
        <v>22</v>
      </c>
      <c r="AU209">
        <v>0</v>
      </c>
      <c r="AV209" s="6">
        <v>0</v>
      </c>
      <c r="AW209">
        <v>0</v>
      </c>
      <c r="AX209">
        <v>0</v>
      </c>
      <c r="AY209">
        <v>1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 t="s">
        <v>44</v>
      </c>
      <c r="BF209" s="6" t="s">
        <v>44</v>
      </c>
      <c r="BG209" s="6" t="s">
        <v>44</v>
      </c>
      <c r="BH209" s="6" t="s">
        <v>44</v>
      </c>
      <c r="BI209" s="6" t="s">
        <v>44</v>
      </c>
      <c r="BJ209" s="6" t="s">
        <v>44</v>
      </c>
      <c r="BK209" s="6">
        <v>0</v>
      </c>
      <c r="BL209" s="6">
        <f t="shared" si="32"/>
        <v>23</v>
      </c>
      <c r="BM209" s="6">
        <f t="shared" si="29"/>
        <v>23</v>
      </c>
      <c r="BN209">
        <v>5</v>
      </c>
      <c r="BO209">
        <f t="shared" si="26"/>
        <v>5</v>
      </c>
      <c r="BP209">
        <v>0</v>
      </c>
      <c r="BQ209">
        <f>SUM(BP209,BB209,BK209)</f>
        <v>0</v>
      </c>
      <c r="BR209">
        <f t="shared" si="30"/>
        <v>0</v>
      </c>
    </row>
    <row r="210" spans="1:70" hidden="1">
      <c r="A210" s="16" t="str">
        <f t="shared" si="28"/>
        <v>CMN_2024_UPZ_1_4</v>
      </c>
      <c r="B210" t="s">
        <v>62</v>
      </c>
      <c r="C210">
        <v>40.343000000000004</v>
      </c>
      <c r="D210">
        <v>124.36450000000001</v>
      </c>
      <c r="E210" s="8">
        <v>8969</v>
      </c>
      <c r="F210">
        <v>2024</v>
      </c>
      <c r="G210" t="s">
        <v>61</v>
      </c>
      <c r="H210" t="s">
        <v>45</v>
      </c>
      <c r="I210">
        <v>1</v>
      </c>
      <c r="J210">
        <v>4</v>
      </c>
      <c r="K210" t="s">
        <v>46</v>
      </c>
      <c r="L210" s="23">
        <v>18</v>
      </c>
      <c r="M210" s="23">
        <v>18</v>
      </c>
      <c r="N210" s="23">
        <v>0</v>
      </c>
      <c r="O210" s="23">
        <v>0</v>
      </c>
      <c r="P210" s="23">
        <v>28</v>
      </c>
      <c r="Q210" s="23">
        <v>3</v>
      </c>
      <c r="R210" s="23" t="s">
        <v>44</v>
      </c>
      <c r="S210" s="22">
        <v>0</v>
      </c>
      <c r="T210" s="23">
        <v>4</v>
      </c>
      <c r="U210" s="23">
        <f t="shared" si="34"/>
        <v>22</v>
      </c>
      <c r="V210" s="18">
        <v>2.4</v>
      </c>
      <c r="W210" s="18">
        <v>2.8</v>
      </c>
      <c r="X210" s="18">
        <v>3</v>
      </c>
      <c r="Y210" s="18">
        <v>2.9</v>
      </c>
      <c r="Z210" s="18">
        <v>2.9</v>
      </c>
      <c r="AA210" s="15">
        <v>0</v>
      </c>
      <c r="AB210" s="15">
        <v>0</v>
      </c>
      <c r="AC210" s="15">
        <v>1</v>
      </c>
      <c r="AD210" s="15">
        <v>0</v>
      </c>
      <c r="AE210" s="15">
        <v>0</v>
      </c>
      <c r="AF210" s="11">
        <f t="shared" si="33"/>
        <v>1</v>
      </c>
      <c r="AG210" s="32" t="s">
        <v>44</v>
      </c>
      <c r="AH210">
        <v>0</v>
      </c>
      <c r="AI210">
        <v>11</v>
      </c>
      <c r="AJ210">
        <v>0</v>
      </c>
      <c r="AK210">
        <v>0</v>
      </c>
      <c r="AL210">
        <v>82</v>
      </c>
      <c r="AM210">
        <v>0.1</v>
      </c>
      <c r="AN210">
        <v>2</v>
      </c>
      <c r="AO210">
        <v>0</v>
      </c>
      <c r="AP210">
        <v>5</v>
      </c>
      <c r="AQ210" s="21" t="e">
        <f t="shared" si="25"/>
        <v>#VALUE!</v>
      </c>
      <c r="AR210" s="12">
        <f t="shared" si="31"/>
        <v>100.1</v>
      </c>
      <c r="AS210">
        <v>0</v>
      </c>
      <c r="AT210">
        <v>0</v>
      </c>
      <c r="AU210">
        <v>0</v>
      </c>
      <c r="AV210" s="6">
        <v>0</v>
      </c>
      <c r="AW210">
        <v>0</v>
      </c>
      <c r="AX210">
        <v>0</v>
      </c>
      <c r="AY210" s="6">
        <v>0</v>
      </c>
      <c r="AZ210">
        <v>0</v>
      </c>
      <c r="BA210" s="6">
        <v>0</v>
      </c>
      <c r="BB210">
        <v>0</v>
      </c>
      <c r="BC210" s="6">
        <v>0</v>
      </c>
      <c r="BD210">
        <v>0</v>
      </c>
      <c r="BE210" s="6" t="s">
        <v>44</v>
      </c>
      <c r="BF210" s="6" t="s">
        <v>44</v>
      </c>
      <c r="BG210" s="6" t="s">
        <v>44</v>
      </c>
      <c r="BH210" s="6" t="s">
        <v>44</v>
      </c>
      <c r="BI210" s="6" t="s">
        <v>44</v>
      </c>
      <c r="BJ210" s="6" t="s">
        <v>44</v>
      </c>
      <c r="BK210" s="6">
        <v>0</v>
      </c>
      <c r="BL210" s="6">
        <f t="shared" si="32"/>
        <v>0</v>
      </c>
      <c r="BM210" s="6">
        <f t="shared" si="29"/>
        <v>0</v>
      </c>
      <c r="BN210">
        <v>11</v>
      </c>
      <c r="BO210">
        <f t="shared" si="26"/>
        <v>11</v>
      </c>
      <c r="BP210">
        <v>0</v>
      </c>
      <c r="BQ210">
        <f>SUM(BP210,BB210,BK210)</f>
        <v>0</v>
      </c>
      <c r="BR210">
        <f t="shared" si="30"/>
        <v>0</v>
      </c>
    </row>
    <row r="211" spans="1:70" hidden="1">
      <c r="A211" s="16" t="str">
        <f t="shared" si="28"/>
        <v>CMN_2024_UPZ_1_5</v>
      </c>
      <c r="B211" t="s">
        <v>62</v>
      </c>
      <c r="C211">
        <v>40.343000000000004</v>
      </c>
      <c r="D211">
        <v>124.36450000000001</v>
      </c>
      <c r="E211" s="8">
        <v>5316</v>
      </c>
      <c r="F211">
        <v>2024</v>
      </c>
      <c r="G211" t="s">
        <v>61</v>
      </c>
      <c r="H211" t="s">
        <v>45</v>
      </c>
      <c r="I211">
        <v>1</v>
      </c>
      <c r="J211">
        <v>5</v>
      </c>
      <c r="K211" t="s">
        <v>46</v>
      </c>
      <c r="L211" s="23">
        <v>8</v>
      </c>
      <c r="M211" s="23">
        <v>7</v>
      </c>
      <c r="N211" s="23">
        <v>1</v>
      </c>
      <c r="O211" s="23">
        <v>0</v>
      </c>
      <c r="P211" s="23">
        <v>30</v>
      </c>
      <c r="Q211" s="23">
        <v>30</v>
      </c>
      <c r="R211" s="23" t="s">
        <v>44</v>
      </c>
      <c r="S211" s="22">
        <v>0</v>
      </c>
      <c r="T211" s="23">
        <v>4</v>
      </c>
      <c r="U211" s="23">
        <f t="shared" si="34"/>
        <v>11</v>
      </c>
      <c r="V211" s="18">
        <v>3.2</v>
      </c>
      <c r="W211" s="18">
        <v>2.7</v>
      </c>
      <c r="X211" s="18">
        <v>2.4</v>
      </c>
      <c r="Y211" s="18">
        <v>3.8</v>
      </c>
      <c r="Z211" s="18">
        <v>2.2000000000000002</v>
      </c>
      <c r="AA211" s="15">
        <v>0</v>
      </c>
      <c r="AB211" s="15">
        <v>0</v>
      </c>
      <c r="AC211" s="15">
        <v>1</v>
      </c>
      <c r="AD211" s="15">
        <v>0</v>
      </c>
      <c r="AE211" s="15">
        <v>0</v>
      </c>
      <c r="AF211" s="11">
        <f t="shared" si="33"/>
        <v>1</v>
      </c>
      <c r="AG211" s="32" t="s">
        <v>44</v>
      </c>
      <c r="AH211">
        <v>4</v>
      </c>
      <c r="AI211">
        <v>7</v>
      </c>
      <c r="AJ211">
        <v>0</v>
      </c>
      <c r="AK211">
        <v>0</v>
      </c>
      <c r="AL211">
        <v>80</v>
      </c>
      <c r="AM211">
        <v>1</v>
      </c>
      <c r="AN211">
        <v>1</v>
      </c>
      <c r="AO211">
        <v>1</v>
      </c>
      <c r="AP211">
        <v>6</v>
      </c>
      <c r="AQ211" s="21" t="e">
        <f t="shared" si="25"/>
        <v>#VALUE!</v>
      </c>
      <c r="AR211" s="12">
        <f t="shared" si="31"/>
        <v>100</v>
      </c>
      <c r="AS211">
        <v>0</v>
      </c>
      <c r="AT211">
        <v>8</v>
      </c>
      <c r="AU211">
        <v>0</v>
      </c>
      <c r="AV211" s="6">
        <v>0</v>
      </c>
      <c r="AW211">
        <v>0</v>
      </c>
      <c r="AX211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 t="s">
        <v>44</v>
      </c>
      <c r="BF211" s="6" t="s">
        <v>44</v>
      </c>
      <c r="BG211" s="6" t="s">
        <v>44</v>
      </c>
      <c r="BH211" s="6" t="s">
        <v>44</v>
      </c>
      <c r="BI211" s="6" t="s">
        <v>44</v>
      </c>
      <c r="BJ211" s="6" t="s">
        <v>44</v>
      </c>
      <c r="BK211" s="6">
        <v>0</v>
      </c>
      <c r="BL211" s="6">
        <f t="shared" si="32"/>
        <v>8</v>
      </c>
      <c r="BM211" s="6">
        <f t="shared" si="29"/>
        <v>8</v>
      </c>
      <c r="BN211">
        <v>7</v>
      </c>
      <c r="BO211">
        <f t="shared" si="26"/>
        <v>7</v>
      </c>
      <c r="BP211">
        <v>0</v>
      </c>
      <c r="BQ211">
        <f>SUM(BP211,BB211,BK211)</f>
        <v>0</v>
      </c>
      <c r="BR211">
        <f t="shared" si="30"/>
        <v>0</v>
      </c>
    </row>
    <row r="212" spans="1:70" hidden="1">
      <c r="A212" s="16" t="str">
        <f t="shared" si="28"/>
        <v>CMN_2024_UPZ_2_1</v>
      </c>
      <c r="B212" t="s">
        <v>62</v>
      </c>
      <c r="C212">
        <v>40.343000000000004</v>
      </c>
      <c r="D212">
        <v>124.36450000000001</v>
      </c>
      <c r="E212" s="8">
        <v>1664</v>
      </c>
      <c r="F212">
        <v>2024</v>
      </c>
      <c r="G212" t="s">
        <v>61</v>
      </c>
      <c r="H212" t="s">
        <v>45</v>
      </c>
      <c r="I212">
        <v>2</v>
      </c>
      <c r="J212">
        <v>1</v>
      </c>
      <c r="K212" t="s">
        <v>46</v>
      </c>
      <c r="L212" s="23">
        <v>13</v>
      </c>
      <c r="M212" s="23">
        <v>10</v>
      </c>
      <c r="N212" s="23">
        <v>3</v>
      </c>
      <c r="O212" s="23">
        <v>0</v>
      </c>
      <c r="P212" s="23">
        <v>18</v>
      </c>
      <c r="Q212" s="23">
        <v>0</v>
      </c>
      <c r="R212" s="23" t="s">
        <v>44</v>
      </c>
      <c r="S212" s="22">
        <v>0</v>
      </c>
      <c r="T212" s="23">
        <v>0</v>
      </c>
      <c r="U212" s="23">
        <f t="shared" si="34"/>
        <v>10</v>
      </c>
      <c r="V212" s="18">
        <v>4.2</v>
      </c>
      <c r="W212" s="18">
        <v>3.6</v>
      </c>
      <c r="X212" s="18">
        <v>3.3</v>
      </c>
      <c r="Y212" s="18">
        <v>4.8</v>
      </c>
      <c r="Z212" s="18">
        <v>4.5</v>
      </c>
      <c r="AA212" s="15">
        <v>0</v>
      </c>
      <c r="AB212" s="15">
        <v>1</v>
      </c>
      <c r="AC212" s="15">
        <v>0</v>
      </c>
      <c r="AD212" s="15">
        <v>0</v>
      </c>
      <c r="AE212" s="15">
        <v>0</v>
      </c>
      <c r="AF212" s="11">
        <f t="shared" si="33"/>
        <v>1</v>
      </c>
      <c r="AG212" s="32" t="s">
        <v>44</v>
      </c>
      <c r="AH212">
        <v>0</v>
      </c>
      <c r="AI212">
        <v>0</v>
      </c>
      <c r="AJ212">
        <v>0</v>
      </c>
      <c r="AK212">
        <v>0</v>
      </c>
      <c r="AL212">
        <v>86</v>
      </c>
      <c r="AM212">
        <v>0</v>
      </c>
      <c r="AN212">
        <v>5</v>
      </c>
      <c r="AO212">
        <v>0</v>
      </c>
      <c r="AP212">
        <v>9</v>
      </c>
      <c r="AQ212" s="21" t="e">
        <f t="shared" si="25"/>
        <v>#VALUE!</v>
      </c>
      <c r="AR212" s="12">
        <f t="shared" si="31"/>
        <v>100</v>
      </c>
      <c r="AS212">
        <v>0</v>
      </c>
      <c r="AT212">
        <v>0</v>
      </c>
      <c r="AU212">
        <v>0</v>
      </c>
      <c r="AV212" s="6">
        <v>0</v>
      </c>
      <c r="AW212">
        <v>0</v>
      </c>
      <c r="AX212">
        <v>0</v>
      </c>
      <c r="AY212" s="6">
        <v>0</v>
      </c>
      <c r="AZ212">
        <v>0</v>
      </c>
      <c r="BA212" s="6">
        <v>0</v>
      </c>
      <c r="BB212">
        <v>0</v>
      </c>
      <c r="BC212" s="6">
        <v>0</v>
      </c>
      <c r="BD212">
        <v>0</v>
      </c>
      <c r="BE212" s="6" t="s">
        <v>44</v>
      </c>
      <c r="BF212" s="6" t="s">
        <v>44</v>
      </c>
      <c r="BG212" s="6" t="s">
        <v>44</v>
      </c>
      <c r="BH212" s="6" t="s">
        <v>44</v>
      </c>
      <c r="BI212" s="6" t="s">
        <v>44</v>
      </c>
      <c r="BJ212" s="6" t="s">
        <v>44</v>
      </c>
      <c r="BK212" s="6">
        <v>0</v>
      </c>
      <c r="BL212" s="6">
        <f t="shared" si="32"/>
        <v>0</v>
      </c>
      <c r="BM212" s="6">
        <f t="shared" si="29"/>
        <v>0</v>
      </c>
      <c r="BN212">
        <v>0</v>
      </c>
      <c r="BO212">
        <f t="shared" si="26"/>
        <v>0</v>
      </c>
      <c r="BP212">
        <v>0</v>
      </c>
      <c r="BQ212">
        <f>SUM(BP212,BB212,BK212)</f>
        <v>0</v>
      </c>
      <c r="BR212">
        <f t="shared" si="30"/>
        <v>0</v>
      </c>
    </row>
    <row r="213" spans="1:70" hidden="1">
      <c r="A213" s="16" t="str">
        <f t="shared" si="28"/>
        <v>CMN_2024_UPZ_2_2</v>
      </c>
      <c r="B213" t="s">
        <v>62</v>
      </c>
      <c r="C213">
        <v>40.343000000000004</v>
      </c>
      <c r="D213">
        <v>124.36450000000001</v>
      </c>
      <c r="E213" s="8">
        <v>41841</v>
      </c>
      <c r="F213">
        <v>2024</v>
      </c>
      <c r="G213" t="s">
        <v>61</v>
      </c>
      <c r="H213" t="s">
        <v>45</v>
      </c>
      <c r="I213">
        <v>2</v>
      </c>
      <c r="J213">
        <v>2</v>
      </c>
      <c r="K213" t="s">
        <v>46</v>
      </c>
      <c r="L213" s="23">
        <v>31</v>
      </c>
      <c r="M213" s="23">
        <v>23</v>
      </c>
      <c r="N213" s="23">
        <v>0</v>
      </c>
      <c r="O213" s="23">
        <v>8</v>
      </c>
      <c r="P213" s="23">
        <v>7</v>
      </c>
      <c r="Q213" s="23">
        <v>0</v>
      </c>
      <c r="R213" s="23" t="s">
        <v>44</v>
      </c>
      <c r="S213" s="22">
        <v>0</v>
      </c>
      <c r="T213" s="23">
        <v>2</v>
      </c>
      <c r="U213" s="23">
        <f t="shared" si="34"/>
        <v>25</v>
      </c>
      <c r="V213" s="18">
        <v>5.8</v>
      </c>
      <c r="W213" s="18">
        <v>4</v>
      </c>
      <c r="X213" s="18">
        <v>5.2</v>
      </c>
      <c r="Y213" s="18">
        <v>4.3</v>
      </c>
      <c r="Z213" s="18">
        <v>4.0999999999999996</v>
      </c>
      <c r="AA213" s="15">
        <v>0</v>
      </c>
      <c r="AB213" s="15">
        <v>2</v>
      </c>
      <c r="AC213" s="15">
        <v>0</v>
      </c>
      <c r="AD213" s="15">
        <v>0</v>
      </c>
      <c r="AE213" s="15">
        <v>0</v>
      </c>
      <c r="AF213" s="11">
        <f t="shared" si="33"/>
        <v>2</v>
      </c>
      <c r="AG213" s="32" t="s">
        <v>44</v>
      </c>
      <c r="AH213">
        <v>0</v>
      </c>
      <c r="AI213">
        <v>5</v>
      </c>
      <c r="AJ213">
        <v>0</v>
      </c>
      <c r="AK213">
        <v>0</v>
      </c>
      <c r="AL213">
        <v>86</v>
      </c>
      <c r="AM213">
        <v>7</v>
      </c>
      <c r="AN213">
        <v>2</v>
      </c>
      <c r="AO213">
        <v>0</v>
      </c>
      <c r="AP213">
        <v>0</v>
      </c>
      <c r="AQ213" s="21" t="e">
        <f t="shared" si="25"/>
        <v>#VALUE!</v>
      </c>
      <c r="AR213" s="12">
        <f t="shared" si="31"/>
        <v>100</v>
      </c>
      <c r="AS213">
        <v>0</v>
      </c>
      <c r="AT213">
        <v>0</v>
      </c>
      <c r="AU213">
        <v>0</v>
      </c>
      <c r="AV213" s="6">
        <v>0</v>
      </c>
      <c r="AW213">
        <v>0</v>
      </c>
      <c r="AX213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 t="s">
        <v>44</v>
      </c>
      <c r="BF213" s="6" t="s">
        <v>44</v>
      </c>
      <c r="BG213" s="6" t="s">
        <v>44</v>
      </c>
      <c r="BH213" s="6" t="s">
        <v>44</v>
      </c>
      <c r="BI213" s="6" t="s">
        <v>44</v>
      </c>
      <c r="BJ213" s="6" t="s">
        <v>44</v>
      </c>
      <c r="BK213" s="6">
        <v>0</v>
      </c>
      <c r="BL213" s="6">
        <f t="shared" si="32"/>
        <v>0</v>
      </c>
      <c r="BM213" s="6">
        <f t="shared" si="29"/>
        <v>0</v>
      </c>
      <c r="BN213">
        <v>5</v>
      </c>
      <c r="BO213">
        <f t="shared" si="26"/>
        <v>5</v>
      </c>
      <c r="BP213">
        <v>0</v>
      </c>
      <c r="BQ213">
        <f>SUM(BP213,BB213,BK213)</f>
        <v>0</v>
      </c>
      <c r="BR213">
        <f t="shared" si="30"/>
        <v>0</v>
      </c>
    </row>
    <row r="214" spans="1:70" hidden="1">
      <c r="A214" s="16" t="str">
        <f t="shared" si="28"/>
        <v>CMN_2024_UPZ_2_3</v>
      </c>
      <c r="B214" t="s">
        <v>62</v>
      </c>
      <c r="C214">
        <v>40.343000000000004</v>
      </c>
      <c r="D214">
        <v>124.36450000000001</v>
      </c>
      <c r="E214" s="8">
        <v>45494</v>
      </c>
      <c r="F214">
        <v>2024</v>
      </c>
      <c r="G214" t="s">
        <v>61</v>
      </c>
      <c r="H214" t="s">
        <v>45</v>
      </c>
      <c r="I214">
        <v>2</v>
      </c>
      <c r="J214">
        <v>3</v>
      </c>
      <c r="K214" t="s">
        <v>46</v>
      </c>
      <c r="L214" s="23">
        <v>13</v>
      </c>
      <c r="M214" s="23">
        <v>10</v>
      </c>
      <c r="N214" s="23">
        <v>0</v>
      </c>
      <c r="O214" s="23">
        <v>3</v>
      </c>
      <c r="P214" s="23">
        <v>18</v>
      </c>
      <c r="Q214" s="23">
        <v>0</v>
      </c>
      <c r="R214" s="23" t="s">
        <v>44</v>
      </c>
      <c r="S214" s="22">
        <v>0</v>
      </c>
      <c r="T214" s="23">
        <v>2</v>
      </c>
      <c r="U214" s="23">
        <f t="shared" si="34"/>
        <v>12</v>
      </c>
      <c r="V214" s="18">
        <v>4.7</v>
      </c>
      <c r="W214" s="18">
        <v>3.6</v>
      </c>
      <c r="X214" s="18">
        <v>5.3</v>
      </c>
      <c r="Y214" s="18">
        <v>4.4000000000000004</v>
      </c>
      <c r="Z214" s="18">
        <v>4.4000000000000004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1">
        <f t="shared" si="33"/>
        <v>0</v>
      </c>
      <c r="AG214" s="32" t="s">
        <v>44</v>
      </c>
      <c r="AH214">
        <v>0</v>
      </c>
      <c r="AI214">
        <v>11</v>
      </c>
      <c r="AJ214">
        <v>0</v>
      </c>
      <c r="AK214">
        <v>0</v>
      </c>
      <c r="AL214">
        <v>15</v>
      </c>
      <c r="AM214">
        <v>3</v>
      </c>
      <c r="AN214">
        <v>0</v>
      </c>
      <c r="AO214">
        <v>0</v>
      </c>
      <c r="AP214">
        <v>71</v>
      </c>
      <c r="AQ214" s="21" t="e">
        <f t="shared" ref="AQ214:AQ277" si="35">AP214-AG214</f>
        <v>#VALUE!</v>
      </c>
      <c r="AR214" s="12">
        <f t="shared" si="31"/>
        <v>100</v>
      </c>
      <c r="AS214">
        <v>0</v>
      </c>
      <c r="AT214">
        <v>0</v>
      </c>
      <c r="AU214">
        <v>0</v>
      </c>
      <c r="AV214" s="6">
        <v>0</v>
      </c>
      <c r="AW214">
        <v>0</v>
      </c>
      <c r="AX214">
        <v>2</v>
      </c>
      <c r="AY214" s="6">
        <v>0</v>
      </c>
      <c r="AZ214">
        <v>0</v>
      </c>
      <c r="BA214" s="6">
        <v>0</v>
      </c>
      <c r="BB214">
        <v>0</v>
      </c>
      <c r="BC214" s="6">
        <v>0</v>
      </c>
      <c r="BD214">
        <v>0</v>
      </c>
      <c r="BE214" s="6" t="s">
        <v>44</v>
      </c>
      <c r="BF214" s="6" t="s">
        <v>44</v>
      </c>
      <c r="BG214" s="6" t="s">
        <v>44</v>
      </c>
      <c r="BH214" s="6" t="s">
        <v>44</v>
      </c>
      <c r="BI214" s="6" t="s">
        <v>44</v>
      </c>
      <c r="BJ214" s="6" t="s">
        <v>44</v>
      </c>
      <c r="BK214" s="6">
        <v>0</v>
      </c>
      <c r="BL214" s="6">
        <f t="shared" si="32"/>
        <v>2</v>
      </c>
      <c r="BM214" s="6">
        <f t="shared" si="29"/>
        <v>2</v>
      </c>
      <c r="BN214">
        <v>11</v>
      </c>
      <c r="BO214">
        <f t="shared" si="26"/>
        <v>11</v>
      </c>
      <c r="BP214">
        <v>0</v>
      </c>
      <c r="BQ214">
        <f>SUM(BP214,BB214,BK214)</f>
        <v>0</v>
      </c>
      <c r="BR214">
        <f t="shared" si="30"/>
        <v>0</v>
      </c>
    </row>
    <row r="215" spans="1:70" hidden="1">
      <c r="A215" s="16" t="str">
        <f t="shared" si="28"/>
        <v>CMN_2024_UPZ_2_4</v>
      </c>
      <c r="B215" t="s">
        <v>62</v>
      </c>
      <c r="C215">
        <v>40.343000000000004</v>
      </c>
      <c r="D215">
        <v>124.36450000000001</v>
      </c>
      <c r="E215" s="8">
        <v>41841</v>
      </c>
      <c r="F215">
        <v>2024</v>
      </c>
      <c r="G215" t="s">
        <v>61</v>
      </c>
      <c r="H215" t="s">
        <v>45</v>
      </c>
      <c r="I215">
        <v>2</v>
      </c>
      <c r="J215">
        <v>4</v>
      </c>
      <c r="K215" t="s">
        <v>46</v>
      </c>
      <c r="L215" s="23">
        <v>31</v>
      </c>
      <c r="M215" s="23">
        <v>23</v>
      </c>
      <c r="N215" s="23">
        <v>0</v>
      </c>
      <c r="O215" s="23">
        <v>8</v>
      </c>
      <c r="P215" s="23">
        <v>42</v>
      </c>
      <c r="Q215" s="23">
        <v>0</v>
      </c>
      <c r="R215" s="23" t="s">
        <v>44</v>
      </c>
      <c r="S215" s="22">
        <v>0</v>
      </c>
      <c r="T215" s="23">
        <v>0</v>
      </c>
      <c r="U215" s="23">
        <f t="shared" si="34"/>
        <v>23</v>
      </c>
      <c r="V215" s="18">
        <v>4.3</v>
      </c>
      <c r="W215" s="18">
        <v>3.6</v>
      </c>
      <c r="X215" s="18">
        <v>6.9</v>
      </c>
      <c r="Y215" s="18">
        <v>7</v>
      </c>
      <c r="Z215" s="18">
        <v>5.5</v>
      </c>
      <c r="AA215" s="15">
        <v>0</v>
      </c>
      <c r="AB215" s="15">
        <v>1</v>
      </c>
      <c r="AC215" s="15">
        <v>0</v>
      </c>
      <c r="AD215" s="15">
        <v>0</v>
      </c>
      <c r="AE215" s="15">
        <v>0</v>
      </c>
      <c r="AF215" s="11">
        <f t="shared" si="33"/>
        <v>1</v>
      </c>
      <c r="AG215" s="32" t="s">
        <v>44</v>
      </c>
      <c r="AH215">
        <v>0</v>
      </c>
      <c r="AI215">
        <v>3</v>
      </c>
      <c r="AJ215">
        <v>0</v>
      </c>
      <c r="AK215">
        <v>0</v>
      </c>
      <c r="AL215">
        <v>85</v>
      </c>
      <c r="AM215">
        <v>2</v>
      </c>
      <c r="AN215">
        <v>0.1</v>
      </c>
      <c r="AO215">
        <v>0</v>
      </c>
      <c r="AP215">
        <v>10</v>
      </c>
      <c r="AQ215" s="21" t="e">
        <f t="shared" si="35"/>
        <v>#VALUE!</v>
      </c>
      <c r="AR215" s="12">
        <f t="shared" si="31"/>
        <v>100.1</v>
      </c>
      <c r="AS215">
        <v>0</v>
      </c>
      <c r="AT215">
        <v>0</v>
      </c>
      <c r="AU215">
        <v>0</v>
      </c>
      <c r="AV215" s="6">
        <v>0</v>
      </c>
      <c r="AW215">
        <v>0</v>
      </c>
      <c r="AX215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 t="s">
        <v>44</v>
      </c>
      <c r="BF215" s="6" t="s">
        <v>44</v>
      </c>
      <c r="BG215" s="6" t="s">
        <v>44</v>
      </c>
      <c r="BH215" s="6" t="s">
        <v>44</v>
      </c>
      <c r="BI215" s="6" t="s">
        <v>44</v>
      </c>
      <c r="BJ215" s="6" t="s">
        <v>44</v>
      </c>
      <c r="BK215" s="6">
        <v>0</v>
      </c>
      <c r="BL215" s="6">
        <f t="shared" si="32"/>
        <v>0</v>
      </c>
      <c r="BM215" s="6">
        <f t="shared" si="29"/>
        <v>0</v>
      </c>
      <c r="BN215">
        <v>3</v>
      </c>
      <c r="BO215">
        <f t="shared" si="26"/>
        <v>3</v>
      </c>
      <c r="BP215">
        <v>0</v>
      </c>
      <c r="BQ215">
        <f>SUM(BP215,BB215,BK215)</f>
        <v>0</v>
      </c>
      <c r="BR215">
        <f t="shared" si="30"/>
        <v>0</v>
      </c>
    </row>
    <row r="216" spans="1:70" hidden="1">
      <c r="A216" s="16" t="str">
        <f t="shared" si="28"/>
        <v>CMN_2024_UPZ_2_5</v>
      </c>
      <c r="B216" t="s">
        <v>62</v>
      </c>
      <c r="C216">
        <v>40.343000000000004</v>
      </c>
      <c r="D216">
        <v>124.36450000000001</v>
      </c>
      <c r="E216" s="8">
        <v>45494</v>
      </c>
      <c r="F216">
        <v>2024</v>
      </c>
      <c r="G216" t="s">
        <v>61</v>
      </c>
      <c r="H216" t="s">
        <v>45</v>
      </c>
      <c r="I216">
        <v>2</v>
      </c>
      <c r="J216">
        <v>5</v>
      </c>
      <c r="K216" t="s">
        <v>56</v>
      </c>
      <c r="L216" s="23">
        <v>20</v>
      </c>
      <c r="M216" s="23">
        <v>13</v>
      </c>
      <c r="N216" s="23">
        <v>7</v>
      </c>
      <c r="O216" s="23">
        <v>0</v>
      </c>
      <c r="P216" s="23">
        <v>14</v>
      </c>
      <c r="Q216" s="23">
        <v>0</v>
      </c>
      <c r="R216" s="23" t="s">
        <v>44</v>
      </c>
      <c r="S216" s="22">
        <v>0</v>
      </c>
      <c r="T216" s="23">
        <v>1</v>
      </c>
      <c r="U216" s="23">
        <f t="shared" si="34"/>
        <v>14</v>
      </c>
      <c r="V216" s="18">
        <v>6.1</v>
      </c>
      <c r="W216" s="18">
        <v>6.9</v>
      </c>
      <c r="X216" s="18">
        <v>6.1</v>
      </c>
      <c r="Y216" s="18">
        <v>4.7</v>
      </c>
      <c r="Z216" s="18">
        <v>6.8</v>
      </c>
      <c r="AA216" s="15">
        <v>0</v>
      </c>
      <c r="AB216" s="15">
        <v>1</v>
      </c>
      <c r="AC216" s="15">
        <v>0</v>
      </c>
      <c r="AD216" s="15">
        <v>0</v>
      </c>
      <c r="AE216" s="15">
        <v>0</v>
      </c>
      <c r="AF216" s="11">
        <f t="shared" si="33"/>
        <v>1</v>
      </c>
      <c r="AG216" s="32" t="s">
        <v>44</v>
      </c>
      <c r="AH216">
        <v>0</v>
      </c>
      <c r="AI216">
        <v>7</v>
      </c>
      <c r="AJ216">
        <v>0</v>
      </c>
      <c r="AK216">
        <v>0</v>
      </c>
      <c r="AL216">
        <v>15</v>
      </c>
      <c r="AM216">
        <v>1</v>
      </c>
      <c r="AN216">
        <v>3</v>
      </c>
      <c r="AO216">
        <v>0.1</v>
      </c>
      <c r="AP216">
        <v>74</v>
      </c>
      <c r="AQ216" s="21" t="e">
        <f t="shared" si="35"/>
        <v>#VALUE!</v>
      </c>
      <c r="AR216" s="12">
        <f t="shared" si="31"/>
        <v>100.1</v>
      </c>
      <c r="AS216">
        <v>0</v>
      </c>
      <c r="AT216">
        <v>0</v>
      </c>
      <c r="AU216">
        <v>0</v>
      </c>
      <c r="AV216" s="6">
        <v>0</v>
      </c>
      <c r="AW216">
        <v>0</v>
      </c>
      <c r="AX216">
        <v>0</v>
      </c>
      <c r="AY216" s="6">
        <v>0</v>
      </c>
      <c r="AZ216">
        <v>0</v>
      </c>
      <c r="BA216" s="6">
        <v>0</v>
      </c>
      <c r="BB216">
        <v>0</v>
      </c>
      <c r="BC216" s="6">
        <v>0</v>
      </c>
      <c r="BD216">
        <v>0</v>
      </c>
      <c r="BE216" s="6" t="s">
        <v>44</v>
      </c>
      <c r="BF216" s="6" t="s">
        <v>44</v>
      </c>
      <c r="BG216" s="6" t="s">
        <v>44</v>
      </c>
      <c r="BH216" s="6" t="s">
        <v>44</v>
      </c>
      <c r="BI216" s="6" t="s">
        <v>44</v>
      </c>
      <c r="BJ216" s="6" t="s">
        <v>44</v>
      </c>
      <c r="BK216" s="6">
        <v>0</v>
      </c>
      <c r="BL216" s="6">
        <f t="shared" si="32"/>
        <v>0</v>
      </c>
      <c r="BM216" s="6">
        <f t="shared" si="29"/>
        <v>0</v>
      </c>
      <c r="BN216">
        <v>7</v>
      </c>
      <c r="BO216">
        <f t="shared" si="26"/>
        <v>7</v>
      </c>
      <c r="BP216">
        <v>0</v>
      </c>
      <c r="BQ216">
        <f>SUM(BP216,BB216,BK216)</f>
        <v>0</v>
      </c>
      <c r="BR216">
        <f t="shared" si="30"/>
        <v>0</v>
      </c>
    </row>
    <row r="217" spans="1:70" hidden="1">
      <c r="A217" s="16" t="str">
        <f t="shared" si="28"/>
        <v>CMN_2024_NPZ_1_1</v>
      </c>
      <c r="B217" t="s">
        <v>62</v>
      </c>
      <c r="C217">
        <v>40.343000000000004</v>
      </c>
      <c r="D217">
        <v>124.36450000000001</v>
      </c>
      <c r="E217" s="8">
        <v>41841</v>
      </c>
      <c r="F217">
        <v>2024</v>
      </c>
      <c r="G217" t="s">
        <v>61</v>
      </c>
      <c r="H217" t="s">
        <v>48</v>
      </c>
      <c r="I217">
        <v>1</v>
      </c>
      <c r="J217">
        <v>1</v>
      </c>
      <c r="K217" t="s">
        <v>46</v>
      </c>
      <c r="L217" s="23">
        <v>26</v>
      </c>
      <c r="M217" s="23">
        <v>0</v>
      </c>
      <c r="N217" s="23">
        <v>0</v>
      </c>
      <c r="O217" s="23">
        <v>26</v>
      </c>
      <c r="P217" s="23">
        <v>7</v>
      </c>
      <c r="Q217" s="23">
        <v>0</v>
      </c>
      <c r="R217" s="23" t="s">
        <v>44</v>
      </c>
      <c r="S217" s="22">
        <v>0</v>
      </c>
      <c r="T217" s="23">
        <v>0</v>
      </c>
      <c r="U217" s="23">
        <f t="shared" si="34"/>
        <v>0</v>
      </c>
      <c r="V217" s="18">
        <v>5.9</v>
      </c>
      <c r="W217" s="18">
        <v>4.5999999999999996</v>
      </c>
      <c r="X217" s="18">
        <v>6.8</v>
      </c>
      <c r="Y217" s="18">
        <v>6</v>
      </c>
      <c r="Z217" s="18">
        <v>6.3</v>
      </c>
      <c r="AA217" s="15">
        <v>1</v>
      </c>
      <c r="AB217" s="15">
        <v>0</v>
      </c>
      <c r="AC217" s="15">
        <v>0</v>
      </c>
      <c r="AD217" s="15">
        <v>0</v>
      </c>
      <c r="AE217" s="15">
        <v>0</v>
      </c>
      <c r="AF217" s="11">
        <f t="shared" si="33"/>
        <v>1</v>
      </c>
      <c r="AG217" s="32" t="s">
        <v>44</v>
      </c>
      <c r="AH217">
        <v>0</v>
      </c>
      <c r="AI217">
        <v>0</v>
      </c>
      <c r="AJ217">
        <v>0</v>
      </c>
      <c r="AK217">
        <v>0</v>
      </c>
      <c r="AL217">
        <v>77</v>
      </c>
      <c r="AM217">
        <v>3</v>
      </c>
      <c r="AN217">
        <v>12</v>
      </c>
      <c r="AO217">
        <v>0</v>
      </c>
      <c r="AP217">
        <v>8</v>
      </c>
      <c r="AQ217" s="21" t="e">
        <f t="shared" si="35"/>
        <v>#VALUE!</v>
      </c>
      <c r="AR217" s="12">
        <f t="shared" si="31"/>
        <v>100</v>
      </c>
      <c r="AS217">
        <v>0</v>
      </c>
      <c r="AT217">
        <v>0</v>
      </c>
      <c r="AU217">
        <v>0</v>
      </c>
      <c r="AV217" s="6">
        <v>0</v>
      </c>
      <c r="AW217">
        <v>0</v>
      </c>
      <c r="AX217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 t="s">
        <v>44</v>
      </c>
      <c r="BF217" s="6" t="s">
        <v>44</v>
      </c>
      <c r="BG217" s="6" t="s">
        <v>44</v>
      </c>
      <c r="BH217" s="6" t="s">
        <v>44</v>
      </c>
      <c r="BI217" s="6" t="s">
        <v>44</v>
      </c>
      <c r="BJ217" s="6" t="s">
        <v>44</v>
      </c>
      <c r="BK217" s="6">
        <v>0</v>
      </c>
      <c r="BL217" s="6">
        <f t="shared" si="32"/>
        <v>0</v>
      </c>
      <c r="BM217" s="6">
        <f t="shared" si="29"/>
        <v>0</v>
      </c>
      <c r="BN217">
        <v>0</v>
      </c>
      <c r="BO217">
        <f t="shared" si="26"/>
        <v>0</v>
      </c>
      <c r="BP217">
        <v>0</v>
      </c>
      <c r="BQ217">
        <f>SUM(BP217,BB217,BK217)</f>
        <v>0</v>
      </c>
      <c r="BR217">
        <f t="shared" si="30"/>
        <v>0</v>
      </c>
    </row>
    <row r="218" spans="1:70" hidden="1">
      <c r="A218" s="16" t="str">
        <f t="shared" si="28"/>
        <v>CMN_2024_NPZ_1_2</v>
      </c>
      <c r="B218" t="s">
        <v>62</v>
      </c>
      <c r="C218">
        <v>40.343000000000004</v>
      </c>
      <c r="D218">
        <v>124.36450000000001</v>
      </c>
      <c r="E218" s="8">
        <v>45494</v>
      </c>
      <c r="F218">
        <v>2024</v>
      </c>
      <c r="G218" t="s">
        <v>61</v>
      </c>
      <c r="H218" t="s">
        <v>48</v>
      </c>
      <c r="I218">
        <v>1</v>
      </c>
      <c r="J218">
        <v>2</v>
      </c>
      <c r="K218" t="s">
        <v>46</v>
      </c>
      <c r="L218" s="23">
        <v>32</v>
      </c>
      <c r="M218" s="23">
        <v>0</v>
      </c>
      <c r="N218" s="23">
        <v>0</v>
      </c>
      <c r="O218" s="23">
        <v>32</v>
      </c>
      <c r="P218" s="23">
        <v>29</v>
      </c>
      <c r="Q218" s="23">
        <v>0</v>
      </c>
      <c r="R218" s="23" t="s">
        <v>44</v>
      </c>
      <c r="S218" s="22">
        <v>0</v>
      </c>
      <c r="T218" s="23">
        <v>0</v>
      </c>
      <c r="U218" s="23">
        <f t="shared" si="34"/>
        <v>0</v>
      </c>
      <c r="V218" s="18">
        <v>6.1</v>
      </c>
      <c r="W218" s="18">
        <v>6.5</v>
      </c>
      <c r="X218" s="18">
        <v>4</v>
      </c>
      <c r="Y218" s="18">
        <v>4.2</v>
      </c>
      <c r="Z218" s="18">
        <v>4.2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1">
        <f t="shared" si="33"/>
        <v>0</v>
      </c>
      <c r="AG218" s="32" t="s">
        <v>44</v>
      </c>
      <c r="AH218">
        <v>0</v>
      </c>
      <c r="AI218">
        <v>0</v>
      </c>
      <c r="AJ218">
        <v>0</v>
      </c>
      <c r="AK218">
        <v>0</v>
      </c>
      <c r="AL218">
        <v>90</v>
      </c>
      <c r="AM218">
        <v>2</v>
      </c>
      <c r="AN218">
        <v>1</v>
      </c>
      <c r="AO218">
        <v>0.1</v>
      </c>
      <c r="AP218">
        <v>7</v>
      </c>
      <c r="AQ218" s="21" t="e">
        <f t="shared" si="35"/>
        <v>#VALUE!</v>
      </c>
      <c r="AR218" s="12">
        <f t="shared" si="31"/>
        <v>100.1</v>
      </c>
      <c r="AS218">
        <v>0</v>
      </c>
      <c r="AT218">
        <v>0</v>
      </c>
      <c r="AU218">
        <v>0</v>
      </c>
      <c r="AV218" s="6">
        <v>0</v>
      </c>
      <c r="AW218">
        <v>0</v>
      </c>
      <c r="AX218">
        <v>0</v>
      </c>
      <c r="AY218" s="6">
        <v>0</v>
      </c>
      <c r="AZ218">
        <v>0</v>
      </c>
      <c r="BA218" s="6">
        <v>0</v>
      </c>
      <c r="BB218">
        <v>0</v>
      </c>
      <c r="BC218" s="6">
        <v>0</v>
      </c>
      <c r="BD218">
        <v>0</v>
      </c>
      <c r="BE218" s="6" t="s">
        <v>44</v>
      </c>
      <c r="BF218" s="6" t="s">
        <v>44</v>
      </c>
      <c r="BG218" s="6" t="s">
        <v>44</v>
      </c>
      <c r="BH218" s="6" t="s">
        <v>44</v>
      </c>
      <c r="BI218" s="6" t="s">
        <v>44</v>
      </c>
      <c r="BJ218" s="6" t="s">
        <v>44</v>
      </c>
      <c r="BK218" s="6">
        <v>0</v>
      </c>
      <c r="BL218" s="6">
        <f t="shared" si="32"/>
        <v>0</v>
      </c>
      <c r="BM218" s="6">
        <f t="shared" si="29"/>
        <v>0</v>
      </c>
      <c r="BN218">
        <v>0</v>
      </c>
      <c r="BO218">
        <f t="shared" si="26"/>
        <v>0</v>
      </c>
      <c r="BP218">
        <v>0</v>
      </c>
      <c r="BQ218">
        <f>SUM(BP218,BB218,BK218)</f>
        <v>0</v>
      </c>
      <c r="BR218">
        <f t="shared" si="30"/>
        <v>0</v>
      </c>
    </row>
    <row r="219" spans="1:70" hidden="1">
      <c r="A219" s="16" t="str">
        <f t="shared" si="28"/>
        <v>CMN_2024_NPZ_1_3</v>
      </c>
      <c r="B219" t="s">
        <v>62</v>
      </c>
      <c r="C219">
        <v>40.343000000000004</v>
      </c>
      <c r="D219">
        <v>124.36450000000001</v>
      </c>
      <c r="E219" s="8">
        <v>41841</v>
      </c>
      <c r="F219">
        <v>2024</v>
      </c>
      <c r="G219" t="s">
        <v>61</v>
      </c>
      <c r="H219" t="s">
        <v>48</v>
      </c>
      <c r="I219">
        <v>1</v>
      </c>
      <c r="J219">
        <v>3</v>
      </c>
      <c r="K219" t="s">
        <v>83</v>
      </c>
      <c r="L219" s="23">
        <v>30</v>
      </c>
      <c r="M219" s="23">
        <v>29</v>
      </c>
      <c r="N219" s="23">
        <v>0</v>
      </c>
      <c r="O219" s="23">
        <v>1</v>
      </c>
      <c r="P219" s="23">
        <v>32</v>
      </c>
      <c r="Q219" s="23">
        <v>0</v>
      </c>
      <c r="R219" s="23" t="s">
        <v>44</v>
      </c>
      <c r="S219" s="22">
        <v>0</v>
      </c>
      <c r="T219" s="23">
        <v>2</v>
      </c>
      <c r="U219" s="23">
        <f t="shared" si="34"/>
        <v>31</v>
      </c>
      <c r="V219" s="18">
        <v>4.3</v>
      </c>
      <c r="W219" s="18">
        <v>4.9000000000000004</v>
      </c>
      <c r="X219" s="18">
        <v>4.4000000000000004</v>
      </c>
      <c r="Y219" s="18">
        <v>4.8</v>
      </c>
      <c r="Z219" s="18">
        <v>5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1">
        <f t="shared" si="33"/>
        <v>0</v>
      </c>
      <c r="AG219" s="32" t="s">
        <v>44</v>
      </c>
      <c r="AH219">
        <v>0</v>
      </c>
      <c r="AI219">
        <v>5</v>
      </c>
      <c r="AJ219">
        <v>0</v>
      </c>
      <c r="AK219">
        <v>0</v>
      </c>
      <c r="AL219">
        <v>11</v>
      </c>
      <c r="AM219">
        <v>0.1</v>
      </c>
      <c r="AN219">
        <v>2</v>
      </c>
      <c r="AO219">
        <v>0</v>
      </c>
      <c r="AP219">
        <v>82</v>
      </c>
      <c r="AQ219" s="21" t="e">
        <f t="shared" si="35"/>
        <v>#VALUE!</v>
      </c>
      <c r="AR219" s="12">
        <f t="shared" si="31"/>
        <v>100.1</v>
      </c>
      <c r="AS219">
        <v>0</v>
      </c>
      <c r="AT219">
        <v>0</v>
      </c>
      <c r="AU219">
        <v>0</v>
      </c>
      <c r="AV219" s="6">
        <v>0</v>
      </c>
      <c r="AW219">
        <v>0</v>
      </c>
      <c r="AX219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 t="s">
        <v>44</v>
      </c>
      <c r="BF219" s="6" t="s">
        <v>44</v>
      </c>
      <c r="BG219" s="6" t="s">
        <v>44</v>
      </c>
      <c r="BH219" s="6" t="s">
        <v>44</v>
      </c>
      <c r="BI219" s="6" t="s">
        <v>44</v>
      </c>
      <c r="BJ219" s="6" t="s">
        <v>44</v>
      </c>
      <c r="BK219" s="6">
        <v>0</v>
      </c>
      <c r="BL219" s="6">
        <f t="shared" si="32"/>
        <v>0</v>
      </c>
      <c r="BM219" s="6">
        <f t="shared" si="29"/>
        <v>0</v>
      </c>
      <c r="BN219">
        <v>5</v>
      </c>
      <c r="BO219">
        <f t="shared" si="26"/>
        <v>5</v>
      </c>
      <c r="BP219">
        <v>0</v>
      </c>
      <c r="BQ219">
        <f>SUM(BP219,BB219,BK219)</f>
        <v>0</v>
      </c>
      <c r="BR219">
        <f t="shared" si="30"/>
        <v>0</v>
      </c>
    </row>
    <row r="220" spans="1:70" hidden="1">
      <c r="A220" s="16" t="str">
        <f t="shared" si="28"/>
        <v>CMN_2024_NPZ_1_4</v>
      </c>
      <c r="B220" t="s">
        <v>62</v>
      </c>
      <c r="C220">
        <v>40.343000000000004</v>
      </c>
      <c r="D220">
        <v>124.36450000000001</v>
      </c>
      <c r="E220" s="8">
        <v>45494</v>
      </c>
      <c r="F220">
        <v>2024</v>
      </c>
      <c r="G220" t="s">
        <v>61</v>
      </c>
      <c r="H220" t="s">
        <v>48</v>
      </c>
      <c r="I220">
        <v>1</v>
      </c>
      <c r="J220">
        <v>4</v>
      </c>
      <c r="K220" t="s">
        <v>83</v>
      </c>
      <c r="L220" s="23">
        <v>35</v>
      </c>
      <c r="M220" s="23">
        <v>17</v>
      </c>
      <c r="N220" s="23">
        <v>7</v>
      </c>
      <c r="O220" s="23">
        <v>11</v>
      </c>
      <c r="P220" s="23">
        <v>11</v>
      </c>
      <c r="Q220" s="23">
        <v>0</v>
      </c>
      <c r="R220" s="23" t="s">
        <v>44</v>
      </c>
      <c r="S220" s="22">
        <v>0</v>
      </c>
      <c r="T220" s="23">
        <v>1</v>
      </c>
      <c r="U220" s="23">
        <f t="shared" si="34"/>
        <v>18</v>
      </c>
      <c r="V220" s="18">
        <v>3.7</v>
      </c>
      <c r="W220" s="18">
        <v>3.3</v>
      </c>
      <c r="X220" s="18">
        <v>4.0999999999999996</v>
      </c>
      <c r="Y220" s="18">
        <v>5.8</v>
      </c>
      <c r="Z220" s="18">
        <v>4</v>
      </c>
      <c r="AA220" s="15">
        <v>0</v>
      </c>
      <c r="AB220" s="15">
        <v>3</v>
      </c>
      <c r="AC220" s="15">
        <v>0</v>
      </c>
      <c r="AD220" s="15">
        <v>0</v>
      </c>
      <c r="AE220" s="15">
        <v>0</v>
      </c>
      <c r="AF220" s="11">
        <f t="shared" si="33"/>
        <v>3</v>
      </c>
      <c r="AG220" s="32">
        <v>34</v>
      </c>
      <c r="AH220">
        <v>0</v>
      </c>
      <c r="AI220">
        <v>29</v>
      </c>
      <c r="AJ220">
        <v>0</v>
      </c>
      <c r="AK220">
        <v>0</v>
      </c>
      <c r="AL220">
        <v>12</v>
      </c>
      <c r="AM220">
        <v>0.1</v>
      </c>
      <c r="AN220">
        <v>3</v>
      </c>
      <c r="AO220">
        <v>2</v>
      </c>
      <c r="AP220">
        <v>54</v>
      </c>
      <c r="AQ220" s="21">
        <f t="shared" si="35"/>
        <v>20</v>
      </c>
      <c r="AR220" s="12">
        <f t="shared" si="31"/>
        <v>100.1</v>
      </c>
      <c r="AS220">
        <v>0</v>
      </c>
      <c r="AT220">
        <v>0</v>
      </c>
      <c r="AU220">
        <v>3</v>
      </c>
      <c r="AV220" s="6">
        <v>0</v>
      </c>
      <c r="AW220">
        <v>0</v>
      </c>
      <c r="AX220">
        <v>12</v>
      </c>
      <c r="AY220" s="6">
        <v>0</v>
      </c>
      <c r="AZ220">
        <v>0</v>
      </c>
      <c r="BA220" s="6">
        <v>0</v>
      </c>
      <c r="BB220">
        <v>0</v>
      </c>
      <c r="BC220" s="6">
        <v>0</v>
      </c>
      <c r="BD220">
        <v>0</v>
      </c>
      <c r="BE220" s="6" t="s">
        <v>44</v>
      </c>
      <c r="BF220" s="6" t="s">
        <v>44</v>
      </c>
      <c r="BG220" s="6" t="s">
        <v>44</v>
      </c>
      <c r="BH220" s="6" t="s">
        <v>44</v>
      </c>
      <c r="BI220" s="6" t="s">
        <v>44</v>
      </c>
      <c r="BJ220" s="6" t="s">
        <v>44</v>
      </c>
      <c r="BK220" s="6">
        <v>0</v>
      </c>
      <c r="BL220" s="6">
        <f t="shared" si="32"/>
        <v>12</v>
      </c>
      <c r="BM220" s="6">
        <f t="shared" si="29"/>
        <v>15</v>
      </c>
    </row>
    <row r="221" spans="1:70" hidden="1">
      <c r="A221" s="16" t="str">
        <f t="shared" si="28"/>
        <v>CMN_2024_NPZ_1_5</v>
      </c>
      <c r="B221" t="s">
        <v>62</v>
      </c>
      <c r="C221">
        <v>40.343000000000004</v>
      </c>
      <c r="D221">
        <v>124.36450000000001</v>
      </c>
      <c r="E221" s="8">
        <v>41841</v>
      </c>
      <c r="F221">
        <v>2024</v>
      </c>
      <c r="G221" t="s">
        <v>61</v>
      </c>
      <c r="H221" t="s">
        <v>48</v>
      </c>
      <c r="I221">
        <v>1</v>
      </c>
      <c r="J221">
        <v>5</v>
      </c>
      <c r="K221" t="s">
        <v>46</v>
      </c>
      <c r="L221" s="23">
        <v>20</v>
      </c>
      <c r="M221" s="23">
        <v>4</v>
      </c>
      <c r="N221" s="23">
        <v>14</v>
      </c>
      <c r="O221" s="23">
        <v>2</v>
      </c>
      <c r="P221" s="23">
        <v>18</v>
      </c>
      <c r="Q221" s="23">
        <v>0</v>
      </c>
      <c r="R221" s="23" t="s">
        <v>44</v>
      </c>
      <c r="S221" s="22">
        <v>0</v>
      </c>
      <c r="T221" s="23">
        <v>0</v>
      </c>
      <c r="U221" s="23">
        <f t="shared" si="34"/>
        <v>4</v>
      </c>
      <c r="V221" s="18">
        <v>5.2</v>
      </c>
      <c r="W221" s="18">
        <v>4.3</v>
      </c>
      <c r="X221" s="18">
        <v>4.0999999999999996</v>
      </c>
      <c r="Y221" s="18">
        <v>4.7</v>
      </c>
      <c r="Z221" s="18">
        <v>3.6</v>
      </c>
      <c r="AA221" s="15">
        <v>0</v>
      </c>
      <c r="AB221" s="15">
        <v>1</v>
      </c>
      <c r="AC221" s="15">
        <v>1</v>
      </c>
      <c r="AD221" s="15">
        <v>0</v>
      </c>
      <c r="AE221" s="15">
        <v>0</v>
      </c>
      <c r="AF221" s="11">
        <f t="shared" si="33"/>
        <v>2</v>
      </c>
      <c r="AG221" s="32" t="s">
        <v>44</v>
      </c>
      <c r="AH221">
        <v>0</v>
      </c>
      <c r="AI221">
        <v>80</v>
      </c>
      <c r="AJ221">
        <v>0.1</v>
      </c>
      <c r="AK221">
        <v>0</v>
      </c>
      <c r="AL221">
        <v>5</v>
      </c>
      <c r="AM221">
        <v>1</v>
      </c>
      <c r="AN221">
        <v>3</v>
      </c>
      <c r="AO221">
        <v>0.1</v>
      </c>
      <c r="AP221">
        <v>11</v>
      </c>
      <c r="AQ221" s="21" t="e">
        <f t="shared" si="35"/>
        <v>#VALUE!</v>
      </c>
      <c r="AR221" s="12">
        <f t="shared" si="31"/>
        <v>100.19999999999999</v>
      </c>
      <c r="AS221">
        <v>0</v>
      </c>
      <c r="AT221">
        <v>0</v>
      </c>
      <c r="AU221">
        <v>0</v>
      </c>
      <c r="AV221" s="6">
        <v>0</v>
      </c>
      <c r="AW221">
        <v>0</v>
      </c>
      <c r="AX221">
        <v>20</v>
      </c>
      <c r="AY221">
        <v>1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 t="s">
        <v>44</v>
      </c>
      <c r="BF221" s="6" t="s">
        <v>44</v>
      </c>
      <c r="BG221" s="6" t="s">
        <v>44</v>
      </c>
      <c r="BH221" s="6" t="s">
        <v>44</v>
      </c>
      <c r="BI221" s="6" t="s">
        <v>44</v>
      </c>
      <c r="BJ221" s="6" t="s">
        <v>44</v>
      </c>
      <c r="BK221" s="6">
        <v>0</v>
      </c>
      <c r="BL221" s="6">
        <f t="shared" si="32"/>
        <v>21</v>
      </c>
      <c r="BM221" s="6">
        <f t="shared" si="29"/>
        <v>21</v>
      </c>
      <c r="BN221">
        <v>80</v>
      </c>
      <c r="BO221">
        <f t="shared" si="26"/>
        <v>80</v>
      </c>
      <c r="BP221">
        <v>0.1</v>
      </c>
      <c r="BQ221">
        <f>SUM(BP221,BB221,BK221)</f>
        <v>0.1</v>
      </c>
      <c r="BR221">
        <f t="shared" si="30"/>
        <v>0</v>
      </c>
    </row>
    <row r="222" spans="1:70" hidden="1">
      <c r="A222" s="16" t="str">
        <f t="shared" si="28"/>
        <v>FC_2024_UPZ_1_1</v>
      </c>
      <c r="B222" t="s">
        <v>63</v>
      </c>
      <c r="C222">
        <v>44.8386</v>
      </c>
      <c r="D222">
        <v>-124.05875</v>
      </c>
      <c r="E222" s="8">
        <v>45506</v>
      </c>
      <c r="F222">
        <v>2024</v>
      </c>
      <c r="G222" t="s">
        <v>64</v>
      </c>
      <c r="H222" t="s">
        <v>45</v>
      </c>
      <c r="I222">
        <v>1</v>
      </c>
      <c r="J222">
        <v>1</v>
      </c>
      <c r="K222" t="s">
        <v>46</v>
      </c>
      <c r="L222" s="23">
        <v>57</v>
      </c>
      <c r="M222" s="23">
        <v>57</v>
      </c>
      <c r="N222" s="23">
        <v>0</v>
      </c>
      <c r="O222" s="23">
        <v>0</v>
      </c>
      <c r="P222" s="23">
        <v>3</v>
      </c>
      <c r="Q222" s="23">
        <v>3</v>
      </c>
      <c r="R222" s="23" t="s">
        <v>44</v>
      </c>
      <c r="S222" s="22">
        <v>0</v>
      </c>
      <c r="T222" s="23">
        <v>2</v>
      </c>
      <c r="U222" s="23">
        <v>60</v>
      </c>
      <c r="V222" s="18">
        <v>4.5999999999999996</v>
      </c>
      <c r="W222" s="18">
        <v>4.8</v>
      </c>
      <c r="X222" s="18">
        <v>3.4</v>
      </c>
      <c r="Y222" s="18">
        <v>5</v>
      </c>
      <c r="Z222" s="18">
        <v>3.5</v>
      </c>
      <c r="AA222" s="15">
        <v>2</v>
      </c>
      <c r="AB222" s="15">
        <v>0</v>
      </c>
      <c r="AC222" s="15">
        <v>0</v>
      </c>
      <c r="AD222" s="15">
        <v>1</v>
      </c>
      <c r="AE222" s="15">
        <v>0</v>
      </c>
      <c r="AF222" s="11">
        <f t="shared" si="33"/>
        <v>3</v>
      </c>
      <c r="AG222" s="32" t="s">
        <v>44</v>
      </c>
      <c r="AH222">
        <v>0</v>
      </c>
      <c r="AI222">
        <v>17</v>
      </c>
      <c r="AJ222">
        <v>1</v>
      </c>
      <c r="AK222">
        <v>0</v>
      </c>
      <c r="AL222">
        <v>7</v>
      </c>
      <c r="AM222">
        <v>0</v>
      </c>
      <c r="AN222">
        <v>7</v>
      </c>
      <c r="AO222">
        <v>0</v>
      </c>
      <c r="AP222">
        <v>68</v>
      </c>
      <c r="AQ222" s="21" t="e">
        <f t="shared" si="35"/>
        <v>#VALUE!</v>
      </c>
      <c r="AR222" s="12">
        <f t="shared" si="31"/>
        <v>100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0</v>
      </c>
      <c r="BA222" s="6">
        <v>0</v>
      </c>
      <c r="BB222">
        <v>0</v>
      </c>
      <c r="BC222" s="6">
        <v>0</v>
      </c>
      <c r="BD222">
        <v>0</v>
      </c>
      <c r="BE222" s="6" t="s">
        <v>44</v>
      </c>
      <c r="BF222" s="6" t="s">
        <v>44</v>
      </c>
      <c r="BG222" s="6" t="s">
        <v>44</v>
      </c>
      <c r="BH222" s="6" t="s">
        <v>44</v>
      </c>
      <c r="BI222" s="6" t="s">
        <v>44</v>
      </c>
      <c r="BJ222" s="6" t="s">
        <v>44</v>
      </c>
      <c r="BK222" s="6">
        <v>0</v>
      </c>
      <c r="BL222" s="6">
        <f t="shared" si="32"/>
        <v>2</v>
      </c>
      <c r="BM222" s="6">
        <f t="shared" si="29"/>
        <v>2</v>
      </c>
      <c r="BN222">
        <v>17</v>
      </c>
      <c r="BO222">
        <f t="shared" si="26"/>
        <v>17</v>
      </c>
      <c r="BP222">
        <v>1</v>
      </c>
      <c r="BQ222">
        <f>SUM(BP222,BB222,BK222)</f>
        <v>1</v>
      </c>
      <c r="BR222">
        <f t="shared" si="30"/>
        <v>0</v>
      </c>
    </row>
    <row r="223" spans="1:70" hidden="1">
      <c r="A223" s="16" t="str">
        <f t="shared" si="28"/>
        <v>FC_2024_UPZ_1_2</v>
      </c>
      <c r="B223" t="s">
        <v>63</v>
      </c>
      <c r="C223">
        <v>44.8386</v>
      </c>
      <c r="D223">
        <v>-124.05875</v>
      </c>
      <c r="E223" s="8">
        <v>45506</v>
      </c>
      <c r="F223">
        <v>2024</v>
      </c>
      <c r="G223" t="s">
        <v>64</v>
      </c>
      <c r="H223" t="s">
        <v>45</v>
      </c>
      <c r="I223">
        <v>1</v>
      </c>
      <c r="J223">
        <v>2</v>
      </c>
      <c r="K223" t="s">
        <v>43</v>
      </c>
      <c r="L223" s="23">
        <v>10</v>
      </c>
      <c r="M223" s="23">
        <v>10</v>
      </c>
      <c r="N223" s="23">
        <v>0</v>
      </c>
      <c r="O223" s="23">
        <v>0</v>
      </c>
      <c r="P223" s="23">
        <v>0</v>
      </c>
      <c r="Q223" s="23">
        <v>0</v>
      </c>
      <c r="R223" s="23" t="s">
        <v>44</v>
      </c>
      <c r="S223" s="22">
        <v>0</v>
      </c>
      <c r="T223" s="23">
        <v>3</v>
      </c>
      <c r="U223" s="23">
        <v>17</v>
      </c>
      <c r="V223" s="18">
        <v>5.0999999999999996</v>
      </c>
      <c r="W223" s="18">
        <v>3.9</v>
      </c>
      <c r="X223" s="18">
        <v>3.3</v>
      </c>
      <c r="Y223" s="18">
        <v>2.8</v>
      </c>
      <c r="AA223" s="15">
        <v>0</v>
      </c>
      <c r="AB223" s="15">
        <v>1</v>
      </c>
      <c r="AC223" s="15">
        <v>0</v>
      </c>
      <c r="AD223" s="15">
        <v>0</v>
      </c>
      <c r="AE223" s="15">
        <v>0</v>
      </c>
      <c r="AF223" s="11">
        <f t="shared" si="33"/>
        <v>1</v>
      </c>
      <c r="AG223" s="32" t="s">
        <v>44</v>
      </c>
      <c r="AH223">
        <v>0</v>
      </c>
      <c r="AI223">
        <v>61</v>
      </c>
      <c r="AJ223">
        <v>0</v>
      </c>
      <c r="AK223">
        <v>0</v>
      </c>
      <c r="AL223">
        <v>9</v>
      </c>
      <c r="AM223">
        <v>5</v>
      </c>
      <c r="AN223">
        <v>14</v>
      </c>
      <c r="AO223">
        <v>0</v>
      </c>
      <c r="AP223">
        <v>11</v>
      </c>
      <c r="AQ223" s="21" t="e">
        <f t="shared" si="35"/>
        <v>#VALUE!</v>
      </c>
      <c r="AR223" s="12">
        <f t="shared" si="31"/>
        <v>100</v>
      </c>
      <c r="AS223">
        <v>0</v>
      </c>
      <c r="AT223">
        <v>0</v>
      </c>
      <c r="AU223">
        <v>0</v>
      </c>
      <c r="AV223" s="6">
        <v>0</v>
      </c>
      <c r="AW223">
        <v>0</v>
      </c>
      <c r="AX223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 t="s">
        <v>44</v>
      </c>
      <c r="BF223" s="6" t="s">
        <v>44</v>
      </c>
      <c r="BG223" s="6" t="s">
        <v>44</v>
      </c>
      <c r="BH223" s="6" t="s">
        <v>44</v>
      </c>
      <c r="BI223" s="6" t="s">
        <v>44</v>
      </c>
      <c r="BJ223" s="6" t="s">
        <v>44</v>
      </c>
      <c r="BK223" s="6">
        <v>0</v>
      </c>
      <c r="BL223" s="6">
        <f t="shared" si="32"/>
        <v>0</v>
      </c>
      <c r="BM223" s="6">
        <f t="shared" si="29"/>
        <v>0</v>
      </c>
      <c r="BN223">
        <v>61</v>
      </c>
      <c r="BO223">
        <f t="shared" si="26"/>
        <v>61</v>
      </c>
      <c r="BP223">
        <v>0</v>
      </c>
      <c r="BQ223">
        <f>SUM(BP223,BB223,BK223)</f>
        <v>0</v>
      </c>
      <c r="BR223">
        <f t="shared" si="30"/>
        <v>0</v>
      </c>
    </row>
    <row r="224" spans="1:70" hidden="1">
      <c r="A224" s="16" t="str">
        <f t="shared" si="28"/>
        <v>FC_2024_UPZ_1_3</v>
      </c>
      <c r="B224" t="s">
        <v>63</v>
      </c>
      <c r="C224">
        <v>44.8386</v>
      </c>
      <c r="D224">
        <v>-124.05875</v>
      </c>
      <c r="E224" s="8">
        <v>45506</v>
      </c>
      <c r="F224">
        <v>2024</v>
      </c>
      <c r="G224" t="s">
        <v>64</v>
      </c>
      <c r="H224" t="s">
        <v>45</v>
      </c>
      <c r="I224">
        <v>1</v>
      </c>
      <c r="J224">
        <v>3</v>
      </c>
      <c r="K224" t="s">
        <v>43</v>
      </c>
      <c r="L224" s="23">
        <v>16</v>
      </c>
      <c r="M224" s="23">
        <v>16</v>
      </c>
      <c r="N224" s="23">
        <v>0</v>
      </c>
      <c r="O224" s="23">
        <v>0</v>
      </c>
      <c r="P224" s="23">
        <v>1</v>
      </c>
      <c r="Q224" s="23">
        <v>1</v>
      </c>
      <c r="R224" s="23" t="s">
        <v>44</v>
      </c>
      <c r="S224" s="22">
        <v>0</v>
      </c>
      <c r="T224" s="23">
        <v>4</v>
      </c>
      <c r="U224" s="23">
        <v>20</v>
      </c>
      <c r="V224" s="18">
        <v>3</v>
      </c>
      <c r="W224" s="18">
        <v>3.1</v>
      </c>
      <c r="X224" s="18">
        <v>3.8</v>
      </c>
      <c r="Y224" s="18">
        <v>3.1</v>
      </c>
      <c r="Z224" s="18">
        <v>2.5</v>
      </c>
      <c r="AA224" s="15">
        <v>1</v>
      </c>
      <c r="AB224" s="15">
        <v>0</v>
      </c>
      <c r="AC224" s="15">
        <v>0</v>
      </c>
      <c r="AD224" s="15">
        <v>0</v>
      </c>
      <c r="AE224" s="15">
        <v>0</v>
      </c>
      <c r="AF224" s="11">
        <f t="shared" si="33"/>
        <v>1</v>
      </c>
      <c r="AG224" s="32" t="s">
        <v>44</v>
      </c>
      <c r="AH224">
        <v>0</v>
      </c>
      <c r="AI224">
        <v>72</v>
      </c>
      <c r="AJ224">
        <v>0</v>
      </c>
      <c r="AK224">
        <v>0</v>
      </c>
      <c r="AL224">
        <v>6</v>
      </c>
      <c r="AM224">
        <v>3</v>
      </c>
      <c r="AN224">
        <v>14</v>
      </c>
      <c r="AO224">
        <v>0</v>
      </c>
      <c r="AP224">
        <v>5</v>
      </c>
      <c r="AQ224" s="21" t="e">
        <f t="shared" si="35"/>
        <v>#VALUE!</v>
      </c>
      <c r="AR224" s="12">
        <f t="shared" si="31"/>
        <v>100</v>
      </c>
      <c r="AS224">
        <v>0</v>
      </c>
      <c r="AT224">
        <v>0</v>
      </c>
      <c r="AU224">
        <v>0</v>
      </c>
      <c r="AV224">
        <v>3</v>
      </c>
      <c r="AW224">
        <v>0</v>
      </c>
      <c r="AX224">
        <v>0</v>
      </c>
      <c r="AY224" s="6">
        <v>0</v>
      </c>
      <c r="AZ224">
        <v>0</v>
      </c>
      <c r="BA224" s="6">
        <v>0</v>
      </c>
      <c r="BB224">
        <v>0</v>
      </c>
      <c r="BC224" s="6">
        <v>0</v>
      </c>
      <c r="BD224">
        <v>0</v>
      </c>
      <c r="BE224" s="6" t="s">
        <v>44</v>
      </c>
      <c r="BF224" s="6" t="s">
        <v>44</v>
      </c>
      <c r="BG224" s="6" t="s">
        <v>44</v>
      </c>
      <c r="BH224" s="6" t="s">
        <v>44</v>
      </c>
      <c r="BI224" s="6" t="s">
        <v>44</v>
      </c>
      <c r="BJ224" s="6" t="s">
        <v>44</v>
      </c>
      <c r="BK224" s="6">
        <v>0</v>
      </c>
      <c r="BL224" s="6">
        <f t="shared" si="32"/>
        <v>3</v>
      </c>
      <c r="BM224" s="6">
        <f t="shared" si="29"/>
        <v>3</v>
      </c>
      <c r="BN224">
        <v>72</v>
      </c>
      <c r="BO224">
        <f t="shared" ref="BO224:BO286" si="36">SUM(BN224,AU224,BG224,BH224,BI224)</f>
        <v>72</v>
      </c>
      <c r="BP224">
        <v>0</v>
      </c>
      <c r="BQ224">
        <f>SUM(BP224,BB224,BK224)</f>
        <v>0</v>
      </c>
      <c r="BR224">
        <f t="shared" si="30"/>
        <v>0</v>
      </c>
    </row>
    <row r="225" spans="1:70" hidden="1">
      <c r="A225" s="16" t="str">
        <f t="shared" si="28"/>
        <v>FC_2024_UPZ_1_4</v>
      </c>
      <c r="B225" t="s">
        <v>63</v>
      </c>
      <c r="C225">
        <v>44.8386</v>
      </c>
      <c r="D225">
        <v>-124.05875</v>
      </c>
      <c r="E225" s="8">
        <v>45506</v>
      </c>
      <c r="F225">
        <v>2024</v>
      </c>
      <c r="G225" t="s">
        <v>64</v>
      </c>
      <c r="H225" t="s">
        <v>45</v>
      </c>
      <c r="I225">
        <v>1</v>
      </c>
      <c r="J225">
        <v>4</v>
      </c>
      <c r="K225" t="s">
        <v>46</v>
      </c>
      <c r="L225" s="23">
        <v>20</v>
      </c>
      <c r="M225" s="23">
        <v>20</v>
      </c>
      <c r="N225" s="23">
        <v>0</v>
      </c>
      <c r="O225" s="23">
        <v>0</v>
      </c>
      <c r="P225" s="23">
        <v>0</v>
      </c>
      <c r="Q225" s="23">
        <v>0</v>
      </c>
      <c r="R225" s="23" t="s">
        <v>44</v>
      </c>
      <c r="S225" s="22">
        <v>0</v>
      </c>
      <c r="T225" s="23">
        <v>3</v>
      </c>
      <c r="U225" s="23">
        <v>23</v>
      </c>
      <c r="V225" s="18" t="s">
        <v>44</v>
      </c>
      <c r="W225" s="18" t="s">
        <v>44</v>
      </c>
      <c r="X225" s="18" t="s">
        <v>44</v>
      </c>
      <c r="Y225" s="18" t="s">
        <v>44</v>
      </c>
      <c r="Z225" s="18" t="s">
        <v>44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1">
        <f t="shared" si="33"/>
        <v>0</v>
      </c>
      <c r="AG225" s="32" t="s">
        <v>44</v>
      </c>
      <c r="AH225">
        <v>0</v>
      </c>
      <c r="AI225">
        <v>73</v>
      </c>
      <c r="AJ225">
        <v>0</v>
      </c>
      <c r="AK225">
        <v>0</v>
      </c>
      <c r="AL225">
        <v>13</v>
      </c>
      <c r="AM225">
        <v>0.1</v>
      </c>
      <c r="AN225">
        <v>14</v>
      </c>
      <c r="AO225">
        <v>0</v>
      </c>
      <c r="AP225">
        <v>0</v>
      </c>
      <c r="AQ225" s="21" t="e">
        <f t="shared" si="35"/>
        <v>#VALUE!</v>
      </c>
      <c r="AR225" s="12">
        <f t="shared" si="31"/>
        <v>100.1</v>
      </c>
      <c r="AS225">
        <v>0</v>
      </c>
      <c r="AT225">
        <v>0</v>
      </c>
      <c r="AU225">
        <v>0</v>
      </c>
      <c r="AV225" s="6">
        <v>0</v>
      </c>
      <c r="AW225">
        <v>0</v>
      </c>
      <c r="AX225">
        <v>6</v>
      </c>
      <c r="AY225">
        <v>0.1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 t="s">
        <v>44</v>
      </c>
      <c r="BF225" s="6" t="s">
        <v>44</v>
      </c>
      <c r="BG225" s="6" t="s">
        <v>44</v>
      </c>
      <c r="BH225" s="6" t="s">
        <v>44</v>
      </c>
      <c r="BI225" s="6" t="s">
        <v>44</v>
      </c>
      <c r="BJ225" s="6" t="s">
        <v>44</v>
      </c>
      <c r="BK225" s="6">
        <v>0</v>
      </c>
      <c r="BL225" s="6">
        <f t="shared" si="32"/>
        <v>6.1</v>
      </c>
      <c r="BM225" s="6">
        <f t="shared" si="29"/>
        <v>6.1</v>
      </c>
      <c r="BN225">
        <v>73</v>
      </c>
      <c r="BO225">
        <f t="shared" si="36"/>
        <v>73</v>
      </c>
      <c r="BP225">
        <v>0</v>
      </c>
      <c r="BQ225">
        <f>SUM(BP225,BB225,BK225)</f>
        <v>0</v>
      </c>
      <c r="BR225">
        <f t="shared" si="30"/>
        <v>0</v>
      </c>
    </row>
    <row r="226" spans="1:70" hidden="1">
      <c r="A226" s="16" t="str">
        <f t="shared" si="28"/>
        <v>FC_2024_UPZ_1_5</v>
      </c>
      <c r="B226" t="s">
        <v>63</v>
      </c>
      <c r="C226">
        <v>44.8386</v>
      </c>
      <c r="D226">
        <v>-124.05875</v>
      </c>
      <c r="E226" s="8">
        <v>45506</v>
      </c>
      <c r="F226">
        <v>2024</v>
      </c>
      <c r="G226" t="s">
        <v>64</v>
      </c>
      <c r="H226" t="s">
        <v>45</v>
      </c>
      <c r="I226">
        <v>1</v>
      </c>
      <c r="J226">
        <v>5</v>
      </c>
      <c r="K226" t="s">
        <v>46</v>
      </c>
      <c r="L226" s="23">
        <v>17</v>
      </c>
      <c r="M226" s="23">
        <v>16</v>
      </c>
      <c r="N226" s="23">
        <v>1</v>
      </c>
      <c r="O226" s="23">
        <v>0</v>
      </c>
      <c r="P226" s="23">
        <v>0</v>
      </c>
      <c r="Q226" s="23">
        <v>0</v>
      </c>
      <c r="R226" s="23" t="s">
        <v>44</v>
      </c>
      <c r="S226" s="22">
        <v>0</v>
      </c>
      <c r="T226" s="23">
        <v>1</v>
      </c>
      <c r="U226" s="23">
        <f t="shared" ref="U226:U252" si="37">M226+T226</f>
        <v>17</v>
      </c>
      <c r="V226" s="18">
        <v>3.1</v>
      </c>
      <c r="W226" s="18">
        <v>2.1</v>
      </c>
      <c r="X226" s="18">
        <v>2.2000000000000002</v>
      </c>
      <c r="Y226" s="18">
        <v>3.2</v>
      </c>
      <c r="Z226" s="18">
        <v>3.3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1">
        <f t="shared" si="33"/>
        <v>0</v>
      </c>
      <c r="AG226" s="32" t="s">
        <v>44</v>
      </c>
      <c r="AH226">
        <v>3</v>
      </c>
      <c r="AI226">
        <v>60</v>
      </c>
      <c r="AJ226">
        <v>0</v>
      </c>
      <c r="AK226">
        <v>0</v>
      </c>
      <c r="AL226">
        <v>5</v>
      </c>
      <c r="AM226">
        <v>2</v>
      </c>
      <c r="AN226">
        <v>22</v>
      </c>
      <c r="AO226">
        <v>4</v>
      </c>
      <c r="AP226">
        <v>4</v>
      </c>
      <c r="AQ226" s="21" t="e">
        <f t="shared" si="35"/>
        <v>#VALUE!</v>
      </c>
      <c r="AR226" s="12">
        <f t="shared" si="31"/>
        <v>100</v>
      </c>
      <c r="AS226">
        <v>0</v>
      </c>
      <c r="AT226">
        <v>20</v>
      </c>
      <c r="AU226">
        <v>0</v>
      </c>
      <c r="AV226">
        <v>0</v>
      </c>
      <c r="AW226">
        <v>0</v>
      </c>
      <c r="AX226">
        <v>20</v>
      </c>
      <c r="AY226">
        <v>0</v>
      </c>
      <c r="AZ226">
        <v>0</v>
      </c>
      <c r="BA226" s="6">
        <v>0</v>
      </c>
      <c r="BB226">
        <v>0</v>
      </c>
      <c r="BC226" s="6">
        <v>0</v>
      </c>
      <c r="BD226">
        <v>0</v>
      </c>
      <c r="BE226" s="6" t="s">
        <v>44</v>
      </c>
      <c r="BF226" s="6" t="s">
        <v>44</v>
      </c>
      <c r="BG226" s="6" t="s">
        <v>44</v>
      </c>
      <c r="BH226" s="6" t="s">
        <v>44</v>
      </c>
      <c r="BI226" s="6" t="s">
        <v>44</v>
      </c>
      <c r="BJ226" s="6" t="s">
        <v>44</v>
      </c>
      <c r="BK226" s="6">
        <v>0</v>
      </c>
      <c r="BL226" s="6">
        <f t="shared" si="32"/>
        <v>40</v>
      </c>
      <c r="BM226" s="6">
        <f t="shared" si="29"/>
        <v>40</v>
      </c>
      <c r="BN226">
        <v>60</v>
      </c>
      <c r="BO226">
        <f t="shared" si="36"/>
        <v>60</v>
      </c>
      <c r="BP226">
        <v>0</v>
      </c>
      <c r="BQ226">
        <f>SUM(BP226,BB226,BK226)</f>
        <v>0</v>
      </c>
      <c r="BR226">
        <f t="shared" si="30"/>
        <v>0</v>
      </c>
    </row>
    <row r="227" spans="1:70" hidden="1">
      <c r="A227" s="16" t="str">
        <f t="shared" si="28"/>
        <v>FC_2024_UPZ_2_1</v>
      </c>
      <c r="B227" t="s">
        <v>63</v>
      </c>
      <c r="C227">
        <v>44.8386</v>
      </c>
      <c r="D227">
        <v>-124.05875</v>
      </c>
      <c r="E227" s="8">
        <v>45522</v>
      </c>
      <c r="F227">
        <v>2024</v>
      </c>
      <c r="G227" t="s">
        <v>64</v>
      </c>
      <c r="H227" t="s">
        <v>45</v>
      </c>
      <c r="I227">
        <v>2</v>
      </c>
      <c r="J227">
        <v>1</v>
      </c>
      <c r="K227" t="s">
        <v>43</v>
      </c>
      <c r="L227" s="23">
        <v>3</v>
      </c>
      <c r="M227" s="23">
        <v>3</v>
      </c>
      <c r="N227" s="23">
        <v>0</v>
      </c>
      <c r="O227" s="23">
        <v>0</v>
      </c>
      <c r="P227" s="23">
        <v>0</v>
      </c>
      <c r="Q227" s="23">
        <v>0</v>
      </c>
      <c r="R227" s="23" t="s">
        <v>44</v>
      </c>
      <c r="S227" s="22">
        <v>0</v>
      </c>
      <c r="T227" s="23">
        <v>1</v>
      </c>
      <c r="U227" s="23">
        <f t="shared" si="37"/>
        <v>4</v>
      </c>
      <c r="V227" s="18">
        <v>3.3929999999999998</v>
      </c>
      <c r="W227" s="18" t="s">
        <v>44</v>
      </c>
      <c r="X227" s="18" t="s">
        <v>44</v>
      </c>
      <c r="Y227" s="18" t="s">
        <v>44</v>
      </c>
      <c r="Z227" s="18" t="s">
        <v>44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1">
        <f t="shared" si="33"/>
        <v>0</v>
      </c>
      <c r="AG227" s="32" t="s">
        <v>44</v>
      </c>
      <c r="AH227">
        <v>1</v>
      </c>
      <c r="AI227">
        <v>67</v>
      </c>
      <c r="AJ227">
        <v>0</v>
      </c>
      <c r="AK227">
        <v>0</v>
      </c>
      <c r="AL227">
        <v>7</v>
      </c>
      <c r="AM227">
        <v>6</v>
      </c>
      <c r="AN227">
        <v>17</v>
      </c>
      <c r="AO227">
        <v>0</v>
      </c>
      <c r="AP227">
        <v>2</v>
      </c>
      <c r="AQ227" s="21" t="e">
        <f t="shared" si="35"/>
        <v>#VALUE!</v>
      </c>
      <c r="AR227" s="12">
        <f t="shared" si="31"/>
        <v>100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8</v>
      </c>
      <c r="BA227" s="6">
        <v>0</v>
      </c>
      <c r="BB227">
        <v>0</v>
      </c>
      <c r="BC227">
        <v>0</v>
      </c>
      <c r="BD227">
        <v>0</v>
      </c>
      <c r="BE227" s="6" t="s">
        <v>44</v>
      </c>
      <c r="BF227" s="6" t="s">
        <v>44</v>
      </c>
      <c r="BG227" s="6" t="s">
        <v>44</v>
      </c>
      <c r="BH227" s="6" t="s">
        <v>44</v>
      </c>
      <c r="BI227" s="6" t="s">
        <v>44</v>
      </c>
      <c r="BJ227" s="6" t="s">
        <v>44</v>
      </c>
      <c r="BK227" s="6">
        <v>0</v>
      </c>
      <c r="BL227" s="6">
        <f t="shared" si="32"/>
        <v>8</v>
      </c>
      <c r="BM227" s="6">
        <f t="shared" si="29"/>
        <v>8</v>
      </c>
      <c r="BN227">
        <v>67</v>
      </c>
      <c r="BO227">
        <f t="shared" si="36"/>
        <v>67</v>
      </c>
      <c r="BP227">
        <v>0</v>
      </c>
      <c r="BQ227">
        <f>SUM(BP227,BB227,BK227)</f>
        <v>0</v>
      </c>
      <c r="BR227">
        <f t="shared" si="30"/>
        <v>0</v>
      </c>
    </row>
    <row r="228" spans="1:70" hidden="1">
      <c r="A228" s="16" t="str">
        <f t="shared" si="28"/>
        <v>FC_2024_UPZ_2_2</v>
      </c>
      <c r="B228" t="s">
        <v>63</v>
      </c>
      <c r="C228">
        <v>44.8386</v>
      </c>
      <c r="D228">
        <v>-124.05875</v>
      </c>
      <c r="E228" s="8">
        <v>45522</v>
      </c>
      <c r="F228">
        <v>2024</v>
      </c>
      <c r="G228" t="s">
        <v>64</v>
      </c>
      <c r="H228" t="s">
        <v>45</v>
      </c>
      <c r="I228">
        <v>2</v>
      </c>
      <c r="J228">
        <v>2</v>
      </c>
      <c r="K228" t="s">
        <v>43</v>
      </c>
      <c r="L228" s="23">
        <v>9</v>
      </c>
      <c r="M228" s="23">
        <v>9</v>
      </c>
      <c r="N228" s="23">
        <v>0</v>
      </c>
      <c r="O228" s="23">
        <v>0</v>
      </c>
      <c r="P228" s="23">
        <v>0</v>
      </c>
      <c r="Q228" s="23">
        <v>0</v>
      </c>
      <c r="R228" s="23" t="s">
        <v>44</v>
      </c>
      <c r="S228" s="22">
        <v>0</v>
      </c>
      <c r="T228" s="23">
        <v>5</v>
      </c>
      <c r="U228" s="23">
        <f t="shared" si="37"/>
        <v>14</v>
      </c>
      <c r="V228" s="18">
        <v>3.9489999999999998</v>
      </c>
      <c r="W228" s="18">
        <v>3.891</v>
      </c>
      <c r="X228" s="18" t="s">
        <v>44</v>
      </c>
      <c r="Y228" s="18" t="s">
        <v>44</v>
      </c>
      <c r="Z228" s="18" t="s">
        <v>44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1">
        <f t="shared" si="33"/>
        <v>0</v>
      </c>
      <c r="AG228" s="32" t="s">
        <v>44</v>
      </c>
      <c r="AH228">
        <v>9</v>
      </c>
      <c r="AI228">
        <v>67</v>
      </c>
      <c r="AJ228">
        <v>0</v>
      </c>
      <c r="AK228">
        <v>0</v>
      </c>
      <c r="AL228">
        <v>3</v>
      </c>
      <c r="AM228">
        <v>2</v>
      </c>
      <c r="AN228">
        <v>15</v>
      </c>
      <c r="AO228">
        <v>0</v>
      </c>
      <c r="AP228">
        <v>4</v>
      </c>
      <c r="AQ228" s="21" t="e">
        <f t="shared" si="35"/>
        <v>#VALUE!</v>
      </c>
      <c r="AR228" s="12">
        <f t="shared" si="31"/>
        <v>100</v>
      </c>
      <c r="AS228">
        <v>0</v>
      </c>
      <c r="AT228">
        <v>1</v>
      </c>
      <c r="AU228">
        <v>0</v>
      </c>
      <c r="AV228">
        <v>23</v>
      </c>
      <c r="AW228">
        <v>0</v>
      </c>
      <c r="AX228">
        <v>0</v>
      </c>
      <c r="AY228">
        <v>2</v>
      </c>
      <c r="AZ228">
        <v>0</v>
      </c>
      <c r="BA228" s="6">
        <v>0</v>
      </c>
      <c r="BB228" s="6">
        <v>0</v>
      </c>
      <c r="BC228">
        <v>0</v>
      </c>
      <c r="BD228" s="6">
        <v>0</v>
      </c>
      <c r="BE228" s="6" t="s">
        <v>44</v>
      </c>
      <c r="BF228" s="6" t="s">
        <v>44</v>
      </c>
      <c r="BG228" s="6" t="s">
        <v>44</v>
      </c>
      <c r="BH228" s="6" t="s">
        <v>44</v>
      </c>
      <c r="BI228" s="6" t="s">
        <v>44</v>
      </c>
      <c r="BJ228" s="6" t="s">
        <v>44</v>
      </c>
      <c r="BK228" s="6">
        <v>0</v>
      </c>
      <c r="BL228" s="6">
        <f t="shared" si="32"/>
        <v>26</v>
      </c>
      <c r="BM228" s="6">
        <f t="shared" si="29"/>
        <v>26</v>
      </c>
      <c r="BN228">
        <v>67</v>
      </c>
      <c r="BO228">
        <f t="shared" si="36"/>
        <v>67</v>
      </c>
      <c r="BP228">
        <v>0</v>
      </c>
      <c r="BQ228">
        <f>SUM(BP228,BB228,BK228)</f>
        <v>0</v>
      </c>
      <c r="BR228">
        <f t="shared" si="30"/>
        <v>0</v>
      </c>
    </row>
    <row r="229" spans="1:70">
      <c r="A229" s="16" t="str">
        <f t="shared" si="28"/>
        <v>FC_2024_UPZ_2_3</v>
      </c>
      <c r="B229" t="s">
        <v>63</v>
      </c>
      <c r="C229">
        <v>44.8386</v>
      </c>
      <c r="D229">
        <v>-124.05875</v>
      </c>
      <c r="E229" s="8">
        <v>45522</v>
      </c>
      <c r="F229">
        <v>2024</v>
      </c>
      <c r="G229" t="s">
        <v>64</v>
      </c>
      <c r="H229" t="s">
        <v>45</v>
      </c>
      <c r="I229">
        <v>2</v>
      </c>
      <c r="J229">
        <v>3</v>
      </c>
      <c r="K229" t="s">
        <v>43</v>
      </c>
      <c r="L229" s="23">
        <v>18</v>
      </c>
      <c r="M229" s="23">
        <v>18</v>
      </c>
      <c r="N229" s="23">
        <v>0</v>
      </c>
      <c r="O229" s="23">
        <v>0</v>
      </c>
      <c r="P229" s="23">
        <v>0</v>
      </c>
      <c r="Q229" s="23">
        <v>0</v>
      </c>
      <c r="R229" s="23" t="s">
        <v>44</v>
      </c>
      <c r="S229" s="22">
        <v>0</v>
      </c>
      <c r="T229" s="23">
        <v>2</v>
      </c>
      <c r="U229" s="23">
        <f t="shared" si="37"/>
        <v>20</v>
      </c>
      <c r="V229" s="18">
        <v>3.5</v>
      </c>
      <c r="W229" s="18">
        <v>3.8</v>
      </c>
      <c r="X229" s="18">
        <v>4.0999999999999996</v>
      </c>
      <c r="Y229" s="18">
        <v>4.5</v>
      </c>
      <c r="Z229" s="18">
        <v>3.9</v>
      </c>
      <c r="AA229" s="15">
        <v>2</v>
      </c>
      <c r="AB229" s="15">
        <v>0</v>
      </c>
      <c r="AC229" s="15">
        <v>0</v>
      </c>
      <c r="AD229" s="15">
        <v>0</v>
      </c>
      <c r="AE229" s="15">
        <v>0</v>
      </c>
      <c r="AF229" s="11">
        <f t="shared" si="33"/>
        <v>2</v>
      </c>
      <c r="AG229" s="32"/>
      <c r="AH229">
        <v>1</v>
      </c>
      <c r="AI229">
        <v>69</v>
      </c>
      <c r="AJ229">
        <v>0</v>
      </c>
      <c r="AK229">
        <v>0</v>
      </c>
      <c r="AL229">
        <v>3</v>
      </c>
      <c r="AM229">
        <v>3</v>
      </c>
      <c r="AN229">
        <v>18</v>
      </c>
      <c r="AO229">
        <v>0</v>
      </c>
      <c r="AP229">
        <v>6</v>
      </c>
      <c r="AQ229" s="21">
        <f t="shared" si="35"/>
        <v>6</v>
      </c>
      <c r="AR229" s="12">
        <f t="shared" si="31"/>
        <v>100</v>
      </c>
      <c r="AS229">
        <v>0</v>
      </c>
      <c r="AT229">
        <v>2</v>
      </c>
      <c r="AU229">
        <v>0</v>
      </c>
      <c r="AV229">
        <v>3</v>
      </c>
      <c r="AW229">
        <v>0</v>
      </c>
      <c r="AX229">
        <v>0</v>
      </c>
      <c r="AY229">
        <v>2</v>
      </c>
      <c r="AZ229">
        <v>0</v>
      </c>
      <c r="BA229" s="6">
        <v>0</v>
      </c>
      <c r="BB229">
        <v>0</v>
      </c>
      <c r="BC229">
        <v>0</v>
      </c>
      <c r="BD229">
        <v>0</v>
      </c>
      <c r="BE229" s="6" t="s">
        <v>44</v>
      </c>
      <c r="BF229" s="6" t="s">
        <v>44</v>
      </c>
      <c r="BG229" s="6" t="s">
        <v>44</v>
      </c>
      <c r="BH229" s="6" t="s">
        <v>44</v>
      </c>
      <c r="BI229" s="6" t="s">
        <v>44</v>
      </c>
      <c r="BJ229" s="6" t="s">
        <v>44</v>
      </c>
      <c r="BK229">
        <v>1</v>
      </c>
      <c r="BL229" s="6">
        <f t="shared" si="32"/>
        <v>7</v>
      </c>
      <c r="BM229" s="6">
        <f t="shared" si="29"/>
        <v>7</v>
      </c>
      <c r="BN229">
        <v>69</v>
      </c>
      <c r="BO229">
        <f t="shared" si="36"/>
        <v>69</v>
      </c>
      <c r="BP229">
        <v>0</v>
      </c>
    </row>
    <row r="230" spans="1:70" hidden="1">
      <c r="A230" s="16" t="str">
        <f t="shared" si="28"/>
        <v>FC_2024_UPZ_2_4</v>
      </c>
      <c r="B230" t="s">
        <v>63</v>
      </c>
      <c r="C230">
        <v>44.8386</v>
      </c>
      <c r="D230">
        <v>-124.05875</v>
      </c>
      <c r="E230" s="8">
        <v>45522</v>
      </c>
      <c r="F230">
        <v>2024</v>
      </c>
      <c r="G230" t="s">
        <v>64</v>
      </c>
      <c r="H230" t="s">
        <v>45</v>
      </c>
      <c r="I230">
        <v>2</v>
      </c>
      <c r="J230">
        <v>4</v>
      </c>
      <c r="K230" t="s">
        <v>43</v>
      </c>
      <c r="L230" s="23">
        <v>25</v>
      </c>
      <c r="M230" s="23">
        <v>25</v>
      </c>
      <c r="N230" s="23">
        <v>0</v>
      </c>
      <c r="O230" s="23">
        <v>0</v>
      </c>
      <c r="P230" s="23">
        <v>0</v>
      </c>
      <c r="Q230" s="23">
        <v>0</v>
      </c>
      <c r="R230" s="23" t="s">
        <v>44</v>
      </c>
      <c r="S230" s="22">
        <v>0</v>
      </c>
      <c r="T230" s="23">
        <v>0</v>
      </c>
      <c r="U230" s="23">
        <f t="shared" si="37"/>
        <v>25</v>
      </c>
      <c r="V230" s="18">
        <v>2.8</v>
      </c>
      <c r="W230" s="18">
        <v>3.6</v>
      </c>
      <c r="X230" s="18">
        <v>4.9000000000000004</v>
      </c>
      <c r="Y230" s="18">
        <v>3.8</v>
      </c>
      <c r="Z230" s="18">
        <v>3.2</v>
      </c>
      <c r="AA230" s="15">
        <v>1</v>
      </c>
      <c r="AB230" s="15">
        <v>0</v>
      </c>
      <c r="AC230" s="15">
        <v>1</v>
      </c>
      <c r="AD230" s="15">
        <v>0</v>
      </c>
      <c r="AE230" s="15">
        <v>0</v>
      </c>
      <c r="AF230" s="11">
        <f t="shared" si="33"/>
        <v>2</v>
      </c>
      <c r="AG230" s="32" t="s">
        <v>44</v>
      </c>
      <c r="AH230">
        <v>7</v>
      </c>
      <c r="AI230">
        <v>61</v>
      </c>
      <c r="AJ230">
        <v>0</v>
      </c>
      <c r="AK230">
        <v>0</v>
      </c>
      <c r="AL230">
        <v>3</v>
      </c>
      <c r="AM230">
        <v>4</v>
      </c>
      <c r="AN230">
        <v>16</v>
      </c>
      <c r="AO230">
        <v>0</v>
      </c>
      <c r="AP230">
        <v>9</v>
      </c>
      <c r="AQ230" s="21" t="e">
        <f t="shared" si="35"/>
        <v>#VALUE!</v>
      </c>
      <c r="AR230" s="12">
        <f t="shared" si="31"/>
        <v>100</v>
      </c>
      <c r="AS230">
        <v>0</v>
      </c>
      <c r="AT230">
        <v>3</v>
      </c>
      <c r="AU230">
        <v>0</v>
      </c>
      <c r="AV230">
        <v>10</v>
      </c>
      <c r="AW230">
        <v>0</v>
      </c>
      <c r="AX230">
        <v>6</v>
      </c>
      <c r="AY230">
        <v>4</v>
      </c>
      <c r="AZ230">
        <v>0</v>
      </c>
      <c r="BA230" s="6">
        <v>0</v>
      </c>
      <c r="BB230" s="6">
        <v>0</v>
      </c>
      <c r="BC230">
        <v>0</v>
      </c>
      <c r="BD230" s="6">
        <v>0</v>
      </c>
      <c r="BE230" s="6" t="s">
        <v>44</v>
      </c>
      <c r="BF230" s="6" t="s">
        <v>44</v>
      </c>
      <c r="BG230" s="6" t="s">
        <v>44</v>
      </c>
      <c r="BH230" s="6" t="s">
        <v>44</v>
      </c>
      <c r="BI230" s="6" t="s">
        <v>44</v>
      </c>
      <c r="BJ230" s="6" t="s">
        <v>44</v>
      </c>
      <c r="BK230" s="6">
        <v>0</v>
      </c>
      <c r="BL230" s="6">
        <f t="shared" si="32"/>
        <v>23</v>
      </c>
      <c r="BM230" s="6">
        <f t="shared" si="29"/>
        <v>23</v>
      </c>
      <c r="BN230">
        <v>61</v>
      </c>
      <c r="BO230">
        <f t="shared" si="36"/>
        <v>61</v>
      </c>
      <c r="BP230">
        <v>0</v>
      </c>
      <c r="BQ230">
        <f>SUM(BP230,BB230,BK230)</f>
        <v>0</v>
      </c>
      <c r="BR230">
        <f t="shared" si="30"/>
        <v>0</v>
      </c>
    </row>
    <row r="231" spans="1:70" hidden="1">
      <c r="A231" s="16" t="str">
        <f t="shared" si="28"/>
        <v>FC_2024_UPZ_2_5</v>
      </c>
      <c r="B231" t="s">
        <v>63</v>
      </c>
      <c r="C231">
        <v>44.8386</v>
      </c>
      <c r="D231">
        <v>-124.05875</v>
      </c>
      <c r="E231" s="8">
        <v>45522</v>
      </c>
      <c r="F231">
        <v>2024</v>
      </c>
      <c r="G231" t="s">
        <v>64</v>
      </c>
      <c r="H231" t="s">
        <v>45</v>
      </c>
      <c r="I231">
        <v>2</v>
      </c>
      <c r="J231">
        <v>5</v>
      </c>
      <c r="K231" t="s">
        <v>43</v>
      </c>
      <c r="L231" s="23">
        <v>1</v>
      </c>
      <c r="M231" s="23">
        <v>1</v>
      </c>
      <c r="N231" s="23">
        <v>0</v>
      </c>
      <c r="O231" s="23">
        <v>0</v>
      </c>
      <c r="P231" s="23">
        <v>0</v>
      </c>
      <c r="Q231" s="23">
        <v>0</v>
      </c>
      <c r="R231" s="23" t="s">
        <v>44</v>
      </c>
      <c r="S231" s="22">
        <v>0</v>
      </c>
      <c r="T231" s="23">
        <v>0</v>
      </c>
      <c r="U231" s="23">
        <f t="shared" si="37"/>
        <v>1</v>
      </c>
      <c r="V231" s="18">
        <v>4.6340000000000003</v>
      </c>
      <c r="W231" s="18" t="s">
        <v>44</v>
      </c>
      <c r="X231" s="18" t="s">
        <v>44</v>
      </c>
      <c r="Y231" s="18" t="s">
        <v>44</v>
      </c>
      <c r="Z231" s="18" t="s">
        <v>44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1">
        <f t="shared" si="33"/>
        <v>0</v>
      </c>
      <c r="AG231" s="32" t="s">
        <v>44</v>
      </c>
      <c r="AH231">
        <v>6</v>
      </c>
      <c r="AI231">
        <v>80</v>
      </c>
      <c r="AJ231">
        <v>0</v>
      </c>
      <c r="AK231">
        <v>0</v>
      </c>
      <c r="AL231">
        <v>4</v>
      </c>
      <c r="AM231">
        <v>2</v>
      </c>
      <c r="AN231">
        <v>8</v>
      </c>
      <c r="AO231">
        <v>0</v>
      </c>
      <c r="AP231">
        <v>0</v>
      </c>
      <c r="AQ231" s="21" t="e">
        <f t="shared" si="35"/>
        <v>#VALUE!</v>
      </c>
      <c r="AR231" s="12">
        <f t="shared" si="31"/>
        <v>100</v>
      </c>
      <c r="AS231">
        <v>0</v>
      </c>
      <c r="AT231">
        <v>0</v>
      </c>
      <c r="AU231">
        <v>0</v>
      </c>
      <c r="AV231">
        <v>30</v>
      </c>
      <c r="AW231">
        <v>0</v>
      </c>
      <c r="AX231">
        <v>6</v>
      </c>
      <c r="AY231">
        <v>0</v>
      </c>
      <c r="AZ231">
        <v>2</v>
      </c>
      <c r="BA231" s="6">
        <v>0</v>
      </c>
      <c r="BB231">
        <v>0</v>
      </c>
      <c r="BC231">
        <v>0</v>
      </c>
      <c r="BD231">
        <v>0</v>
      </c>
      <c r="BE231" s="6" t="s">
        <v>44</v>
      </c>
      <c r="BF231" s="6" t="s">
        <v>44</v>
      </c>
      <c r="BG231" s="6" t="s">
        <v>44</v>
      </c>
      <c r="BH231" s="6" t="s">
        <v>44</v>
      </c>
      <c r="BI231" s="6" t="s">
        <v>44</v>
      </c>
      <c r="BJ231" s="6" t="s">
        <v>44</v>
      </c>
      <c r="BK231" s="6">
        <v>0</v>
      </c>
      <c r="BL231" s="6">
        <f t="shared" si="32"/>
        <v>38</v>
      </c>
      <c r="BM231" s="6">
        <f t="shared" si="29"/>
        <v>38</v>
      </c>
      <c r="BN231">
        <v>80</v>
      </c>
      <c r="BO231">
        <f t="shared" si="36"/>
        <v>80</v>
      </c>
      <c r="BP231">
        <v>0</v>
      </c>
      <c r="BQ231">
        <f>SUM(BP231,BB231,BK231)</f>
        <v>0</v>
      </c>
      <c r="BR231">
        <f t="shared" si="30"/>
        <v>0</v>
      </c>
    </row>
    <row r="232" spans="1:70" hidden="1">
      <c r="A232" s="16" t="str">
        <f t="shared" si="28"/>
        <v>FC_2024_AZ_1_1</v>
      </c>
      <c r="B232" t="s">
        <v>63</v>
      </c>
      <c r="C232">
        <v>44.8386</v>
      </c>
      <c r="D232">
        <v>-124.05875</v>
      </c>
      <c r="E232" s="8">
        <v>45522</v>
      </c>
      <c r="F232">
        <v>2024</v>
      </c>
      <c r="G232" t="s">
        <v>64</v>
      </c>
      <c r="H232" t="s">
        <v>42</v>
      </c>
      <c r="I232">
        <v>1</v>
      </c>
      <c r="J232">
        <v>1</v>
      </c>
      <c r="K232" t="s">
        <v>43</v>
      </c>
      <c r="L232" s="23">
        <v>11</v>
      </c>
      <c r="M232" s="23">
        <v>11</v>
      </c>
      <c r="N232" s="23">
        <v>0</v>
      </c>
      <c r="O232" s="23">
        <v>0</v>
      </c>
      <c r="P232" s="23">
        <v>0</v>
      </c>
      <c r="Q232" s="23">
        <v>0</v>
      </c>
      <c r="R232" s="23" t="s">
        <v>44</v>
      </c>
      <c r="S232" s="22">
        <v>0</v>
      </c>
      <c r="T232" s="23">
        <v>0</v>
      </c>
      <c r="U232" s="23">
        <f t="shared" si="37"/>
        <v>11</v>
      </c>
      <c r="V232" s="18" t="s">
        <v>44</v>
      </c>
      <c r="W232" s="18" t="s">
        <v>44</v>
      </c>
      <c r="X232" s="18" t="s">
        <v>44</v>
      </c>
      <c r="Y232" s="18" t="s">
        <v>44</v>
      </c>
      <c r="Z232" s="18" t="s">
        <v>44</v>
      </c>
      <c r="AA232" s="11" t="s">
        <v>44</v>
      </c>
      <c r="AB232" s="11" t="s">
        <v>44</v>
      </c>
      <c r="AC232" s="11" t="s">
        <v>44</v>
      </c>
      <c r="AD232" s="11" t="s">
        <v>44</v>
      </c>
      <c r="AE232" s="11" t="s">
        <v>44</v>
      </c>
      <c r="AF232" s="11" t="s">
        <v>44</v>
      </c>
      <c r="AG232" s="32" t="s">
        <v>44</v>
      </c>
      <c r="AH232">
        <v>5</v>
      </c>
      <c r="AI232">
        <v>79</v>
      </c>
      <c r="AJ232">
        <v>0</v>
      </c>
      <c r="AK232">
        <v>0</v>
      </c>
      <c r="AL232">
        <v>4</v>
      </c>
      <c r="AM232">
        <v>8</v>
      </c>
      <c r="AN232">
        <v>0</v>
      </c>
      <c r="AO232">
        <v>0</v>
      </c>
      <c r="AP232">
        <v>4</v>
      </c>
      <c r="AQ232" s="21" t="e">
        <f t="shared" si="35"/>
        <v>#VALUE!</v>
      </c>
      <c r="AR232" s="12">
        <f t="shared" si="31"/>
        <v>100</v>
      </c>
      <c r="AS232">
        <v>0</v>
      </c>
      <c r="AT232">
        <v>0</v>
      </c>
      <c r="AU232">
        <v>0</v>
      </c>
      <c r="AV232" s="6">
        <v>0</v>
      </c>
      <c r="AW232">
        <v>0</v>
      </c>
      <c r="AX232">
        <v>6</v>
      </c>
      <c r="AY232">
        <v>4</v>
      </c>
      <c r="AZ232">
        <v>70</v>
      </c>
      <c r="BA232" s="6">
        <v>0</v>
      </c>
      <c r="BB232" s="6">
        <v>0</v>
      </c>
      <c r="BC232">
        <v>14</v>
      </c>
      <c r="BD232" s="6">
        <v>0</v>
      </c>
      <c r="BE232" s="6" t="s">
        <v>44</v>
      </c>
      <c r="BF232" s="6" t="s">
        <v>44</v>
      </c>
      <c r="BG232" s="6" t="s">
        <v>44</v>
      </c>
      <c r="BH232" s="6" t="s">
        <v>44</v>
      </c>
      <c r="BI232" s="6" t="s">
        <v>44</v>
      </c>
      <c r="BJ232" s="6" t="s">
        <v>44</v>
      </c>
      <c r="BK232" s="6">
        <v>0</v>
      </c>
      <c r="BL232" s="6">
        <f t="shared" si="32"/>
        <v>94</v>
      </c>
      <c r="BM232" s="6">
        <f t="shared" si="29"/>
        <v>94</v>
      </c>
      <c r="BN232">
        <v>79</v>
      </c>
      <c r="BO232">
        <f t="shared" si="36"/>
        <v>79</v>
      </c>
      <c r="BP232">
        <v>0</v>
      </c>
      <c r="BQ232">
        <f>SUM(BP232,BB232,BK232)</f>
        <v>0</v>
      </c>
      <c r="BR232">
        <f t="shared" si="30"/>
        <v>0</v>
      </c>
    </row>
    <row r="233" spans="1:70" hidden="1">
      <c r="A233" s="16" t="str">
        <f t="shared" si="28"/>
        <v>FC_2024_AZ_1_2</v>
      </c>
      <c r="B233" t="s">
        <v>63</v>
      </c>
      <c r="C233">
        <v>44.8386</v>
      </c>
      <c r="D233">
        <v>-124.05875</v>
      </c>
      <c r="E233" s="8">
        <v>45522</v>
      </c>
      <c r="F233">
        <v>2024</v>
      </c>
      <c r="G233" t="s">
        <v>64</v>
      </c>
      <c r="H233" t="s">
        <v>42</v>
      </c>
      <c r="I233">
        <v>1</v>
      </c>
      <c r="J233">
        <v>2</v>
      </c>
      <c r="K233" t="s">
        <v>43</v>
      </c>
      <c r="L233" s="23">
        <v>8</v>
      </c>
      <c r="M233" s="23">
        <v>8</v>
      </c>
      <c r="N233" s="23">
        <v>0</v>
      </c>
      <c r="O233" s="23">
        <v>0</v>
      </c>
      <c r="P233" s="23">
        <v>0</v>
      </c>
      <c r="Q233" s="23">
        <v>0</v>
      </c>
      <c r="R233" s="23" t="s">
        <v>44</v>
      </c>
      <c r="S233" s="22">
        <v>0</v>
      </c>
      <c r="T233" s="23">
        <v>0</v>
      </c>
      <c r="U233" s="23">
        <f t="shared" si="37"/>
        <v>8</v>
      </c>
      <c r="V233" s="18" t="s">
        <v>44</v>
      </c>
      <c r="W233" s="18" t="s">
        <v>44</v>
      </c>
      <c r="X233" s="18" t="s">
        <v>44</v>
      </c>
      <c r="Y233" s="18" t="s">
        <v>44</v>
      </c>
      <c r="Z233" s="18" t="s">
        <v>44</v>
      </c>
      <c r="AA233" s="11" t="s">
        <v>44</v>
      </c>
      <c r="AB233" s="11" t="s">
        <v>44</v>
      </c>
      <c r="AC233" s="11" t="s">
        <v>44</v>
      </c>
      <c r="AD233" s="11" t="s">
        <v>44</v>
      </c>
      <c r="AE233" s="11" t="s">
        <v>44</v>
      </c>
      <c r="AF233" s="11" t="s">
        <v>44</v>
      </c>
      <c r="AG233" s="32" t="s">
        <v>44</v>
      </c>
      <c r="AH233">
        <v>6</v>
      </c>
      <c r="AI233">
        <v>86</v>
      </c>
      <c r="AJ233">
        <v>0</v>
      </c>
      <c r="AK233">
        <v>0</v>
      </c>
      <c r="AL233">
        <v>3</v>
      </c>
      <c r="AM233">
        <v>3</v>
      </c>
      <c r="AN233">
        <v>0</v>
      </c>
      <c r="AO233">
        <v>0</v>
      </c>
      <c r="AP233">
        <v>2</v>
      </c>
      <c r="AQ233" s="21" t="e">
        <f t="shared" si="35"/>
        <v>#VALUE!</v>
      </c>
      <c r="AR233" s="12">
        <f t="shared" si="31"/>
        <v>100</v>
      </c>
      <c r="AS233">
        <v>0</v>
      </c>
      <c r="AT233">
        <v>5</v>
      </c>
      <c r="AU233">
        <v>0</v>
      </c>
      <c r="AV233">
        <v>0</v>
      </c>
      <c r="AW233">
        <v>0</v>
      </c>
      <c r="AX233">
        <v>0</v>
      </c>
      <c r="AY233">
        <v>16</v>
      </c>
      <c r="AZ233">
        <v>72</v>
      </c>
      <c r="BA233" s="6">
        <v>0</v>
      </c>
      <c r="BB233">
        <v>0</v>
      </c>
      <c r="BC233">
        <v>15</v>
      </c>
      <c r="BD233">
        <v>0</v>
      </c>
      <c r="BE233" s="6" t="s">
        <v>44</v>
      </c>
      <c r="BF233" s="6" t="s">
        <v>44</v>
      </c>
      <c r="BG233" s="6" t="s">
        <v>44</v>
      </c>
      <c r="BH233" s="6" t="s">
        <v>44</v>
      </c>
      <c r="BI233" s="6" t="s">
        <v>44</v>
      </c>
      <c r="BJ233" s="6" t="s">
        <v>44</v>
      </c>
      <c r="BK233" s="6">
        <v>0</v>
      </c>
      <c r="BL233" s="6">
        <f t="shared" si="32"/>
        <v>108</v>
      </c>
      <c r="BM233" s="6">
        <f t="shared" si="29"/>
        <v>108</v>
      </c>
      <c r="BN233">
        <v>86</v>
      </c>
      <c r="BO233">
        <f t="shared" si="36"/>
        <v>86</v>
      </c>
      <c r="BP233">
        <v>0</v>
      </c>
      <c r="BQ233">
        <f>SUM(BP233,BB233,BK233)</f>
        <v>0</v>
      </c>
      <c r="BR233">
        <f t="shared" si="30"/>
        <v>0</v>
      </c>
    </row>
    <row r="234" spans="1:70" hidden="1">
      <c r="A234" s="16" t="str">
        <f t="shared" si="28"/>
        <v>FC_2024_AZ_1_3</v>
      </c>
      <c r="B234" t="s">
        <v>63</v>
      </c>
      <c r="C234">
        <v>44.8386</v>
      </c>
      <c r="D234">
        <v>-124.05875</v>
      </c>
      <c r="E234" s="8">
        <v>45522</v>
      </c>
      <c r="F234">
        <v>2024</v>
      </c>
      <c r="G234" t="s">
        <v>64</v>
      </c>
      <c r="H234" t="s">
        <v>42</v>
      </c>
      <c r="I234">
        <v>1</v>
      </c>
      <c r="J234">
        <v>3</v>
      </c>
      <c r="K234" t="s">
        <v>43</v>
      </c>
      <c r="L234" s="23">
        <v>11</v>
      </c>
      <c r="M234" s="23">
        <v>11</v>
      </c>
      <c r="N234" s="23">
        <v>0</v>
      </c>
      <c r="O234" s="23">
        <v>0</v>
      </c>
      <c r="P234" s="23">
        <v>0</v>
      </c>
      <c r="Q234" s="23">
        <v>0</v>
      </c>
      <c r="R234" s="23" t="s">
        <v>44</v>
      </c>
      <c r="S234" s="22">
        <v>0</v>
      </c>
      <c r="T234" s="23">
        <v>4</v>
      </c>
      <c r="U234" s="23">
        <f t="shared" si="37"/>
        <v>15</v>
      </c>
      <c r="V234" s="18" t="s">
        <v>44</v>
      </c>
      <c r="W234" s="18" t="s">
        <v>44</v>
      </c>
      <c r="X234" s="18" t="s">
        <v>44</v>
      </c>
      <c r="Y234" s="18" t="s">
        <v>44</v>
      </c>
      <c r="Z234" s="18" t="s">
        <v>44</v>
      </c>
      <c r="AA234" s="11" t="s">
        <v>44</v>
      </c>
      <c r="AB234" s="11" t="s">
        <v>44</v>
      </c>
      <c r="AC234" s="11" t="s">
        <v>44</v>
      </c>
      <c r="AD234" s="11" t="s">
        <v>44</v>
      </c>
      <c r="AE234" s="11" t="s">
        <v>44</v>
      </c>
      <c r="AF234" s="11" t="s">
        <v>44</v>
      </c>
      <c r="AG234" s="32" t="s">
        <v>44</v>
      </c>
      <c r="AH234">
        <v>8</v>
      </c>
      <c r="AI234">
        <v>79</v>
      </c>
      <c r="AJ234">
        <v>0</v>
      </c>
      <c r="AK234">
        <v>0</v>
      </c>
      <c r="AL234">
        <v>3</v>
      </c>
      <c r="AM234">
        <v>1</v>
      </c>
      <c r="AN234">
        <v>5</v>
      </c>
      <c r="AO234">
        <v>0</v>
      </c>
      <c r="AP234">
        <v>4</v>
      </c>
      <c r="AQ234" s="21" t="e">
        <f t="shared" si="35"/>
        <v>#VALUE!</v>
      </c>
      <c r="AR234" s="12">
        <f t="shared" si="31"/>
        <v>100</v>
      </c>
      <c r="AS234">
        <v>0</v>
      </c>
      <c r="AT234">
        <v>52</v>
      </c>
      <c r="AU234">
        <v>0</v>
      </c>
      <c r="AV234" s="6">
        <v>0</v>
      </c>
      <c r="AW234">
        <v>0</v>
      </c>
      <c r="AX234">
        <v>2</v>
      </c>
      <c r="AY234">
        <v>0</v>
      </c>
      <c r="AZ234">
        <v>0</v>
      </c>
      <c r="BA234" s="6">
        <v>0</v>
      </c>
      <c r="BB234" s="6">
        <v>0</v>
      </c>
      <c r="BC234">
        <v>0</v>
      </c>
      <c r="BD234" s="6">
        <v>0</v>
      </c>
      <c r="BE234" s="6" t="s">
        <v>44</v>
      </c>
      <c r="BF234" s="6" t="s">
        <v>44</v>
      </c>
      <c r="BG234" s="6" t="s">
        <v>44</v>
      </c>
      <c r="BH234" s="6" t="s">
        <v>44</v>
      </c>
      <c r="BI234" s="6" t="s">
        <v>44</v>
      </c>
      <c r="BJ234" s="6" t="s">
        <v>44</v>
      </c>
      <c r="BK234" s="6">
        <v>0</v>
      </c>
      <c r="BL234" s="6">
        <f t="shared" si="32"/>
        <v>54</v>
      </c>
      <c r="BM234" s="6">
        <f t="shared" si="29"/>
        <v>54</v>
      </c>
      <c r="BN234">
        <v>79</v>
      </c>
      <c r="BO234">
        <f t="shared" si="36"/>
        <v>79</v>
      </c>
      <c r="BP234">
        <v>0</v>
      </c>
      <c r="BQ234">
        <f>SUM(BP234,BB234,BK234)</f>
        <v>0</v>
      </c>
      <c r="BR234">
        <f t="shared" si="30"/>
        <v>0</v>
      </c>
    </row>
    <row r="235" spans="1:70" hidden="1">
      <c r="A235" s="16" t="str">
        <f t="shared" si="28"/>
        <v>FC_2024_AZ_1_4</v>
      </c>
      <c r="B235" t="s">
        <v>63</v>
      </c>
      <c r="C235">
        <v>44.8386</v>
      </c>
      <c r="D235">
        <v>-124.05875</v>
      </c>
      <c r="E235" s="8">
        <v>45522</v>
      </c>
      <c r="F235">
        <v>2024</v>
      </c>
      <c r="G235" t="s">
        <v>64</v>
      </c>
      <c r="H235" t="s">
        <v>42</v>
      </c>
      <c r="I235">
        <v>1</v>
      </c>
      <c r="J235">
        <v>4</v>
      </c>
      <c r="K235" t="s">
        <v>43</v>
      </c>
      <c r="L235" s="23">
        <v>6</v>
      </c>
      <c r="M235" s="23">
        <v>6</v>
      </c>
      <c r="N235" s="23">
        <v>0</v>
      </c>
      <c r="O235" s="23">
        <v>0</v>
      </c>
      <c r="P235" s="23">
        <v>2</v>
      </c>
      <c r="Q235" s="23">
        <v>2</v>
      </c>
      <c r="R235" s="23" t="s">
        <v>44</v>
      </c>
      <c r="S235" s="22">
        <v>0</v>
      </c>
      <c r="T235" s="23">
        <v>2</v>
      </c>
      <c r="U235" s="23">
        <f t="shared" si="37"/>
        <v>8</v>
      </c>
      <c r="V235" s="18" t="s">
        <v>44</v>
      </c>
      <c r="W235" s="18" t="s">
        <v>44</v>
      </c>
      <c r="X235" s="18" t="s">
        <v>44</v>
      </c>
      <c r="Y235" s="18" t="s">
        <v>44</v>
      </c>
      <c r="Z235" s="18" t="s">
        <v>44</v>
      </c>
      <c r="AA235" s="11" t="s">
        <v>44</v>
      </c>
      <c r="AB235" s="11" t="s">
        <v>44</v>
      </c>
      <c r="AC235" s="11" t="s">
        <v>44</v>
      </c>
      <c r="AD235" s="11" t="s">
        <v>44</v>
      </c>
      <c r="AE235" s="11" t="s">
        <v>44</v>
      </c>
      <c r="AF235" s="11" t="s">
        <v>44</v>
      </c>
      <c r="AG235" s="32" t="s">
        <v>44</v>
      </c>
      <c r="AH235">
        <v>12</v>
      </c>
      <c r="AI235">
        <v>77</v>
      </c>
      <c r="AJ235">
        <v>0</v>
      </c>
      <c r="AK235">
        <v>0</v>
      </c>
      <c r="AL235">
        <v>7</v>
      </c>
      <c r="AM235">
        <v>2</v>
      </c>
      <c r="AN235">
        <v>0</v>
      </c>
      <c r="AO235">
        <v>0</v>
      </c>
      <c r="AP235">
        <v>2</v>
      </c>
      <c r="AQ235" s="21" t="e">
        <f t="shared" si="35"/>
        <v>#VALUE!</v>
      </c>
      <c r="AR235" s="12">
        <f t="shared" si="31"/>
        <v>100</v>
      </c>
      <c r="AS235">
        <v>0</v>
      </c>
      <c r="AT235">
        <v>5</v>
      </c>
      <c r="AU235">
        <v>0</v>
      </c>
      <c r="AV235">
        <v>3</v>
      </c>
      <c r="AW235">
        <v>0</v>
      </c>
      <c r="AX235">
        <v>0</v>
      </c>
      <c r="AY235">
        <v>0</v>
      </c>
      <c r="AZ235">
        <v>0</v>
      </c>
      <c r="BA235" s="6">
        <v>0</v>
      </c>
      <c r="BB235">
        <v>0</v>
      </c>
      <c r="BC235">
        <v>75</v>
      </c>
      <c r="BD235">
        <v>0</v>
      </c>
      <c r="BE235" s="6" t="s">
        <v>44</v>
      </c>
      <c r="BF235" s="6" t="s">
        <v>44</v>
      </c>
      <c r="BG235" s="6" t="s">
        <v>44</v>
      </c>
      <c r="BH235" s="6" t="s">
        <v>44</v>
      </c>
      <c r="BI235" s="6" t="s">
        <v>44</v>
      </c>
      <c r="BJ235" s="6" t="s">
        <v>44</v>
      </c>
      <c r="BK235" s="6">
        <v>0</v>
      </c>
      <c r="BL235" s="6">
        <f t="shared" si="32"/>
        <v>83</v>
      </c>
      <c r="BM235" s="6">
        <f t="shared" si="29"/>
        <v>83</v>
      </c>
      <c r="BN235">
        <v>77</v>
      </c>
      <c r="BO235">
        <f t="shared" si="36"/>
        <v>77</v>
      </c>
      <c r="BP235">
        <v>0</v>
      </c>
      <c r="BQ235">
        <f>SUM(BP235,BB235,BK235)</f>
        <v>0</v>
      </c>
      <c r="BR235">
        <f t="shared" si="30"/>
        <v>0</v>
      </c>
    </row>
    <row r="236" spans="1:70" hidden="1">
      <c r="A236" s="16" t="str">
        <f t="shared" si="28"/>
        <v>FC_2024_AZ_1_5</v>
      </c>
      <c r="B236" t="s">
        <v>63</v>
      </c>
      <c r="C236">
        <v>44.8386</v>
      </c>
      <c r="D236">
        <v>-124.05875</v>
      </c>
      <c r="E236" s="8">
        <v>45522</v>
      </c>
      <c r="F236">
        <v>2024</v>
      </c>
      <c r="G236" t="s">
        <v>64</v>
      </c>
      <c r="H236" t="s">
        <v>42</v>
      </c>
      <c r="I236">
        <v>1</v>
      </c>
      <c r="J236">
        <v>5</v>
      </c>
      <c r="K236" t="s">
        <v>43</v>
      </c>
      <c r="L236" s="23">
        <v>3</v>
      </c>
      <c r="M236" s="23">
        <v>3</v>
      </c>
      <c r="N236" s="23">
        <v>0</v>
      </c>
      <c r="O236" s="23">
        <v>0</v>
      </c>
      <c r="P236" s="23">
        <v>0</v>
      </c>
      <c r="Q236" s="23">
        <v>0</v>
      </c>
      <c r="R236" s="23" t="s">
        <v>44</v>
      </c>
      <c r="S236" s="22">
        <v>0</v>
      </c>
      <c r="T236" s="23">
        <v>7</v>
      </c>
      <c r="U236" s="23">
        <f t="shared" si="37"/>
        <v>10</v>
      </c>
      <c r="V236" s="18" t="s">
        <v>44</v>
      </c>
      <c r="W236" s="18" t="s">
        <v>44</v>
      </c>
      <c r="X236" s="18" t="s">
        <v>44</v>
      </c>
      <c r="Y236" s="18" t="s">
        <v>44</v>
      </c>
      <c r="Z236" s="18" t="s">
        <v>44</v>
      </c>
      <c r="AA236" s="11" t="s">
        <v>44</v>
      </c>
      <c r="AB236" s="11" t="s">
        <v>44</v>
      </c>
      <c r="AC236" s="11" t="s">
        <v>44</v>
      </c>
      <c r="AD236" s="11" t="s">
        <v>44</v>
      </c>
      <c r="AE236" s="11" t="s">
        <v>44</v>
      </c>
      <c r="AF236" s="11" t="s">
        <v>44</v>
      </c>
      <c r="AG236" s="32" t="s">
        <v>44</v>
      </c>
      <c r="AH236">
        <v>0</v>
      </c>
      <c r="AI236">
        <v>91</v>
      </c>
      <c r="AJ236">
        <v>0</v>
      </c>
      <c r="AK236">
        <v>0</v>
      </c>
      <c r="AL236">
        <v>4</v>
      </c>
      <c r="AM236">
        <v>1</v>
      </c>
      <c r="AN236">
        <v>1</v>
      </c>
      <c r="AO236">
        <v>0.1</v>
      </c>
      <c r="AP236">
        <v>3</v>
      </c>
      <c r="AQ236" s="21" t="e">
        <f t="shared" si="35"/>
        <v>#VALUE!</v>
      </c>
      <c r="AR236" s="12">
        <f t="shared" si="31"/>
        <v>100.1</v>
      </c>
      <c r="AS236">
        <v>0</v>
      </c>
      <c r="AT236">
        <v>0</v>
      </c>
      <c r="AU236">
        <v>0</v>
      </c>
      <c r="AV236" s="6">
        <v>0</v>
      </c>
      <c r="AW236">
        <v>0</v>
      </c>
      <c r="AX236">
        <v>6</v>
      </c>
      <c r="AY236">
        <v>0</v>
      </c>
      <c r="AZ236">
        <v>0</v>
      </c>
      <c r="BA236" s="6">
        <v>0</v>
      </c>
      <c r="BB236" s="6">
        <v>0</v>
      </c>
      <c r="BC236">
        <v>40</v>
      </c>
      <c r="BD236" s="6">
        <v>0</v>
      </c>
      <c r="BE236" s="6" t="s">
        <v>44</v>
      </c>
      <c r="BF236" s="6" t="s">
        <v>44</v>
      </c>
      <c r="BG236" s="6" t="s">
        <v>44</v>
      </c>
      <c r="BH236" s="6" t="s">
        <v>44</v>
      </c>
      <c r="BI236" s="6" t="s">
        <v>44</v>
      </c>
      <c r="BJ236" s="6" t="s">
        <v>44</v>
      </c>
      <c r="BK236" s="6">
        <v>0</v>
      </c>
      <c r="BL236" s="6">
        <f t="shared" si="32"/>
        <v>46</v>
      </c>
      <c r="BM236" s="6">
        <f t="shared" si="29"/>
        <v>46</v>
      </c>
      <c r="BN236">
        <v>91</v>
      </c>
      <c r="BO236">
        <f t="shared" si="36"/>
        <v>91</v>
      </c>
      <c r="BP236">
        <v>0</v>
      </c>
      <c r="BQ236">
        <f>SUM(BP236,BB236,BK236)</f>
        <v>0</v>
      </c>
      <c r="BR236">
        <f t="shared" si="30"/>
        <v>0</v>
      </c>
    </row>
    <row r="237" spans="1:70" hidden="1">
      <c r="A237" s="16" t="str">
        <f t="shared" si="28"/>
        <v>FC_2024_AZ_2_1</v>
      </c>
      <c r="B237" t="s">
        <v>63</v>
      </c>
      <c r="C237">
        <v>44.8386</v>
      </c>
      <c r="D237">
        <v>-124.05875</v>
      </c>
      <c r="E237" s="8">
        <v>45522</v>
      </c>
      <c r="F237">
        <v>2024</v>
      </c>
      <c r="G237" t="s">
        <v>64</v>
      </c>
      <c r="H237" t="s">
        <v>42</v>
      </c>
      <c r="I237">
        <v>2</v>
      </c>
      <c r="J237">
        <v>1</v>
      </c>
      <c r="K237" t="s">
        <v>43</v>
      </c>
      <c r="L237" s="23">
        <v>1</v>
      </c>
      <c r="M237" s="23">
        <v>0</v>
      </c>
      <c r="N237" s="23">
        <v>0</v>
      </c>
      <c r="O237" s="23">
        <v>0</v>
      </c>
      <c r="P237" s="23">
        <v>1</v>
      </c>
      <c r="Q237" s="23">
        <v>0</v>
      </c>
      <c r="R237" s="23" t="s">
        <v>44</v>
      </c>
      <c r="S237" s="22">
        <v>0</v>
      </c>
      <c r="T237" s="23">
        <v>1</v>
      </c>
      <c r="U237" s="23">
        <f t="shared" si="37"/>
        <v>1</v>
      </c>
      <c r="V237" s="18" t="s">
        <v>44</v>
      </c>
      <c r="W237" s="18" t="s">
        <v>44</v>
      </c>
      <c r="X237" s="18" t="s">
        <v>44</v>
      </c>
      <c r="Y237" s="18" t="s">
        <v>44</v>
      </c>
      <c r="Z237" s="18" t="s">
        <v>44</v>
      </c>
      <c r="AA237" s="11" t="s">
        <v>44</v>
      </c>
      <c r="AB237" s="11" t="s">
        <v>44</v>
      </c>
      <c r="AC237" s="11" t="s">
        <v>44</v>
      </c>
      <c r="AD237" s="11" t="s">
        <v>44</v>
      </c>
      <c r="AE237" s="11" t="s">
        <v>44</v>
      </c>
      <c r="AF237" s="11" t="s">
        <v>44</v>
      </c>
      <c r="AG237" s="32" t="s">
        <v>44</v>
      </c>
      <c r="AH237">
        <v>15</v>
      </c>
      <c r="AI237">
        <v>76</v>
      </c>
      <c r="AJ237">
        <v>0</v>
      </c>
      <c r="AK237">
        <v>0</v>
      </c>
      <c r="AL237">
        <v>3</v>
      </c>
      <c r="AM237">
        <v>2</v>
      </c>
      <c r="AN237">
        <v>2</v>
      </c>
      <c r="AO237">
        <v>0</v>
      </c>
      <c r="AP237">
        <v>2</v>
      </c>
      <c r="AQ237" s="21" t="e">
        <f t="shared" si="35"/>
        <v>#VALUE!</v>
      </c>
      <c r="AR237" s="12">
        <f t="shared" si="31"/>
        <v>100</v>
      </c>
      <c r="AS237">
        <v>100</v>
      </c>
      <c r="AT237">
        <v>90</v>
      </c>
      <c r="AU237">
        <v>0</v>
      </c>
      <c r="AV237">
        <v>0</v>
      </c>
      <c r="AW237">
        <v>10</v>
      </c>
      <c r="AX237">
        <v>10</v>
      </c>
      <c r="AY237">
        <v>0</v>
      </c>
      <c r="AZ237">
        <v>0</v>
      </c>
      <c r="BA237" s="6">
        <v>0</v>
      </c>
      <c r="BB237" s="6">
        <v>0</v>
      </c>
      <c r="BC237">
        <v>0</v>
      </c>
      <c r="BD237" s="6">
        <v>0</v>
      </c>
      <c r="BE237" s="6" t="s">
        <v>44</v>
      </c>
      <c r="BF237" s="6" t="s">
        <v>44</v>
      </c>
      <c r="BG237" s="6" t="s">
        <v>44</v>
      </c>
      <c r="BH237" s="6" t="s">
        <v>44</v>
      </c>
      <c r="BI237" s="6" t="s">
        <v>44</v>
      </c>
      <c r="BJ237" s="6" t="s">
        <v>44</v>
      </c>
      <c r="BK237" s="6">
        <v>0</v>
      </c>
      <c r="BL237" s="6">
        <f t="shared" si="32"/>
        <v>210</v>
      </c>
      <c r="BM237" s="6">
        <f t="shared" si="29"/>
        <v>210</v>
      </c>
      <c r="BN237">
        <v>76</v>
      </c>
      <c r="BO237">
        <f t="shared" si="36"/>
        <v>76</v>
      </c>
      <c r="BP237">
        <v>0</v>
      </c>
      <c r="BQ237">
        <f>SUM(BP237,BB237,BK237)</f>
        <v>0</v>
      </c>
      <c r="BR237">
        <f t="shared" si="30"/>
        <v>0</v>
      </c>
    </row>
    <row r="238" spans="1:70" hidden="1">
      <c r="A238" s="16" t="str">
        <f t="shared" si="28"/>
        <v>FC_2024_AZ_2_2</v>
      </c>
      <c r="B238" t="s">
        <v>63</v>
      </c>
      <c r="C238">
        <v>44.8386</v>
      </c>
      <c r="D238">
        <v>-124.05875</v>
      </c>
      <c r="E238" s="8">
        <v>45522</v>
      </c>
      <c r="F238">
        <v>2024</v>
      </c>
      <c r="G238" t="s">
        <v>64</v>
      </c>
      <c r="H238" t="s">
        <v>42</v>
      </c>
      <c r="I238">
        <v>2</v>
      </c>
      <c r="J238">
        <v>2</v>
      </c>
      <c r="K238" t="s">
        <v>43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 t="s">
        <v>44</v>
      </c>
      <c r="S238" s="22">
        <v>0</v>
      </c>
      <c r="T238" s="23">
        <v>0</v>
      </c>
      <c r="U238" s="23">
        <f t="shared" si="37"/>
        <v>0</v>
      </c>
      <c r="V238" s="18" t="s">
        <v>44</v>
      </c>
      <c r="W238" s="18" t="s">
        <v>44</v>
      </c>
      <c r="X238" s="18" t="s">
        <v>44</v>
      </c>
      <c r="Y238" s="18" t="s">
        <v>44</v>
      </c>
      <c r="Z238" s="18" t="s">
        <v>44</v>
      </c>
      <c r="AA238" s="11" t="s">
        <v>44</v>
      </c>
      <c r="AB238" s="11" t="s">
        <v>44</v>
      </c>
      <c r="AC238" s="11" t="s">
        <v>44</v>
      </c>
      <c r="AD238" s="11" t="s">
        <v>44</v>
      </c>
      <c r="AE238" s="11" t="s">
        <v>44</v>
      </c>
      <c r="AF238" s="11" t="s">
        <v>44</v>
      </c>
      <c r="AG238" s="32">
        <v>0</v>
      </c>
      <c r="AH238" s="13">
        <v>5</v>
      </c>
      <c r="AI238" s="13">
        <v>4</v>
      </c>
      <c r="AJ238" s="13">
        <v>0</v>
      </c>
      <c r="AK238" s="13">
        <v>75</v>
      </c>
      <c r="AL238" s="13">
        <v>2</v>
      </c>
      <c r="AM238" s="13">
        <v>2</v>
      </c>
      <c r="AN238" s="13">
        <v>4</v>
      </c>
      <c r="AO238" s="13">
        <v>0</v>
      </c>
      <c r="AP238" s="13">
        <v>8</v>
      </c>
      <c r="AQ238" s="21">
        <f t="shared" si="35"/>
        <v>8</v>
      </c>
      <c r="AR238" s="12">
        <f t="shared" si="31"/>
        <v>100</v>
      </c>
      <c r="AS238">
        <v>38</v>
      </c>
      <c r="AT238">
        <v>85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62</v>
      </c>
      <c r="BA238" s="6">
        <v>0</v>
      </c>
      <c r="BB238">
        <v>0</v>
      </c>
      <c r="BC238">
        <v>0</v>
      </c>
      <c r="BD238">
        <v>0</v>
      </c>
      <c r="BE238" s="6" t="s">
        <v>44</v>
      </c>
      <c r="BF238" s="6" t="s">
        <v>44</v>
      </c>
      <c r="BG238" s="6" t="s">
        <v>44</v>
      </c>
      <c r="BH238" s="6" t="s">
        <v>44</v>
      </c>
      <c r="BI238" s="6" t="s">
        <v>44</v>
      </c>
      <c r="BJ238" s="6" t="s">
        <v>44</v>
      </c>
      <c r="BK238" s="6">
        <v>0</v>
      </c>
      <c r="BL238" s="6">
        <f t="shared" si="32"/>
        <v>185</v>
      </c>
      <c r="BM238" s="6">
        <f t="shared" si="29"/>
        <v>185</v>
      </c>
      <c r="BN238" s="13">
        <v>4</v>
      </c>
      <c r="BO238">
        <f t="shared" si="36"/>
        <v>4</v>
      </c>
      <c r="BP238" s="13">
        <v>0</v>
      </c>
      <c r="BQ238">
        <f>SUM(BP238,BB238,BK238)</f>
        <v>0</v>
      </c>
      <c r="BR238">
        <f t="shared" si="30"/>
        <v>0</v>
      </c>
    </row>
    <row r="239" spans="1:70">
      <c r="A239" s="16" t="str">
        <f t="shared" si="28"/>
        <v>FC_2024_AZ_2_3</v>
      </c>
      <c r="B239" t="s">
        <v>63</v>
      </c>
      <c r="C239">
        <v>44.8386</v>
      </c>
      <c r="D239">
        <v>-124.05875</v>
      </c>
      <c r="E239" s="8">
        <v>45522</v>
      </c>
      <c r="F239">
        <v>2024</v>
      </c>
      <c r="G239" t="s">
        <v>64</v>
      </c>
      <c r="H239" t="s">
        <v>42</v>
      </c>
      <c r="I239">
        <v>2</v>
      </c>
      <c r="J239">
        <v>3</v>
      </c>
      <c r="K239" t="s">
        <v>43</v>
      </c>
      <c r="L239" s="23">
        <v>1</v>
      </c>
      <c r="M239" s="23">
        <v>0</v>
      </c>
      <c r="N239" s="23">
        <v>0</v>
      </c>
      <c r="O239" s="23">
        <v>0</v>
      </c>
      <c r="P239" s="23">
        <v>1</v>
      </c>
      <c r="Q239" s="23">
        <v>1</v>
      </c>
      <c r="R239" s="23" t="s">
        <v>44</v>
      </c>
      <c r="S239" s="22">
        <v>0</v>
      </c>
      <c r="T239" s="23">
        <v>0</v>
      </c>
      <c r="U239" s="23">
        <f t="shared" si="37"/>
        <v>0</v>
      </c>
      <c r="V239" s="18" t="s">
        <v>44</v>
      </c>
      <c r="W239" s="18" t="s">
        <v>44</v>
      </c>
      <c r="X239" s="18" t="s">
        <v>44</v>
      </c>
      <c r="Y239" s="18" t="s">
        <v>44</v>
      </c>
      <c r="Z239" s="18" t="s">
        <v>44</v>
      </c>
      <c r="AA239" s="11" t="s">
        <v>44</v>
      </c>
      <c r="AB239" s="11" t="s">
        <v>44</v>
      </c>
      <c r="AC239" s="11" t="s">
        <v>44</v>
      </c>
      <c r="AD239" s="11" t="s">
        <v>44</v>
      </c>
      <c r="AE239" s="11" t="s">
        <v>44</v>
      </c>
      <c r="AF239" s="11" t="s">
        <v>44</v>
      </c>
      <c r="AG239" s="32"/>
      <c r="AH239" s="13">
        <v>0</v>
      </c>
      <c r="AI239" s="13">
        <v>6</v>
      </c>
      <c r="AJ239" s="13">
        <v>0</v>
      </c>
      <c r="AK239" s="13">
        <v>79</v>
      </c>
      <c r="AL239" s="13">
        <v>2</v>
      </c>
      <c r="AM239" s="13">
        <v>2</v>
      </c>
      <c r="AN239" s="13">
        <v>10</v>
      </c>
      <c r="AO239" s="13">
        <v>0</v>
      </c>
      <c r="AP239" s="13">
        <v>1</v>
      </c>
      <c r="AQ239" s="21">
        <f t="shared" si="35"/>
        <v>1</v>
      </c>
      <c r="AR239" s="12">
        <f t="shared" si="31"/>
        <v>100</v>
      </c>
      <c r="AS239">
        <v>15</v>
      </c>
      <c r="AT239">
        <v>0</v>
      </c>
      <c r="AU239">
        <v>0</v>
      </c>
      <c r="AV239">
        <v>0</v>
      </c>
      <c r="AW239">
        <v>12</v>
      </c>
      <c r="AX239">
        <v>6</v>
      </c>
      <c r="AY239">
        <v>0</v>
      </c>
      <c r="AZ239">
        <v>94</v>
      </c>
      <c r="BA239" s="6">
        <v>0</v>
      </c>
      <c r="BB239" s="6">
        <v>0</v>
      </c>
      <c r="BC239">
        <v>0</v>
      </c>
      <c r="BD239" s="6">
        <v>0</v>
      </c>
      <c r="BE239" s="6" t="s">
        <v>44</v>
      </c>
      <c r="BF239" s="6" t="s">
        <v>44</v>
      </c>
      <c r="BG239" s="6" t="s">
        <v>44</v>
      </c>
      <c r="BH239" s="6" t="s">
        <v>44</v>
      </c>
      <c r="BI239" s="6" t="s">
        <v>44</v>
      </c>
      <c r="BJ239" s="6" t="s">
        <v>44</v>
      </c>
      <c r="BK239">
        <v>7</v>
      </c>
      <c r="BL239" s="6">
        <f t="shared" si="32"/>
        <v>127</v>
      </c>
      <c r="BM239" s="6">
        <f t="shared" si="29"/>
        <v>127</v>
      </c>
      <c r="BN239" s="13">
        <v>6</v>
      </c>
      <c r="BO239">
        <f t="shared" si="36"/>
        <v>6</v>
      </c>
      <c r="BP239" s="13">
        <v>0</v>
      </c>
    </row>
    <row r="240" spans="1:70" hidden="1">
      <c r="A240" s="16" t="str">
        <f t="shared" si="28"/>
        <v>FC_2024_AZ_2_4</v>
      </c>
      <c r="B240" t="s">
        <v>63</v>
      </c>
      <c r="C240">
        <v>44.8386</v>
      </c>
      <c r="D240">
        <v>-124.05875</v>
      </c>
      <c r="E240" s="8">
        <v>45522</v>
      </c>
      <c r="F240">
        <v>2024</v>
      </c>
      <c r="G240" t="s">
        <v>64</v>
      </c>
      <c r="H240" t="s">
        <v>42</v>
      </c>
      <c r="I240">
        <v>2</v>
      </c>
      <c r="J240">
        <v>4</v>
      </c>
      <c r="K240" t="s">
        <v>43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 t="s">
        <v>44</v>
      </c>
      <c r="S240" s="22">
        <v>0</v>
      </c>
      <c r="T240" s="23">
        <v>0</v>
      </c>
      <c r="U240" s="23">
        <f t="shared" si="37"/>
        <v>0</v>
      </c>
      <c r="V240" s="18" t="s">
        <v>44</v>
      </c>
      <c r="W240" s="18" t="s">
        <v>44</v>
      </c>
      <c r="X240" s="18" t="s">
        <v>44</v>
      </c>
      <c r="Y240" s="18" t="s">
        <v>44</v>
      </c>
      <c r="Z240" s="18" t="s">
        <v>44</v>
      </c>
      <c r="AA240" s="11" t="s">
        <v>44</v>
      </c>
      <c r="AB240" s="11" t="s">
        <v>44</v>
      </c>
      <c r="AC240" s="11" t="s">
        <v>44</v>
      </c>
      <c r="AD240" s="11" t="s">
        <v>44</v>
      </c>
      <c r="AE240" s="11" t="s">
        <v>44</v>
      </c>
      <c r="AF240" s="11" t="s">
        <v>44</v>
      </c>
      <c r="AG240" s="32">
        <v>0</v>
      </c>
      <c r="AH240" s="13">
        <v>3</v>
      </c>
      <c r="AI240" s="13">
        <v>15</v>
      </c>
      <c r="AJ240" s="13">
        <v>0</v>
      </c>
      <c r="AK240" s="13">
        <v>66</v>
      </c>
      <c r="AL240" s="13">
        <v>1</v>
      </c>
      <c r="AM240" s="13">
        <v>5</v>
      </c>
      <c r="AN240" s="13">
        <v>7</v>
      </c>
      <c r="AO240" s="13">
        <v>0</v>
      </c>
      <c r="AP240" s="13">
        <v>3</v>
      </c>
      <c r="AQ240" s="21">
        <f t="shared" si="35"/>
        <v>3</v>
      </c>
      <c r="AR240" s="12">
        <f t="shared" si="31"/>
        <v>100</v>
      </c>
      <c r="AS240">
        <v>25</v>
      </c>
      <c r="AT240">
        <v>25</v>
      </c>
      <c r="AU240">
        <v>0</v>
      </c>
      <c r="AV240">
        <v>0</v>
      </c>
      <c r="AW240">
        <v>20</v>
      </c>
      <c r="AX240">
        <v>5</v>
      </c>
      <c r="AY240">
        <v>0</v>
      </c>
      <c r="AZ240">
        <v>82</v>
      </c>
      <c r="BA240" s="6">
        <v>0</v>
      </c>
      <c r="BB240">
        <v>0</v>
      </c>
      <c r="BC240">
        <v>0</v>
      </c>
      <c r="BD240">
        <v>0</v>
      </c>
      <c r="BE240" s="6" t="s">
        <v>44</v>
      </c>
      <c r="BF240" s="6" t="s">
        <v>44</v>
      </c>
      <c r="BG240" s="6" t="s">
        <v>44</v>
      </c>
      <c r="BH240" s="6" t="s">
        <v>44</v>
      </c>
      <c r="BI240" s="6" t="s">
        <v>44</v>
      </c>
      <c r="BJ240" s="6" t="s">
        <v>44</v>
      </c>
      <c r="BK240" s="6">
        <v>0</v>
      </c>
      <c r="BL240" s="6">
        <f t="shared" si="32"/>
        <v>157</v>
      </c>
      <c r="BM240" s="6">
        <f t="shared" si="29"/>
        <v>157</v>
      </c>
      <c r="BN240" s="13">
        <v>15</v>
      </c>
      <c r="BO240">
        <f t="shared" si="36"/>
        <v>15</v>
      </c>
      <c r="BP240" s="13">
        <v>0</v>
      </c>
      <c r="BQ240">
        <f>SUM(BP240,BB240,BK240)</f>
        <v>0</v>
      </c>
      <c r="BR240">
        <f t="shared" si="30"/>
        <v>0</v>
      </c>
    </row>
    <row r="241" spans="1:70" hidden="1">
      <c r="A241" s="16" t="str">
        <f t="shared" si="28"/>
        <v>FC_2024_AZ_2_5</v>
      </c>
      <c r="B241" t="s">
        <v>63</v>
      </c>
      <c r="C241">
        <v>44.8386</v>
      </c>
      <c r="D241">
        <v>-124.05875</v>
      </c>
      <c r="E241" s="8">
        <v>45522</v>
      </c>
      <c r="F241">
        <v>2024</v>
      </c>
      <c r="G241" t="s">
        <v>64</v>
      </c>
      <c r="H241" t="s">
        <v>42</v>
      </c>
      <c r="I241">
        <v>2</v>
      </c>
      <c r="J241">
        <v>5</v>
      </c>
      <c r="K241" t="s">
        <v>43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 t="s">
        <v>44</v>
      </c>
      <c r="S241" s="22">
        <v>0</v>
      </c>
      <c r="T241" s="23">
        <v>2</v>
      </c>
      <c r="U241" s="23">
        <f t="shared" si="37"/>
        <v>2</v>
      </c>
      <c r="V241" s="18" t="s">
        <v>44</v>
      </c>
      <c r="W241" s="18" t="s">
        <v>44</v>
      </c>
      <c r="X241" s="18" t="s">
        <v>44</v>
      </c>
      <c r="Y241" s="18" t="s">
        <v>44</v>
      </c>
      <c r="Z241" s="18" t="s">
        <v>44</v>
      </c>
      <c r="AA241" s="11" t="s">
        <v>44</v>
      </c>
      <c r="AB241" s="11" t="s">
        <v>44</v>
      </c>
      <c r="AC241" s="11" t="s">
        <v>44</v>
      </c>
      <c r="AD241" s="11" t="s">
        <v>44</v>
      </c>
      <c r="AE241" s="11" t="s">
        <v>44</v>
      </c>
      <c r="AF241" s="11" t="s">
        <v>44</v>
      </c>
      <c r="AG241" s="32">
        <v>0</v>
      </c>
      <c r="AH241">
        <v>0</v>
      </c>
      <c r="AI241">
        <v>12</v>
      </c>
      <c r="AJ241">
        <v>0</v>
      </c>
      <c r="AK241">
        <v>0</v>
      </c>
      <c r="AL241">
        <v>6</v>
      </c>
      <c r="AM241">
        <v>8</v>
      </c>
      <c r="AN241">
        <v>1</v>
      </c>
      <c r="AO241">
        <v>8</v>
      </c>
      <c r="AP241">
        <v>65</v>
      </c>
      <c r="AQ241" s="21">
        <f t="shared" si="35"/>
        <v>65</v>
      </c>
      <c r="AR241" s="12">
        <f t="shared" si="31"/>
        <v>100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</v>
      </c>
      <c r="AY241">
        <v>0</v>
      </c>
      <c r="AZ241">
        <v>52</v>
      </c>
      <c r="BA241" s="6">
        <v>0</v>
      </c>
      <c r="BB241" s="6">
        <v>0</v>
      </c>
      <c r="BC241">
        <v>0</v>
      </c>
      <c r="BD241" s="6">
        <v>0</v>
      </c>
      <c r="BE241" s="6" t="s">
        <v>44</v>
      </c>
      <c r="BF241" s="6" t="s">
        <v>44</v>
      </c>
      <c r="BG241" s="6" t="s">
        <v>44</v>
      </c>
      <c r="BH241" s="6" t="s">
        <v>44</v>
      </c>
      <c r="BI241" s="6" t="s">
        <v>44</v>
      </c>
      <c r="BJ241" s="6" t="s">
        <v>44</v>
      </c>
      <c r="BK241" s="6">
        <v>0</v>
      </c>
      <c r="BL241" s="6">
        <f t="shared" si="32"/>
        <v>62</v>
      </c>
      <c r="BM241" s="6">
        <f t="shared" si="29"/>
        <v>62</v>
      </c>
      <c r="BN241">
        <v>12</v>
      </c>
      <c r="BO241">
        <f t="shared" si="36"/>
        <v>12</v>
      </c>
      <c r="BP241">
        <v>0</v>
      </c>
      <c r="BQ241">
        <f>SUM(BP241,BB241,BK241)</f>
        <v>0</v>
      </c>
      <c r="BR241">
        <f t="shared" si="30"/>
        <v>0</v>
      </c>
    </row>
    <row r="242" spans="1:70" hidden="1">
      <c r="A242" s="16" t="str">
        <f t="shared" si="28"/>
        <v>WC_2024_AZ_1_1</v>
      </c>
      <c r="B242" t="s">
        <v>65</v>
      </c>
      <c r="C242">
        <v>42.222900000000003</v>
      </c>
      <c r="D242">
        <v>-124.383</v>
      </c>
      <c r="E242" s="8">
        <v>45524</v>
      </c>
      <c r="F242">
        <v>2024</v>
      </c>
      <c r="G242" t="s">
        <v>66</v>
      </c>
      <c r="H242" t="s">
        <v>42</v>
      </c>
      <c r="I242">
        <v>1</v>
      </c>
      <c r="J242">
        <v>1</v>
      </c>
      <c r="K242" t="s">
        <v>47</v>
      </c>
      <c r="L242" s="23">
        <v>3</v>
      </c>
      <c r="M242" s="23">
        <v>0</v>
      </c>
      <c r="N242" s="23">
        <v>3</v>
      </c>
      <c r="O242" s="23">
        <v>0</v>
      </c>
      <c r="P242" s="23">
        <v>1</v>
      </c>
      <c r="R242" s="23" t="s">
        <v>44</v>
      </c>
      <c r="S242" s="22">
        <v>0</v>
      </c>
      <c r="T242" s="23">
        <v>5</v>
      </c>
      <c r="U242" s="23">
        <f t="shared" si="37"/>
        <v>5</v>
      </c>
      <c r="V242" s="18" t="s">
        <v>44</v>
      </c>
      <c r="W242" s="18" t="s">
        <v>44</v>
      </c>
      <c r="X242" s="18" t="s">
        <v>44</v>
      </c>
      <c r="Y242" s="18" t="s">
        <v>44</v>
      </c>
      <c r="Z242" s="18" t="s">
        <v>44</v>
      </c>
      <c r="AA242" s="11" t="s">
        <v>44</v>
      </c>
      <c r="AB242" s="11" t="s">
        <v>44</v>
      </c>
      <c r="AC242" s="11" t="s">
        <v>44</v>
      </c>
      <c r="AD242" s="11" t="s">
        <v>44</v>
      </c>
      <c r="AE242" s="11" t="s">
        <v>44</v>
      </c>
      <c r="AF242" s="11" t="s">
        <v>44</v>
      </c>
      <c r="AG242" s="32" t="s">
        <v>44</v>
      </c>
      <c r="AH242">
        <v>0</v>
      </c>
      <c r="AI242">
        <v>86</v>
      </c>
      <c r="AJ242">
        <v>8</v>
      </c>
      <c r="AK242">
        <v>0</v>
      </c>
      <c r="AL242">
        <v>2</v>
      </c>
      <c r="AM242">
        <v>2</v>
      </c>
      <c r="AN242">
        <v>1</v>
      </c>
      <c r="AO242">
        <v>0</v>
      </c>
      <c r="AP242">
        <v>1</v>
      </c>
      <c r="AQ242" s="21" t="e">
        <f t="shared" si="35"/>
        <v>#VALUE!</v>
      </c>
      <c r="AR242" s="12">
        <f t="shared" si="31"/>
        <v>100</v>
      </c>
      <c r="AS242">
        <v>0</v>
      </c>
      <c r="AT242">
        <v>3</v>
      </c>
      <c r="AU242">
        <v>0</v>
      </c>
      <c r="AV242">
        <v>0</v>
      </c>
      <c r="AW242">
        <v>0</v>
      </c>
      <c r="AX242">
        <v>20</v>
      </c>
      <c r="AY242">
        <v>0</v>
      </c>
      <c r="AZ242">
        <v>0</v>
      </c>
      <c r="BA242" s="6">
        <v>0</v>
      </c>
      <c r="BB242">
        <v>0</v>
      </c>
      <c r="BC242">
        <v>0</v>
      </c>
      <c r="BD242">
        <v>0</v>
      </c>
      <c r="BE242" s="6" t="s">
        <v>44</v>
      </c>
      <c r="BF242" s="6" t="s">
        <v>44</v>
      </c>
      <c r="BG242" s="6" t="s">
        <v>44</v>
      </c>
      <c r="BH242" s="6" t="s">
        <v>44</v>
      </c>
      <c r="BI242" s="6" t="s">
        <v>44</v>
      </c>
      <c r="BJ242" s="6" t="s">
        <v>44</v>
      </c>
      <c r="BK242" s="6">
        <v>0</v>
      </c>
      <c r="BL242" s="6">
        <f t="shared" si="32"/>
        <v>23</v>
      </c>
      <c r="BM242" s="6">
        <f t="shared" si="29"/>
        <v>23</v>
      </c>
      <c r="BN242">
        <v>86</v>
      </c>
      <c r="BO242">
        <f t="shared" si="36"/>
        <v>86</v>
      </c>
      <c r="BP242">
        <v>8</v>
      </c>
      <c r="BQ242">
        <f>SUM(BP242,BB242,BK242)</f>
        <v>8</v>
      </c>
      <c r="BR242">
        <f t="shared" si="30"/>
        <v>0</v>
      </c>
    </row>
    <row r="243" spans="1:70" hidden="1">
      <c r="A243" s="16" t="str">
        <f t="shared" si="28"/>
        <v>WC_2024_AZ_1_2</v>
      </c>
      <c r="B243" t="s">
        <v>65</v>
      </c>
      <c r="C243">
        <v>42.222900000000003</v>
      </c>
      <c r="D243">
        <v>-124.383</v>
      </c>
      <c r="E243" s="8">
        <v>45524</v>
      </c>
      <c r="F243">
        <v>2024</v>
      </c>
      <c r="G243" t="s">
        <v>66</v>
      </c>
      <c r="H243" t="s">
        <v>42</v>
      </c>
      <c r="I243">
        <v>1</v>
      </c>
      <c r="J243">
        <v>2</v>
      </c>
      <c r="K243" t="s">
        <v>47</v>
      </c>
      <c r="L243" s="23">
        <v>1</v>
      </c>
      <c r="M243" s="23">
        <v>0</v>
      </c>
      <c r="N243" s="23">
        <v>1</v>
      </c>
      <c r="O243" s="23">
        <v>0</v>
      </c>
      <c r="P243" s="23">
        <v>0</v>
      </c>
      <c r="R243" s="23" t="s">
        <v>44</v>
      </c>
      <c r="S243" s="22">
        <v>0</v>
      </c>
      <c r="T243" s="23">
        <v>2</v>
      </c>
      <c r="U243" s="23">
        <f t="shared" si="37"/>
        <v>2</v>
      </c>
      <c r="V243" s="18" t="s">
        <v>44</v>
      </c>
      <c r="W243" s="18" t="s">
        <v>44</v>
      </c>
      <c r="X243" s="18" t="s">
        <v>44</v>
      </c>
      <c r="Y243" s="18" t="s">
        <v>44</v>
      </c>
      <c r="Z243" s="18" t="s">
        <v>44</v>
      </c>
      <c r="AA243" s="11" t="s">
        <v>44</v>
      </c>
      <c r="AB243" s="11" t="s">
        <v>44</v>
      </c>
      <c r="AC243" s="11" t="s">
        <v>44</v>
      </c>
      <c r="AD243" s="11" t="s">
        <v>44</v>
      </c>
      <c r="AE243" s="11" t="s">
        <v>44</v>
      </c>
      <c r="AF243" s="11" t="s">
        <v>44</v>
      </c>
      <c r="AG243" s="32">
        <v>3</v>
      </c>
      <c r="AH243">
        <v>1</v>
      </c>
      <c r="AI243">
        <v>78</v>
      </c>
      <c r="AJ243">
        <v>16</v>
      </c>
      <c r="AK243">
        <v>0</v>
      </c>
      <c r="AL243">
        <v>0.1</v>
      </c>
      <c r="AM243">
        <v>1</v>
      </c>
      <c r="AN243">
        <v>1</v>
      </c>
      <c r="AO243">
        <v>0.1</v>
      </c>
      <c r="AP243">
        <v>3</v>
      </c>
      <c r="AQ243" s="21">
        <f t="shared" si="35"/>
        <v>0</v>
      </c>
      <c r="AR243" s="12">
        <f t="shared" si="31"/>
        <v>100.19999999999999</v>
      </c>
      <c r="AS243">
        <v>7</v>
      </c>
      <c r="AT243">
        <v>0</v>
      </c>
      <c r="AU243">
        <v>10</v>
      </c>
      <c r="AV243">
        <v>0</v>
      </c>
      <c r="AW243">
        <v>0</v>
      </c>
      <c r="AX243">
        <v>12</v>
      </c>
      <c r="AY243">
        <v>0</v>
      </c>
      <c r="AZ243">
        <v>0</v>
      </c>
      <c r="BA243" s="6">
        <v>0</v>
      </c>
      <c r="BB243">
        <v>8</v>
      </c>
      <c r="BC243">
        <v>0</v>
      </c>
      <c r="BD243" s="6">
        <v>0</v>
      </c>
      <c r="BE243" s="6" t="s">
        <v>44</v>
      </c>
      <c r="BF243" s="6" t="s">
        <v>44</v>
      </c>
      <c r="BG243" s="6" t="s">
        <v>44</v>
      </c>
      <c r="BH243" s="6" t="s">
        <v>44</v>
      </c>
      <c r="BI243" s="6" t="s">
        <v>44</v>
      </c>
      <c r="BJ243" s="6" t="s">
        <v>44</v>
      </c>
      <c r="BK243" s="6">
        <v>0</v>
      </c>
      <c r="BL243" s="6">
        <f t="shared" si="32"/>
        <v>19</v>
      </c>
      <c r="BM243" s="6">
        <f t="shared" si="29"/>
        <v>37</v>
      </c>
    </row>
    <row r="244" spans="1:70" hidden="1">
      <c r="A244" s="16" t="str">
        <f t="shared" si="28"/>
        <v>WC_2024_AZ_1_3</v>
      </c>
      <c r="B244" t="s">
        <v>65</v>
      </c>
      <c r="C244">
        <v>42.222900000000003</v>
      </c>
      <c r="D244">
        <v>-124.383</v>
      </c>
      <c r="E244" s="8">
        <v>45524</v>
      </c>
      <c r="F244">
        <v>2024</v>
      </c>
      <c r="G244" t="s">
        <v>66</v>
      </c>
      <c r="H244" t="s">
        <v>42</v>
      </c>
      <c r="I244">
        <v>1</v>
      </c>
      <c r="J244">
        <v>3</v>
      </c>
      <c r="K244" t="s">
        <v>51</v>
      </c>
      <c r="L244" s="23">
        <v>2</v>
      </c>
      <c r="M244" s="23">
        <v>0</v>
      </c>
      <c r="N244" s="23">
        <v>0</v>
      </c>
      <c r="O244" s="23">
        <v>2</v>
      </c>
      <c r="P244" s="23">
        <v>0</v>
      </c>
      <c r="R244" s="23" t="s">
        <v>44</v>
      </c>
      <c r="S244" s="22">
        <v>0</v>
      </c>
      <c r="T244" s="23">
        <v>0</v>
      </c>
      <c r="U244" s="23">
        <f t="shared" si="37"/>
        <v>0</v>
      </c>
      <c r="V244" s="18" t="s">
        <v>44</v>
      </c>
      <c r="W244" s="18" t="s">
        <v>44</v>
      </c>
      <c r="X244" s="18" t="s">
        <v>44</v>
      </c>
      <c r="Y244" s="18" t="s">
        <v>44</v>
      </c>
      <c r="Z244" s="18" t="s">
        <v>44</v>
      </c>
      <c r="AA244" s="11" t="s">
        <v>44</v>
      </c>
      <c r="AB244" s="11" t="s">
        <v>44</v>
      </c>
      <c r="AC244" s="11" t="s">
        <v>44</v>
      </c>
      <c r="AD244" s="11" t="s">
        <v>44</v>
      </c>
      <c r="AE244" s="11" t="s">
        <v>44</v>
      </c>
      <c r="AF244" s="11" t="s">
        <v>44</v>
      </c>
      <c r="AG244" s="32" t="s">
        <v>44</v>
      </c>
      <c r="AH244">
        <v>0</v>
      </c>
      <c r="AI244">
        <v>71</v>
      </c>
      <c r="AJ244">
        <v>14</v>
      </c>
      <c r="AK244">
        <v>5</v>
      </c>
      <c r="AL244">
        <v>3</v>
      </c>
      <c r="AM244">
        <v>3</v>
      </c>
      <c r="AN244">
        <v>0</v>
      </c>
      <c r="AO244">
        <v>0.1</v>
      </c>
      <c r="AP244">
        <v>4</v>
      </c>
      <c r="AQ244" s="21" t="e">
        <f t="shared" si="35"/>
        <v>#VALUE!</v>
      </c>
      <c r="AR244" s="12">
        <f t="shared" si="31"/>
        <v>100.1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</v>
      </c>
      <c r="AY244">
        <v>0</v>
      </c>
      <c r="AZ244">
        <v>5</v>
      </c>
      <c r="BA244" s="6">
        <v>0</v>
      </c>
      <c r="BB244">
        <v>0</v>
      </c>
      <c r="BC244">
        <v>0</v>
      </c>
      <c r="BD244">
        <v>0</v>
      </c>
      <c r="BE244" s="6" t="s">
        <v>44</v>
      </c>
      <c r="BF244" s="6" t="s">
        <v>44</v>
      </c>
      <c r="BG244" s="6" t="s">
        <v>44</v>
      </c>
      <c r="BH244" s="6" t="s">
        <v>44</v>
      </c>
      <c r="BI244" s="6" t="s">
        <v>44</v>
      </c>
      <c r="BJ244" s="6" t="s">
        <v>44</v>
      </c>
      <c r="BK244" s="6">
        <v>0</v>
      </c>
      <c r="BL244" s="6">
        <f t="shared" si="32"/>
        <v>9</v>
      </c>
      <c r="BM244" s="6">
        <f t="shared" si="29"/>
        <v>9</v>
      </c>
      <c r="BN244">
        <v>71</v>
      </c>
      <c r="BO244">
        <f t="shared" si="36"/>
        <v>71</v>
      </c>
      <c r="BP244">
        <v>14</v>
      </c>
      <c r="BQ244">
        <f>SUM(BP244,BB244,BK244)</f>
        <v>14</v>
      </c>
      <c r="BR244">
        <f t="shared" si="30"/>
        <v>0</v>
      </c>
    </row>
    <row r="245" spans="1:70" hidden="1">
      <c r="A245" s="16" t="str">
        <f t="shared" si="28"/>
        <v>WC_2024_AZ_1_4</v>
      </c>
      <c r="B245" t="s">
        <v>65</v>
      </c>
      <c r="C245">
        <v>42.222900000000003</v>
      </c>
      <c r="D245">
        <v>-124.383</v>
      </c>
      <c r="E245" s="8">
        <v>45524</v>
      </c>
      <c r="F245">
        <v>2024</v>
      </c>
      <c r="G245" t="s">
        <v>66</v>
      </c>
      <c r="H245" t="s">
        <v>42</v>
      </c>
      <c r="I245">
        <v>1</v>
      </c>
      <c r="J245">
        <v>4</v>
      </c>
      <c r="K245" t="s">
        <v>47</v>
      </c>
      <c r="L245" s="23">
        <v>6</v>
      </c>
      <c r="M245" s="23">
        <v>0</v>
      </c>
      <c r="N245" s="23">
        <v>3</v>
      </c>
      <c r="O245" s="23">
        <v>3</v>
      </c>
      <c r="P245" s="23">
        <v>2</v>
      </c>
      <c r="R245" s="23" t="s">
        <v>44</v>
      </c>
      <c r="S245" s="22">
        <v>0</v>
      </c>
      <c r="T245" s="23">
        <v>0</v>
      </c>
      <c r="U245" s="23">
        <f t="shared" si="37"/>
        <v>0</v>
      </c>
      <c r="V245" s="18" t="s">
        <v>44</v>
      </c>
      <c r="W245" s="18" t="s">
        <v>44</v>
      </c>
      <c r="X245" s="18" t="s">
        <v>44</v>
      </c>
      <c r="Y245" s="18" t="s">
        <v>44</v>
      </c>
      <c r="Z245" s="18" t="s">
        <v>44</v>
      </c>
      <c r="AA245" s="11" t="s">
        <v>44</v>
      </c>
      <c r="AB245" s="11" t="s">
        <v>44</v>
      </c>
      <c r="AC245" s="11" t="s">
        <v>44</v>
      </c>
      <c r="AD245" s="11" t="s">
        <v>44</v>
      </c>
      <c r="AE245" s="11" t="s">
        <v>44</v>
      </c>
      <c r="AF245" s="11" t="s">
        <v>44</v>
      </c>
      <c r="AG245" s="32">
        <v>5</v>
      </c>
      <c r="AH245">
        <v>0</v>
      </c>
      <c r="AI245">
        <v>31</v>
      </c>
      <c r="AJ245">
        <v>7</v>
      </c>
      <c r="AK245">
        <v>0</v>
      </c>
      <c r="AL245">
        <v>7</v>
      </c>
      <c r="AM245">
        <v>8</v>
      </c>
      <c r="AN245">
        <v>10</v>
      </c>
      <c r="AO245">
        <v>0.1</v>
      </c>
      <c r="AP245">
        <v>37</v>
      </c>
      <c r="AQ245" s="21">
        <f t="shared" si="35"/>
        <v>32</v>
      </c>
      <c r="AR245" s="12">
        <f t="shared" si="31"/>
        <v>100.1</v>
      </c>
      <c r="AS245">
        <v>0</v>
      </c>
      <c r="AT245">
        <v>0</v>
      </c>
      <c r="AU245">
        <v>3</v>
      </c>
      <c r="AV245">
        <v>0</v>
      </c>
      <c r="AW245">
        <v>0</v>
      </c>
      <c r="AX245">
        <v>8</v>
      </c>
      <c r="AY245">
        <v>0</v>
      </c>
      <c r="AZ245">
        <v>0.1</v>
      </c>
      <c r="BA245" s="6">
        <v>0</v>
      </c>
      <c r="BB245">
        <v>0</v>
      </c>
      <c r="BC245">
        <v>0</v>
      </c>
      <c r="BD245" s="6">
        <v>0</v>
      </c>
      <c r="BE245" s="6" t="s">
        <v>44</v>
      </c>
      <c r="BF245" s="6" t="s">
        <v>44</v>
      </c>
      <c r="BG245" s="6" t="s">
        <v>44</v>
      </c>
      <c r="BH245" s="6" t="s">
        <v>44</v>
      </c>
      <c r="BI245" s="6" t="s">
        <v>44</v>
      </c>
      <c r="BJ245" s="6" t="s">
        <v>44</v>
      </c>
      <c r="BK245" s="6">
        <v>0</v>
      </c>
      <c r="BL245" s="6">
        <f t="shared" si="32"/>
        <v>8.1</v>
      </c>
      <c r="BM245" s="6">
        <f t="shared" si="29"/>
        <v>11.1</v>
      </c>
    </row>
    <row r="246" spans="1:70" hidden="1">
      <c r="A246" s="16" t="str">
        <f t="shared" si="28"/>
        <v>WC_2024_AZ_1_5</v>
      </c>
      <c r="B246" t="s">
        <v>65</v>
      </c>
      <c r="C246">
        <v>42.222900000000003</v>
      </c>
      <c r="D246">
        <v>-124.383</v>
      </c>
      <c r="E246" s="8">
        <v>45524</v>
      </c>
      <c r="F246">
        <v>2024</v>
      </c>
      <c r="G246" t="s">
        <v>66</v>
      </c>
      <c r="H246" t="s">
        <v>42</v>
      </c>
      <c r="I246">
        <v>1</v>
      </c>
      <c r="J246">
        <v>5</v>
      </c>
      <c r="K246" t="s">
        <v>47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R246" s="23" t="s">
        <v>44</v>
      </c>
      <c r="S246" s="22">
        <v>0</v>
      </c>
      <c r="T246" s="23">
        <v>2</v>
      </c>
      <c r="U246" s="23">
        <f t="shared" si="37"/>
        <v>2</v>
      </c>
      <c r="V246" s="18" t="s">
        <v>44</v>
      </c>
      <c r="W246" s="18" t="s">
        <v>44</v>
      </c>
      <c r="X246" s="18" t="s">
        <v>44</v>
      </c>
      <c r="Y246" s="18" t="s">
        <v>44</v>
      </c>
      <c r="Z246" s="18" t="s">
        <v>44</v>
      </c>
      <c r="AA246" s="11" t="s">
        <v>44</v>
      </c>
      <c r="AB246" s="11" t="s">
        <v>44</v>
      </c>
      <c r="AC246" s="11" t="s">
        <v>44</v>
      </c>
      <c r="AD246" s="11" t="s">
        <v>44</v>
      </c>
      <c r="AE246" s="11" t="s">
        <v>44</v>
      </c>
      <c r="AF246" s="11" t="s">
        <v>44</v>
      </c>
      <c r="AG246" s="32">
        <v>0</v>
      </c>
      <c r="AH246">
        <v>2</v>
      </c>
      <c r="AI246">
        <v>85</v>
      </c>
      <c r="AJ246">
        <v>3</v>
      </c>
      <c r="AK246">
        <v>0</v>
      </c>
      <c r="AL246">
        <v>2</v>
      </c>
      <c r="AM246">
        <v>2</v>
      </c>
      <c r="AN246">
        <v>5</v>
      </c>
      <c r="AO246">
        <v>0.1</v>
      </c>
      <c r="AP246">
        <v>1</v>
      </c>
      <c r="AQ246" s="21">
        <f t="shared" si="35"/>
        <v>1</v>
      </c>
      <c r="AR246" s="12">
        <f t="shared" si="31"/>
        <v>100.1</v>
      </c>
      <c r="AS246">
        <v>0</v>
      </c>
      <c r="AT246">
        <v>30</v>
      </c>
      <c r="AU246">
        <v>19</v>
      </c>
      <c r="AV246">
        <v>0</v>
      </c>
      <c r="AW246">
        <v>0</v>
      </c>
      <c r="AX246">
        <v>6</v>
      </c>
      <c r="AY246">
        <v>0</v>
      </c>
      <c r="AZ246">
        <v>0</v>
      </c>
      <c r="BA246" s="6">
        <v>0</v>
      </c>
      <c r="BB246">
        <v>2</v>
      </c>
      <c r="BC246">
        <v>0</v>
      </c>
      <c r="BD246">
        <v>7</v>
      </c>
      <c r="BE246" s="6" t="s">
        <v>44</v>
      </c>
      <c r="BF246" s="6" t="s">
        <v>44</v>
      </c>
      <c r="BG246" s="6" t="s">
        <v>44</v>
      </c>
      <c r="BH246" s="6" t="s">
        <v>44</v>
      </c>
      <c r="BI246" s="6" t="s">
        <v>44</v>
      </c>
      <c r="BJ246" s="6" t="s">
        <v>44</v>
      </c>
      <c r="BK246" s="6">
        <v>0</v>
      </c>
      <c r="BL246" s="6">
        <f t="shared" si="32"/>
        <v>43</v>
      </c>
      <c r="BM246" s="6">
        <f t="shared" si="29"/>
        <v>64</v>
      </c>
    </row>
    <row r="247" spans="1:70" hidden="1">
      <c r="A247" s="16" t="str">
        <f t="shared" si="28"/>
        <v>WC_2024_AZ_2_1</v>
      </c>
      <c r="B247" t="s">
        <v>65</v>
      </c>
      <c r="C247">
        <v>42.222900000000003</v>
      </c>
      <c r="D247">
        <v>-124.383</v>
      </c>
      <c r="E247" s="8">
        <v>45524</v>
      </c>
      <c r="F247">
        <v>2024</v>
      </c>
      <c r="G247" t="s">
        <v>66</v>
      </c>
      <c r="H247" t="s">
        <v>42</v>
      </c>
      <c r="I247">
        <v>2</v>
      </c>
      <c r="J247">
        <v>1</v>
      </c>
      <c r="K247" t="s">
        <v>46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 t="s">
        <v>44</v>
      </c>
      <c r="S247" s="22">
        <v>0</v>
      </c>
      <c r="T247" s="23">
        <v>0</v>
      </c>
      <c r="U247" s="23">
        <f t="shared" si="37"/>
        <v>0</v>
      </c>
      <c r="V247" s="18" t="s">
        <v>44</v>
      </c>
      <c r="W247" s="18" t="s">
        <v>44</v>
      </c>
      <c r="X247" s="18" t="s">
        <v>44</v>
      </c>
      <c r="Y247" s="18" t="s">
        <v>44</v>
      </c>
      <c r="Z247" s="18" t="s">
        <v>44</v>
      </c>
      <c r="AA247" s="11" t="s">
        <v>44</v>
      </c>
      <c r="AB247" s="11" t="s">
        <v>44</v>
      </c>
      <c r="AC247" s="11" t="s">
        <v>44</v>
      </c>
      <c r="AD247" s="11" t="s">
        <v>44</v>
      </c>
      <c r="AE247" s="11" t="s">
        <v>44</v>
      </c>
      <c r="AF247" s="11" t="s">
        <v>44</v>
      </c>
      <c r="AG247" s="32">
        <v>0</v>
      </c>
      <c r="AH247">
        <v>0</v>
      </c>
      <c r="AI247">
        <v>94</v>
      </c>
      <c r="AJ247">
        <v>3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2</v>
      </c>
      <c r="AQ247" s="21">
        <f t="shared" si="35"/>
        <v>2</v>
      </c>
      <c r="AR247" s="12">
        <f t="shared" si="31"/>
        <v>100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8</v>
      </c>
      <c r="AY247">
        <v>0</v>
      </c>
      <c r="AZ247">
        <v>0</v>
      </c>
      <c r="BA247" s="6">
        <v>0</v>
      </c>
      <c r="BB247">
        <v>0</v>
      </c>
      <c r="BC247">
        <v>0</v>
      </c>
      <c r="BD247" s="6">
        <v>0</v>
      </c>
      <c r="BE247" s="6" t="s">
        <v>44</v>
      </c>
      <c r="BF247" s="6" t="s">
        <v>44</v>
      </c>
      <c r="BG247" s="6" t="s">
        <v>44</v>
      </c>
      <c r="BH247" s="6" t="s">
        <v>44</v>
      </c>
      <c r="BI247" s="6" t="s">
        <v>44</v>
      </c>
      <c r="BJ247" s="6" t="s">
        <v>44</v>
      </c>
      <c r="BK247" s="6">
        <v>0</v>
      </c>
      <c r="BL247" s="6">
        <f t="shared" si="32"/>
        <v>8</v>
      </c>
      <c r="BM247" s="6">
        <f t="shared" si="29"/>
        <v>13</v>
      </c>
    </row>
    <row r="248" spans="1:70" hidden="1">
      <c r="A248" s="16" t="str">
        <f t="shared" si="28"/>
        <v>WC_2024_AZ_2_2</v>
      </c>
      <c r="B248" t="s">
        <v>65</v>
      </c>
      <c r="C248">
        <v>42.222900000000003</v>
      </c>
      <c r="D248">
        <v>-124.383</v>
      </c>
      <c r="E248" s="8">
        <v>45524</v>
      </c>
      <c r="F248">
        <v>2024</v>
      </c>
      <c r="G248" t="s">
        <v>66</v>
      </c>
      <c r="H248" t="s">
        <v>42</v>
      </c>
      <c r="I248">
        <v>2</v>
      </c>
      <c r="J248">
        <v>2</v>
      </c>
      <c r="K248" t="s">
        <v>43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 t="s">
        <v>44</v>
      </c>
      <c r="S248" s="22">
        <v>0</v>
      </c>
      <c r="T248" s="23">
        <v>0</v>
      </c>
      <c r="U248" s="23">
        <f t="shared" si="37"/>
        <v>0</v>
      </c>
      <c r="V248" s="18" t="s">
        <v>44</v>
      </c>
      <c r="W248" s="18" t="s">
        <v>44</v>
      </c>
      <c r="X248" s="18" t="s">
        <v>44</v>
      </c>
      <c r="Y248" s="18" t="s">
        <v>44</v>
      </c>
      <c r="Z248" s="18" t="s">
        <v>44</v>
      </c>
      <c r="AA248" s="11" t="s">
        <v>44</v>
      </c>
      <c r="AB248" s="11" t="s">
        <v>44</v>
      </c>
      <c r="AC248" s="11" t="s">
        <v>44</v>
      </c>
      <c r="AD248" s="11" t="s">
        <v>44</v>
      </c>
      <c r="AE248" s="11" t="s">
        <v>44</v>
      </c>
      <c r="AF248" s="11" t="s">
        <v>44</v>
      </c>
      <c r="AG248" s="32">
        <v>0</v>
      </c>
      <c r="AH248">
        <v>0</v>
      </c>
      <c r="AI248">
        <v>96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4</v>
      </c>
      <c r="AQ248" s="21">
        <f t="shared" si="35"/>
        <v>4</v>
      </c>
      <c r="AR248" s="12">
        <f t="shared" si="31"/>
        <v>100</v>
      </c>
      <c r="AS248">
        <v>0</v>
      </c>
      <c r="AT248">
        <v>0</v>
      </c>
      <c r="AU248">
        <v>4</v>
      </c>
      <c r="AV248">
        <v>0</v>
      </c>
      <c r="AW248">
        <v>0</v>
      </c>
      <c r="AX248">
        <v>29</v>
      </c>
      <c r="AY248">
        <v>0</v>
      </c>
      <c r="AZ248">
        <v>0</v>
      </c>
      <c r="BA248" s="6">
        <v>0</v>
      </c>
      <c r="BB248">
        <v>0</v>
      </c>
      <c r="BC248">
        <v>0</v>
      </c>
      <c r="BD248">
        <v>3</v>
      </c>
      <c r="BE248" s="6" t="s">
        <v>44</v>
      </c>
      <c r="BF248" s="6" t="s">
        <v>44</v>
      </c>
      <c r="BG248" s="6" t="s">
        <v>44</v>
      </c>
      <c r="BH248" s="6" t="s">
        <v>44</v>
      </c>
      <c r="BI248" s="6" t="s">
        <v>44</v>
      </c>
      <c r="BJ248" s="6" t="s">
        <v>44</v>
      </c>
      <c r="BK248" s="6">
        <v>0</v>
      </c>
      <c r="BL248" s="6">
        <f t="shared" si="32"/>
        <v>32</v>
      </c>
      <c r="BM248" s="6">
        <f t="shared" si="29"/>
        <v>36</v>
      </c>
    </row>
    <row r="249" spans="1:70" hidden="1">
      <c r="A249" s="16" t="str">
        <f t="shared" si="28"/>
        <v>WC_2024_AZ_2_3</v>
      </c>
      <c r="B249" t="s">
        <v>65</v>
      </c>
      <c r="C249">
        <v>42.222900000000003</v>
      </c>
      <c r="D249">
        <v>-124.383</v>
      </c>
      <c r="E249" s="8">
        <v>45524</v>
      </c>
      <c r="F249">
        <v>2024</v>
      </c>
      <c r="G249" t="s">
        <v>66</v>
      </c>
      <c r="H249" t="s">
        <v>42</v>
      </c>
      <c r="I249">
        <v>2</v>
      </c>
      <c r="J249">
        <v>3</v>
      </c>
      <c r="K249" t="s">
        <v>46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 t="s">
        <v>44</v>
      </c>
      <c r="S249" s="22">
        <v>0</v>
      </c>
      <c r="T249" s="23">
        <v>0</v>
      </c>
      <c r="U249" s="23">
        <f t="shared" si="37"/>
        <v>0</v>
      </c>
      <c r="V249" s="18" t="s">
        <v>44</v>
      </c>
      <c r="W249" s="18" t="s">
        <v>44</v>
      </c>
      <c r="X249" s="18" t="s">
        <v>44</v>
      </c>
      <c r="Y249" s="18" t="s">
        <v>44</v>
      </c>
      <c r="Z249" s="18" t="s">
        <v>44</v>
      </c>
      <c r="AA249" s="11" t="s">
        <v>44</v>
      </c>
      <c r="AB249" s="11" t="s">
        <v>44</v>
      </c>
      <c r="AC249" s="11" t="s">
        <v>44</v>
      </c>
      <c r="AD249" s="11" t="s">
        <v>44</v>
      </c>
      <c r="AE249" s="11" t="s">
        <v>44</v>
      </c>
      <c r="AF249" s="11" t="s">
        <v>44</v>
      </c>
      <c r="AG249" s="32">
        <v>0</v>
      </c>
      <c r="AH249">
        <v>0</v>
      </c>
      <c r="AI249">
        <v>88</v>
      </c>
      <c r="AJ249">
        <v>5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5</v>
      </c>
      <c r="AQ249" s="21">
        <f t="shared" si="35"/>
        <v>5</v>
      </c>
      <c r="AR249" s="12">
        <f t="shared" si="31"/>
        <v>100</v>
      </c>
      <c r="AS249">
        <v>0</v>
      </c>
      <c r="AT249">
        <v>2</v>
      </c>
      <c r="AU249">
        <v>5</v>
      </c>
      <c r="AV249">
        <v>0</v>
      </c>
      <c r="AW249">
        <v>0</v>
      </c>
      <c r="AX249">
        <v>23</v>
      </c>
      <c r="AY249">
        <v>0</v>
      </c>
      <c r="AZ249">
        <v>0</v>
      </c>
      <c r="BA249" s="6">
        <v>0</v>
      </c>
      <c r="BB249">
        <v>0</v>
      </c>
      <c r="BC249">
        <v>0</v>
      </c>
      <c r="BD249">
        <v>4</v>
      </c>
      <c r="BE249" s="6" t="s">
        <v>44</v>
      </c>
      <c r="BF249" s="6" t="s">
        <v>44</v>
      </c>
      <c r="BG249" s="6" t="s">
        <v>44</v>
      </c>
      <c r="BH249" s="6" t="s">
        <v>44</v>
      </c>
      <c r="BI249" s="6" t="s">
        <v>44</v>
      </c>
      <c r="BJ249" s="6" t="s">
        <v>44</v>
      </c>
      <c r="BK249" s="6">
        <v>0</v>
      </c>
      <c r="BL249" s="6">
        <f t="shared" si="32"/>
        <v>29</v>
      </c>
      <c r="BM249" s="6">
        <f t="shared" si="29"/>
        <v>34</v>
      </c>
    </row>
    <row r="250" spans="1:70">
      <c r="A250" s="16" t="str">
        <f t="shared" si="28"/>
        <v>WC_2024_AZ_2_4</v>
      </c>
      <c r="B250" t="s">
        <v>65</v>
      </c>
      <c r="C250">
        <v>42.222900000000003</v>
      </c>
      <c r="D250">
        <v>-124.383</v>
      </c>
      <c r="E250" s="8">
        <v>45524</v>
      </c>
      <c r="F250">
        <v>2024</v>
      </c>
      <c r="G250" t="s">
        <v>66</v>
      </c>
      <c r="H250" t="s">
        <v>42</v>
      </c>
      <c r="I250">
        <v>2</v>
      </c>
      <c r="J250">
        <v>4</v>
      </c>
      <c r="K250" t="s">
        <v>43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 t="s">
        <v>44</v>
      </c>
      <c r="S250" s="22">
        <v>0</v>
      </c>
      <c r="T250" s="23">
        <v>0</v>
      </c>
      <c r="U250" s="23">
        <f t="shared" si="37"/>
        <v>0</v>
      </c>
      <c r="V250" s="18" t="s">
        <v>44</v>
      </c>
      <c r="W250" s="18" t="s">
        <v>44</v>
      </c>
      <c r="X250" s="18" t="s">
        <v>44</v>
      </c>
      <c r="Y250" s="18" t="s">
        <v>44</v>
      </c>
      <c r="Z250" s="18" t="s">
        <v>44</v>
      </c>
      <c r="AA250" s="11" t="s">
        <v>44</v>
      </c>
      <c r="AB250" s="11" t="s">
        <v>44</v>
      </c>
      <c r="AC250" s="11" t="s">
        <v>44</v>
      </c>
      <c r="AD250" s="11" t="s">
        <v>44</v>
      </c>
      <c r="AE250" s="11" t="s">
        <v>44</v>
      </c>
      <c r="AF250" s="11" t="s">
        <v>44</v>
      </c>
      <c r="AG250" s="32">
        <v>0</v>
      </c>
      <c r="AH250">
        <v>0</v>
      </c>
      <c r="AI250">
        <v>86</v>
      </c>
      <c r="AJ250">
        <v>14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s="21">
        <f t="shared" si="35"/>
        <v>0</v>
      </c>
      <c r="AR250" s="12">
        <f t="shared" si="31"/>
        <v>100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19</v>
      </c>
      <c r="AY250">
        <v>0</v>
      </c>
      <c r="AZ250">
        <v>0</v>
      </c>
      <c r="BA250" s="6">
        <v>0</v>
      </c>
      <c r="BB250">
        <v>14</v>
      </c>
      <c r="BC250">
        <v>0</v>
      </c>
      <c r="BD250">
        <v>8</v>
      </c>
      <c r="BE250" s="6" t="s">
        <v>44</v>
      </c>
      <c r="BF250" s="6" t="s">
        <v>44</v>
      </c>
      <c r="BG250" s="6" t="s">
        <v>44</v>
      </c>
      <c r="BH250" s="6" t="s">
        <v>44</v>
      </c>
      <c r="BI250" s="6" t="s">
        <v>44</v>
      </c>
      <c r="BJ250" s="6" t="s">
        <v>44</v>
      </c>
      <c r="BK250" s="6">
        <v>0</v>
      </c>
      <c r="BL250" s="6">
        <f t="shared" si="32"/>
        <v>27</v>
      </c>
      <c r="BM250" s="6">
        <f t="shared" si="29"/>
        <v>41</v>
      </c>
      <c r="BN250">
        <v>97</v>
      </c>
      <c r="BO250">
        <f t="shared" si="36"/>
        <v>97</v>
      </c>
    </row>
    <row r="251" spans="1:70" hidden="1">
      <c r="A251" s="16" t="str">
        <f t="shared" si="28"/>
        <v>WC_2024_AZ_2_5</v>
      </c>
      <c r="B251" t="s">
        <v>65</v>
      </c>
      <c r="C251">
        <v>42.222900000000003</v>
      </c>
      <c r="D251">
        <v>-124.383</v>
      </c>
      <c r="E251" s="8">
        <v>45524</v>
      </c>
      <c r="F251">
        <v>2024</v>
      </c>
      <c r="G251" t="s">
        <v>66</v>
      </c>
      <c r="H251" t="s">
        <v>42</v>
      </c>
      <c r="I251">
        <v>2</v>
      </c>
      <c r="J251">
        <v>5</v>
      </c>
      <c r="K251" t="s">
        <v>43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 t="s">
        <v>44</v>
      </c>
      <c r="S251" s="22">
        <v>0</v>
      </c>
      <c r="T251" s="23">
        <v>0</v>
      </c>
      <c r="U251" s="23">
        <f t="shared" si="37"/>
        <v>0</v>
      </c>
      <c r="V251" s="18" t="s">
        <v>44</v>
      </c>
      <c r="W251" s="18" t="s">
        <v>44</v>
      </c>
      <c r="X251" s="18" t="s">
        <v>44</v>
      </c>
      <c r="Y251" s="18" t="s">
        <v>44</v>
      </c>
      <c r="Z251" s="18" t="s">
        <v>44</v>
      </c>
      <c r="AA251" s="11" t="s">
        <v>44</v>
      </c>
      <c r="AB251" s="11" t="s">
        <v>44</v>
      </c>
      <c r="AC251" s="11" t="s">
        <v>44</v>
      </c>
      <c r="AD251" s="11" t="s">
        <v>44</v>
      </c>
      <c r="AE251" s="11" t="s">
        <v>44</v>
      </c>
      <c r="AF251" s="11" t="s">
        <v>44</v>
      </c>
      <c r="AG251" s="32">
        <v>0</v>
      </c>
      <c r="AH251">
        <v>0</v>
      </c>
      <c r="AI251">
        <v>98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s="21">
        <f t="shared" si="35"/>
        <v>0</v>
      </c>
      <c r="AR251" s="12">
        <f t="shared" si="31"/>
        <v>100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85</v>
      </c>
      <c r="AY251">
        <v>0</v>
      </c>
      <c r="AZ251">
        <v>0</v>
      </c>
      <c r="BA251" s="6">
        <v>0</v>
      </c>
      <c r="BB251">
        <v>2</v>
      </c>
      <c r="BC251">
        <v>0</v>
      </c>
      <c r="BD251">
        <v>3</v>
      </c>
      <c r="BE251" s="6" t="s">
        <v>44</v>
      </c>
      <c r="BF251" s="6" t="s">
        <v>44</v>
      </c>
      <c r="BG251" s="6" t="s">
        <v>44</v>
      </c>
      <c r="BH251" s="6" t="s">
        <v>44</v>
      </c>
      <c r="BI251" s="6" t="s">
        <v>44</v>
      </c>
      <c r="BJ251" s="6" t="s">
        <v>44</v>
      </c>
      <c r="BK251" s="6">
        <v>0</v>
      </c>
      <c r="BL251" s="6">
        <f t="shared" si="32"/>
        <v>88</v>
      </c>
      <c r="BM251" s="6">
        <f t="shared" si="29"/>
        <v>92</v>
      </c>
    </row>
    <row r="252" spans="1:70" hidden="1">
      <c r="A252" s="16" t="str">
        <f t="shared" si="28"/>
        <v>WC_2024_UPZ_1_1</v>
      </c>
      <c r="B252" t="s">
        <v>65</v>
      </c>
      <c r="C252">
        <v>42.222900000000003</v>
      </c>
      <c r="D252">
        <v>-124.383</v>
      </c>
      <c r="E252" s="8">
        <v>45524</v>
      </c>
      <c r="F252">
        <v>2024</v>
      </c>
      <c r="G252" t="s">
        <v>66</v>
      </c>
      <c r="H252" t="s">
        <v>45</v>
      </c>
      <c r="I252">
        <v>1</v>
      </c>
      <c r="J252">
        <v>1</v>
      </c>
      <c r="K252" t="s">
        <v>43</v>
      </c>
      <c r="L252" s="23">
        <v>21</v>
      </c>
      <c r="M252" s="23">
        <v>19</v>
      </c>
      <c r="N252" s="23">
        <v>0</v>
      </c>
      <c r="O252" s="23">
        <v>2</v>
      </c>
      <c r="P252" s="23" t="s">
        <v>44</v>
      </c>
      <c r="Q252" s="23" t="s">
        <v>44</v>
      </c>
      <c r="R252" s="23" t="s">
        <v>44</v>
      </c>
      <c r="S252" s="22">
        <v>0</v>
      </c>
      <c r="T252" s="23">
        <v>5</v>
      </c>
      <c r="U252" s="23">
        <f t="shared" si="37"/>
        <v>24</v>
      </c>
      <c r="V252" s="18">
        <v>5.6</v>
      </c>
      <c r="W252" s="18">
        <v>4.3</v>
      </c>
      <c r="X252" s="18">
        <v>3.8</v>
      </c>
      <c r="Y252" s="18">
        <v>3.1</v>
      </c>
      <c r="Z252" s="18">
        <v>4.5999999999999996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1">
        <f t="shared" ref="AF252:AF258" si="38">SUM(AA252:AE252)</f>
        <v>0</v>
      </c>
      <c r="AG252" s="32" t="s">
        <v>44</v>
      </c>
      <c r="AH252">
        <v>0</v>
      </c>
      <c r="AI252">
        <v>11</v>
      </c>
      <c r="AJ252">
        <v>0</v>
      </c>
      <c r="AK252">
        <v>0</v>
      </c>
      <c r="AL252">
        <v>6</v>
      </c>
      <c r="AM252">
        <v>4</v>
      </c>
      <c r="AN252">
        <v>3</v>
      </c>
      <c r="AO252">
        <v>0</v>
      </c>
      <c r="AP252">
        <v>76</v>
      </c>
      <c r="AQ252" s="21" t="e">
        <f t="shared" si="35"/>
        <v>#VALUE!</v>
      </c>
      <c r="AR252" s="12">
        <f t="shared" si="31"/>
        <v>100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 s="6">
        <v>0</v>
      </c>
      <c r="BB252">
        <v>0</v>
      </c>
      <c r="BC252">
        <v>0</v>
      </c>
      <c r="BD252">
        <v>0</v>
      </c>
      <c r="BE252" s="6" t="s">
        <v>44</v>
      </c>
      <c r="BF252" s="6" t="s">
        <v>44</v>
      </c>
      <c r="BG252" s="6" t="s">
        <v>44</v>
      </c>
      <c r="BH252" s="6" t="s">
        <v>44</v>
      </c>
      <c r="BI252" s="6" t="s">
        <v>44</v>
      </c>
      <c r="BJ252" s="6" t="s">
        <v>44</v>
      </c>
      <c r="BK252" s="6">
        <v>0</v>
      </c>
      <c r="BL252" s="6">
        <f t="shared" si="32"/>
        <v>0</v>
      </c>
      <c r="BM252" s="6">
        <f t="shared" si="29"/>
        <v>0</v>
      </c>
      <c r="BN252">
        <v>11</v>
      </c>
      <c r="BO252">
        <f t="shared" si="36"/>
        <v>11</v>
      </c>
      <c r="BP252">
        <v>0</v>
      </c>
      <c r="BQ252">
        <f>SUM(BP252,BB252,BK252)</f>
        <v>0</v>
      </c>
      <c r="BR252">
        <f t="shared" ref="BR252:BR315" si="39">BQ252-BP252</f>
        <v>0</v>
      </c>
    </row>
    <row r="253" spans="1:70" hidden="1">
      <c r="A253" s="16" t="str">
        <f t="shared" si="28"/>
        <v>WC_2024_UPZ_1_2</v>
      </c>
      <c r="B253" t="s">
        <v>65</v>
      </c>
      <c r="C253">
        <v>42.222900000000003</v>
      </c>
      <c r="D253">
        <v>-124.383</v>
      </c>
      <c r="E253" s="8">
        <v>45524</v>
      </c>
      <c r="F253">
        <v>2024</v>
      </c>
      <c r="G253" t="s">
        <v>66</v>
      </c>
      <c r="H253" t="s">
        <v>45</v>
      </c>
      <c r="I253">
        <v>1</v>
      </c>
      <c r="J253">
        <v>2</v>
      </c>
      <c r="K253" t="s">
        <v>43</v>
      </c>
      <c r="L253" s="23">
        <v>9</v>
      </c>
      <c r="M253" s="23">
        <v>5</v>
      </c>
      <c r="N253" s="23">
        <v>1</v>
      </c>
      <c r="O253" s="23">
        <v>3</v>
      </c>
      <c r="P253" s="23" t="s">
        <v>44</v>
      </c>
      <c r="Q253" s="23" t="s">
        <v>44</v>
      </c>
      <c r="R253" s="23" t="s">
        <v>44</v>
      </c>
      <c r="S253" s="22">
        <v>0</v>
      </c>
      <c r="T253" s="23" t="s">
        <v>44</v>
      </c>
      <c r="U253" s="23" t="s">
        <v>44</v>
      </c>
      <c r="V253" s="18">
        <v>4.7</v>
      </c>
      <c r="W253" s="18">
        <v>1.7</v>
      </c>
      <c r="X253" s="18">
        <v>5.7</v>
      </c>
      <c r="Y253" s="18">
        <v>6.2</v>
      </c>
      <c r="Z253" s="18">
        <v>3.3</v>
      </c>
      <c r="AA253" s="15">
        <v>0</v>
      </c>
      <c r="AB253" s="15">
        <v>1</v>
      </c>
      <c r="AC253" s="15">
        <v>0</v>
      </c>
      <c r="AD253" s="15">
        <v>0</v>
      </c>
      <c r="AE253" s="15">
        <v>0</v>
      </c>
      <c r="AF253" s="11">
        <f t="shared" si="38"/>
        <v>1</v>
      </c>
      <c r="AG253" s="32">
        <v>6</v>
      </c>
      <c r="AH253">
        <v>0</v>
      </c>
      <c r="AI253">
        <v>91</v>
      </c>
      <c r="AJ253">
        <v>1</v>
      </c>
      <c r="AK253">
        <v>0</v>
      </c>
      <c r="AL253">
        <v>2</v>
      </c>
      <c r="AM253">
        <v>0.1</v>
      </c>
      <c r="AN253">
        <v>0</v>
      </c>
      <c r="AO253">
        <v>0</v>
      </c>
      <c r="AP253">
        <v>6</v>
      </c>
      <c r="AQ253" s="21">
        <f t="shared" si="35"/>
        <v>0</v>
      </c>
      <c r="AR253" s="12">
        <f t="shared" si="31"/>
        <v>100.1</v>
      </c>
      <c r="AS253">
        <v>6</v>
      </c>
      <c r="AT253">
        <v>5</v>
      </c>
      <c r="AU253">
        <v>14</v>
      </c>
      <c r="AV253">
        <v>0</v>
      </c>
      <c r="AW253">
        <v>0</v>
      </c>
      <c r="AX253">
        <v>9</v>
      </c>
      <c r="AY253">
        <v>4</v>
      </c>
      <c r="AZ253">
        <v>0</v>
      </c>
      <c r="BA253" s="6">
        <v>0</v>
      </c>
      <c r="BB253">
        <v>0</v>
      </c>
      <c r="BC253">
        <v>0</v>
      </c>
      <c r="BD253">
        <v>0</v>
      </c>
      <c r="BE253" s="6" t="s">
        <v>44</v>
      </c>
      <c r="BF253" s="6" t="s">
        <v>44</v>
      </c>
      <c r="BG253" s="6" t="s">
        <v>44</v>
      </c>
      <c r="BH253" s="6" t="s">
        <v>44</v>
      </c>
      <c r="BI253" s="6" t="s">
        <v>44</v>
      </c>
      <c r="BJ253" s="6" t="s">
        <v>44</v>
      </c>
      <c r="BK253" s="6">
        <v>0</v>
      </c>
      <c r="BL253" s="6">
        <f t="shared" si="32"/>
        <v>24</v>
      </c>
      <c r="BM253" s="6">
        <f t="shared" si="29"/>
        <v>38</v>
      </c>
    </row>
    <row r="254" spans="1:70" hidden="1">
      <c r="A254" s="16" t="str">
        <f t="shared" si="28"/>
        <v>WC_2024_UPZ_1_3</v>
      </c>
      <c r="B254" t="s">
        <v>65</v>
      </c>
      <c r="C254">
        <v>42.222900000000003</v>
      </c>
      <c r="D254">
        <v>-124.383</v>
      </c>
      <c r="E254" s="8">
        <v>45524</v>
      </c>
      <c r="F254">
        <v>2024</v>
      </c>
      <c r="G254" t="s">
        <v>66</v>
      </c>
      <c r="H254" t="s">
        <v>45</v>
      </c>
      <c r="I254">
        <v>1</v>
      </c>
      <c r="J254">
        <v>3</v>
      </c>
      <c r="K254" t="s">
        <v>46</v>
      </c>
      <c r="L254" s="23">
        <v>10</v>
      </c>
      <c r="M254" s="23">
        <v>7</v>
      </c>
      <c r="N254" s="23">
        <v>1</v>
      </c>
      <c r="O254" s="23">
        <v>2</v>
      </c>
      <c r="P254" s="23">
        <v>3</v>
      </c>
      <c r="Q254" s="23">
        <v>3</v>
      </c>
      <c r="R254" s="23" t="s">
        <v>44</v>
      </c>
      <c r="S254" s="22">
        <v>0</v>
      </c>
      <c r="T254" s="23">
        <v>6</v>
      </c>
      <c r="U254" s="23" t="s">
        <v>44</v>
      </c>
      <c r="V254" s="18">
        <v>7.9</v>
      </c>
      <c r="W254" s="18">
        <v>3.6</v>
      </c>
      <c r="X254" s="18">
        <v>4.2</v>
      </c>
      <c r="Y254" s="18">
        <v>5</v>
      </c>
      <c r="Z254" s="18">
        <v>3.6</v>
      </c>
      <c r="AA254" s="15">
        <v>0</v>
      </c>
      <c r="AB254" s="15">
        <v>0</v>
      </c>
      <c r="AC254" s="15">
        <v>0</v>
      </c>
      <c r="AD254" s="15">
        <v>0</v>
      </c>
      <c r="AE254" s="15">
        <v>1</v>
      </c>
      <c r="AF254" s="11">
        <f t="shared" si="38"/>
        <v>1</v>
      </c>
      <c r="AG254" s="32">
        <v>10</v>
      </c>
      <c r="AH254">
        <v>0</v>
      </c>
      <c r="AI254">
        <v>74</v>
      </c>
      <c r="AJ254">
        <v>1</v>
      </c>
      <c r="AK254">
        <v>0</v>
      </c>
      <c r="AL254">
        <v>3</v>
      </c>
      <c r="AM254">
        <v>0</v>
      </c>
      <c r="AN254">
        <v>0</v>
      </c>
      <c r="AO254">
        <v>0</v>
      </c>
      <c r="AP254">
        <v>22</v>
      </c>
      <c r="AQ254" s="21">
        <f t="shared" si="35"/>
        <v>12</v>
      </c>
      <c r="AR254" s="12">
        <f t="shared" si="31"/>
        <v>100</v>
      </c>
      <c r="AS254">
        <v>0</v>
      </c>
      <c r="AT254">
        <v>0</v>
      </c>
      <c r="AU254">
        <v>6</v>
      </c>
      <c r="AV254">
        <v>0</v>
      </c>
      <c r="AW254">
        <v>0</v>
      </c>
      <c r="AX254">
        <v>10</v>
      </c>
      <c r="AY254">
        <v>0</v>
      </c>
      <c r="AZ254">
        <v>0</v>
      </c>
      <c r="BA254" s="6">
        <v>0</v>
      </c>
      <c r="BB254">
        <v>0</v>
      </c>
      <c r="BC254">
        <v>0</v>
      </c>
      <c r="BD254">
        <v>0</v>
      </c>
      <c r="BE254" s="6" t="s">
        <v>44</v>
      </c>
      <c r="BF254" s="6" t="s">
        <v>44</v>
      </c>
      <c r="BG254" s="6" t="s">
        <v>44</v>
      </c>
      <c r="BH254" s="6" t="s">
        <v>44</v>
      </c>
      <c r="BI254" s="6" t="s">
        <v>44</v>
      </c>
      <c r="BJ254" s="6" t="s">
        <v>44</v>
      </c>
      <c r="BK254" s="6">
        <v>0</v>
      </c>
      <c r="BL254" s="6">
        <f t="shared" si="32"/>
        <v>10</v>
      </c>
      <c r="BM254" s="6">
        <f t="shared" si="29"/>
        <v>16</v>
      </c>
    </row>
    <row r="255" spans="1:70" hidden="1">
      <c r="A255" s="16" t="str">
        <f t="shared" si="28"/>
        <v>WC_2024_UPZ_1_4</v>
      </c>
      <c r="B255" t="s">
        <v>65</v>
      </c>
      <c r="C255">
        <v>42.222900000000003</v>
      </c>
      <c r="D255">
        <v>-124.383</v>
      </c>
      <c r="E255" s="8">
        <v>45524</v>
      </c>
      <c r="F255">
        <v>2024</v>
      </c>
      <c r="G255" t="s">
        <v>66</v>
      </c>
      <c r="H255" t="s">
        <v>45</v>
      </c>
      <c r="I255">
        <v>1</v>
      </c>
      <c r="J255">
        <v>4</v>
      </c>
      <c r="K255" t="s">
        <v>47</v>
      </c>
      <c r="L255" s="23">
        <v>3</v>
      </c>
      <c r="M255" s="23">
        <v>1</v>
      </c>
      <c r="N255" s="23">
        <v>0</v>
      </c>
      <c r="O255" s="23">
        <v>2</v>
      </c>
      <c r="P255" s="23" t="s">
        <v>44</v>
      </c>
      <c r="Q255" s="23" t="s">
        <v>44</v>
      </c>
      <c r="R255" s="23" t="s">
        <v>44</v>
      </c>
      <c r="S255" s="22">
        <v>0</v>
      </c>
      <c r="T255" s="23">
        <v>5</v>
      </c>
      <c r="U255" s="23">
        <v>6</v>
      </c>
      <c r="V255" s="18">
        <v>7.3</v>
      </c>
      <c r="W255" s="18">
        <v>2.1</v>
      </c>
      <c r="X255" s="20"/>
      <c r="Y255" s="20"/>
      <c r="Z255" s="20"/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1">
        <f t="shared" si="38"/>
        <v>0</v>
      </c>
      <c r="AG255" s="32" t="s">
        <v>44</v>
      </c>
      <c r="AH255">
        <v>1</v>
      </c>
      <c r="AI255">
        <v>4</v>
      </c>
      <c r="AJ255">
        <v>0</v>
      </c>
      <c r="AK255">
        <v>0</v>
      </c>
      <c r="AL255">
        <v>7</v>
      </c>
      <c r="AM255">
        <v>1</v>
      </c>
      <c r="AN255">
        <v>1</v>
      </c>
      <c r="AO255">
        <v>0</v>
      </c>
      <c r="AP255">
        <v>86</v>
      </c>
      <c r="AQ255" s="21" t="e">
        <f t="shared" si="35"/>
        <v>#VALUE!</v>
      </c>
      <c r="AR255" s="12">
        <f t="shared" si="31"/>
        <v>100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s="6">
        <v>0</v>
      </c>
      <c r="BB255">
        <v>0</v>
      </c>
      <c r="BC255">
        <v>0</v>
      </c>
      <c r="BD255">
        <v>0</v>
      </c>
      <c r="BE255">
        <v>7</v>
      </c>
      <c r="BF255" s="6" t="s">
        <v>44</v>
      </c>
      <c r="BG255" s="6" t="s">
        <v>44</v>
      </c>
      <c r="BH255" s="6" t="s">
        <v>44</v>
      </c>
      <c r="BI255" s="6" t="s">
        <v>44</v>
      </c>
      <c r="BJ255" s="6" t="s">
        <v>44</v>
      </c>
      <c r="BK255" s="6">
        <v>0</v>
      </c>
      <c r="BL255" s="6">
        <f t="shared" si="32"/>
        <v>7</v>
      </c>
      <c r="BM255" s="6">
        <f t="shared" si="29"/>
        <v>7</v>
      </c>
      <c r="BN255">
        <v>4</v>
      </c>
      <c r="BO255">
        <f t="shared" si="36"/>
        <v>4</v>
      </c>
      <c r="BP255">
        <v>0</v>
      </c>
      <c r="BQ255">
        <f>SUM(BP255,BB255,BK255)</f>
        <v>0</v>
      </c>
      <c r="BR255">
        <f t="shared" si="39"/>
        <v>0</v>
      </c>
    </row>
    <row r="256" spans="1:70" hidden="1">
      <c r="A256" s="16" t="str">
        <f t="shared" si="28"/>
        <v>WC_2024_UPZ_1_5</v>
      </c>
      <c r="B256" t="s">
        <v>65</v>
      </c>
      <c r="C256">
        <v>42.222900000000003</v>
      </c>
      <c r="D256">
        <v>-124.383</v>
      </c>
      <c r="E256" s="8">
        <v>45524</v>
      </c>
      <c r="F256">
        <v>2024</v>
      </c>
      <c r="G256" t="s">
        <v>66</v>
      </c>
      <c r="H256" t="s">
        <v>45</v>
      </c>
      <c r="I256">
        <v>1</v>
      </c>
      <c r="J256">
        <v>5</v>
      </c>
      <c r="K256" t="s">
        <v>47</v>
      </c>
      <c r="L256" s="23">
        <v>24</v>
      </c>
      <c r="M256" s="23">
        <v>2</v>
      </c>
      <c r="N256" s="23">
        <v>5</v>
      </c>
      <c r="O256" s="23">
        <v>17</v>
      </c>
      <c r="P256" s="23" t="s">
        <v>44</v>
      </c>
      <c r="Q256" s="23" t="s">
        <v>44</v>
      </c>
      <c r="R256" s="23" t="s">
        <v>44</v>
      </c>
      <c r="S256" s="22">
        <v>0</v>
      </c>
      <c r="T256" s="23">
        <v>13</v>
      </c>
      <c r="U256" s="23">
        <v>15</v>
      </c>
      <c r="V256" s="18">
        <v>3.1</v>
      </c>
      <c r="W256" s="18">
        <v>3.8</v>
      </c>
      <c r="X256" s="18">
        <v>4.4000000000000004</v>
      </c>
      <c r="Y256" s="18">
        <v>5.3</v>
      </c>
      <c r="Z256" s="18">
        <v>5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1">
        <f t="shared" si="38"/>
        <v>0</v>
      </c>
      <c r="AG256" s="32" t="s">
        <v>44</v>
      </c>
      <c r="AH256">
        <v>0</v>
      </c>
      <c r="AI256">
        <v>2</v>
      </c>
      <c r="AJ256">
        <v>0</v>
      </c>
      <c r="AK256">
        <v>0</v>
      </c>
      <c r="AL256">
        <v>13</v>
      </c>
      <c r="AM256">
        <v>6</v>
      </c>
      <c r="AN256">
        <v>0</v>
      </c>
      <c r="AO256">
        <v>0</v>
      </c>
      <c r="AP256">
        <v>79</v>
      </c>
      <c r="AQ256" s="21" t="e">
        <f t="shared" si="35"/>
        <v>#VALUE!</v>
      </c>
      <c r="AR256" s="12">
        <f t="shared" si="31"/>
        <v>100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s="6">
        <v>0</v>
      </c>
      <c r="BB256">
        <v>0</v>
      </c>
      <c r="BC256">
        <v>0</v>
      </c>
      <c r="BD256">
        <v>0</v>
      </c>
      <c r="BE256">
        <v>0</v>
      </c>
      <c r="BF256" s="6" t="s">
        <v>44</v>
      </c>
      <c r="BG256" s="6" t="s">
        <v>44</v>
      </c>
      <c r="BH256" s="6" t="s">
        <v>44</v>
      </c>
      <c r="BI256" s="6" t="s">
        <v>44</v>
      </c>
      <c r="BJ256" s="6" t="s">
        <v>44</v>
      </c>
      <c r="BK256" s="6">
        <v>0</v>
      </c>
      <c r="BL256" s="6">
        <f t="shared" si="32"/>
        <v>0</v>
      </c>
      <c r="BM256" s="6">
        <f t="shared" si="29"/>
        <v>0</v>
      </c>
      <c r="BN256">
        <v>2</v>
      </c>
      <c r="BO256">
        <f t="shared" si="36"/>
        <v>2</v>
      </c>
      <c r="BP256">
        <v>0</v>
      </c>
      <c r="BQ256">
        <f>SUM(BP256,BB256,BK256)</f>
        <v>0</v>
      </c>
      <c r="BR256">
        <f t="shared" si="39"/>
        <v>0</v>
      </c>
    </row>
    <row r="257" spans="1:70" hidden="1">
      <c r="A257" s="16" t="str">
        <f t="shared" si="28"/>
        <v>WC_2024_UPZ_2_1</v>
      </c>
      <c r="B257" t="s">
        <v>65</v>
      </c>
      <c r="C257">
        <v>42.222900000000003</v>
      </c>
      <c r="D257">
        <v>-124.383</v>
      </c>
      <c r="E257" s="8">
        <v>45524</v>
      </c>
      <c r="F257">
        <v>2024</v>
      </c>
      <c r="G257" t="s">
        <v>66</v>
      </c>
      <c r="H257" t="s">
        <v>45</v>
      </c>
      <c r="I257">
        <v>2</v>
      </c>
      <c r="J257">
        <v>1</v>
      </c>
      <c r="K257" t="s">
        <v>46</v>
      </c>
      <c r="L257" s="23">
        <v>9</v>
      </c>
      <c r="M257" s="23">
        <v>9</v>
      </c>
      <c r="N257" s="23">
        <v>0</v>
      </c>
      <c r="O257" s="23">
        <v>0</v>
      </c>
      <c r="P257" s="23" t="s">
        <v>44</v>
      </c>
      <c r="Q257" s="23" t="s">
        <v>44</v>
      </c>
      <c r="R257" s="23" t="s">
        <v>44</v>
      </c>
      <c r="S257" s="22">
        <v>0</v>
      </c>
      <c r="T257" s="23">
        <v>0</v>
      </c>
      <c r="U257" s="23">
        <v>9</v>
      </c>
      <c r="V257" s="18">
        <v>5.8</v>
      </c>
      <c r="W257" s="18">
        <v>4.2</v>
      </c>
      <c r="X257" s="18">
        <v>3.9</v>
      </c>
      <c r="Y257" s="18">
        <v>5.0999999999999996</v>
      </c>
      <c r="Z257" s="20"/>
      <c r="AA257" s="15">
        <v>0</v>
      </c>
      <c r="AB257" s="15">
        <v>1</v>
      </c>
      <c r="AC257" s="15">
        <v>0</v>
      </c>
      <c r="AD257" s="15">
        <v>0</v>
      </c>
      <c r="AE257" s="15">
        <v>1</v>
      </c>
      <c r="AF257" s="11">
        <f t="shared" si="38"/>
        <v>2</v>
      </c>
      <c r="AG257" s="32" t="s">
        <v>44</v>
      </c>
      <c r="AH257">
        <v>5</v>
      </c>
      <c r="AI257">
        <v>82</v>
      </c>
      <c r="AJ257">
        <v>0.1</v>
      </c>
      <c r="AK257">
        <v>0</v>
      </c>
      <c r="AL257">
        <v>4</v>
      </c>
      <c r="AM257">
        <v>0</v>
      </c>
      <c r="AN257">
        <v>0.1</v>
      </c>
      <c r="AO257">
        <v>0.1</v>
      </c>
      <c r="AP257">
        <v>9</v>
      </c>
      <c r="AQ257" s="21" t="e">
        <f t="shared" si="35"/>
        <v>#VALUE!</v>
      </c>
      <c r="AR257" s="12">
        <f t="shared" si="31"/>
        <v>100.29999999999998</v>
      </c>
      <c r="AS257">
        <v>0</v>
      </c>
      <c r="AT257">
        <v>5</v>
      </c>
      <c r="AU257">
        <v>0</v>
      </c>
      <c r="AV257">
        <v>0</v>
      </c>
      <c r="AW257">
        <v>11</v>
      </c>
      <c r="AX257">
        <v>10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s="6" t="s">
        <v>44</v>
      </c>
      <c r="BG257" s="6" t="s">
        <v>44</v>
      </c>
      <c r="BH257" s="6" t="s">
        <v>44</v>
      </c>
      <c r="BI257" s="6" t="s">
        <v>44</v>
      </c>
      <c r="BJ257" s="6" t="s">
        <v>44</v>
      </c>
      <c r="BK257" s="6">
        <v>0</v>
      </c>
      <c r="BL257" s="6">
        <f t="shared" si="32"/>
        <v>28</v>
      </c>
      <c r="BM257" s="6">
        <f t="shared" si="29"/>
        <v>28</v>
      </c>
      <c r="BN257">
        <v>82</v>
      </c>
      <c r="BO257">
        <f t="shared" si="36"/>
        <v>82</v>
      </c>
      <c r="BP257">
        <v>0.1</v>
      </c>
      <c r="BQ257">
        <f>SUM(BP257,BB257,BK257)</f>
        <v>0.1</v>
      </c>
      <c r="BR257">
        <f t="shared" si="39"/>
        <v>0</v>
      </c>
    </row>
    <row r="258" spans="1:70" hidden="1">
      <c r="A258" s="16" t="str">
        <f t="shared" ref="A258:A321" si="40">_xlfn.CONCAT(B258,"_",F258, "_",H258, "_",I258,"_",J258)</f>
        <v>WC_2024_UPZ_2_2</v>
      </c>
      <c r="B258" t="s">
        <v>65</v>
      </c>
      <c r="C258">
        <v>42.222900000000003</v>
      </c>
      <c r="D258">
        <v>-124.383</v>
      </c>
      <c r="E258" s="8">
        <v>45524</v>
      </c>
      <c r="F258">
        <v>2024</v>
      </c>
      <c r="G258" t="s">
        <v>66</v>
      </c>
      <c r="H258" t="s">
        <v>45</v>
      </c>
      <c r="I258">
        <v>2</v>
      </c>
      <c r="J258">
        <v>2</v>
      </c>
      <c r="K258" t="s">
        <v>43</v>
      </c>
      <c r="L258" s="23">
        <v>10</v>
      </c>
      <c r="M258" s="23">
        <v>8</v>
      </c>
      <c r="N258" s="23">
        <v>0</v>
      </c>
      <c r="O258" s="23">
        <v>2</v>
      </c>
      <c r="P258" s="23">
        <v>11</v>
      </c>
      <c r="Q258" s="23">
        <v>11</v>
      </c>
      <c r="R258" s="23" t="s">
        <v>44</v>
      </c>
      <c r="S258" s="22">
        <v>0</v>
      </c>
      <c r="T258" s="23">
        <v>1</v>
      </c>
      <c r="U258" s="23" t="s">
        <v>44</v>
      </c>
      <c r="V258" s="18">
        <v>5.0999999999999996</v>
      </c>
      <c r="W258" s="18">
        <v>4.5999999999999996</v>
      </c>
      <c r="X258" s="18">
        <v>2.2999999999999998</v>
      </c>
      <c r="Y258" s="18">
        <v>4.9000000000000004</v>
      </c>
      <c r="Z258" s="18">
        <v>4.9000000000000004</v>
      </c>
      <c r="AA258" s="15">
        <v>0</v>
      </c>
      <c r="AB258" s="15">
        <v>0</v>
      </c>
      <c r="AC258" s="15">
        <v>0</v>
      </c>
      <c r="AD258" s="15">
        <v>0</v>
      </c>
      <c r="AE258" s="15">
        <v>1</v>
      </c>
      <c r="AF258" s="11">
        <f t="shared" si="38"/>
        <v>1</v>
      </c>
      <c r="AG258" s="32" t="s">
        <v>44</v>
      </c>
      <c r="AH258">
        <v>5</v>
      </c>
      <c r="AI258">
        <v>69</v>
      </c>
      <c r="AJ258">
        <v>1</v>
      </c>
      <c r="AK258">
        <v>0</v>
      </c>
      <c r="AL258">
        <v>6</v>
      </c>
      <c r="AM258">
        <v>2</v>
      </c>
      <c r="AN258">
        <v>3</v>
      </c>
      <c r="AO258">
        <v>0.1</v>
      </c>
      <c r="AP258">
        <v>14</v>
      </c>
      <c r="AQ258" s="21" t="e">
        <f t="shared" si="35"/>
        <v>#VALUE!</v>
      </c>
      <c r="AR258" s="12">
        <f t="shared" si="31"/>
        <v>100.1</v>
      </c>
      <c r="AS258">
        <v>2</v>
      </c>
      <c r="AT258">
        <v>4</v>
      </c>
      <c r="AU258">
        <v>0</v>
      </c>
      <c r="AV258">
        <v>0</v>
      </c>
      <c r="AW258">
        <v>8</v>
      </c>
      <c r="AX258">
        <v>5</v>
      </c>
      <c r="AY258">
        <v>8</v>
      </c>
      <c r="AZ258">
        <v>0</v>
      </c>
      <c r="BA258" s="6">
        <v>0</v>
      </c>
      <c r="BB258">
        <v>0</v>
      </c>
      <c r="BC258">
        <v>0</v>
      </c>
      <c r="BD258">
        <v>0</v>
      </c>
      <c r="BE258">
        <v>0</v>
      </c>
      <c r="BF258" s="6" t="s">
        <v>44</v>
      </c>
      <c r="BG258" s="6" t="s">
        <v>44</v>
      </c>
      <c r="BH258" s="6" t="s">
        <v>44</v>
      </c>
      <c r="BI258" s="6" t="s">
        <v>44</v>
      </c>
      <c r="BJ258" s="6" t="s">
        <v>44</v>
      </c>
      <c r="BK258" s="6">
        <v>0</v>
      </c>
      <c r="BL258" s="6">
        <f t="shared" si="32"/>
        <v>27</v>
      </c>
      <c r="BM258" s="6">
        <f t="shared" ref="BM258:BM321" si="41">SUM(AS258:BJ258)</f>
        <v>27</v>
      </c>
      <c r="BN258">
        <v>69</v>
      </c>
      <c r="BO258">
        <f t="shared" si="36"/>
        <v>69</v>
      </c>
      <c r="BP258">
        <v>1</v>
      </c>
      <c r="BQ258">
        <f>SUM(BP258,BB258,BK258)</f>
        <v>1</v>
      </c>
      <c r="BR258">
        <f t="shared" si="39"/>
        <v>0</v>
      </c>
    </row>
    <row r="259" spans="1:70" hidden="1">
      <c r="A259" s="16" t="str">
        <f t="shared" si="40"/>
        <v>WC_2024_UPZ_2_3</v>
      </c>
      <c r="B259" t="s">
        <v>65</v>
      </c>
      <c r="C259">
        <v>42.222900000000003</v>
      </c>
      <c r="D259">
        <v>-124.383</v>
      </c>
      <c r="E259" s="8">
        <v>45524</v>
      </c>
      <c r="F259">
        <v>2024</v>
      </c>
      <c r="G259" t="s">
        <v>66</v>
      </c>
      <c r="H259" t="s">
        <v>45</v>
      </c>
      <c r="I259">
        <v>2</v>
      </c>
      <c r="J259">
        <v>3</v>
      </c>
      <c r="K259" t="s">
        <v>57</v>
      </c>
      <c r="L259" s="23">
        <v>14</v>
      </c>
      <c r="M259" s="23">
        <v>0</v>
      </c>
      <c r="N259" s="23">
        <v>6</v>
      </c>
      <c r="O259" s="23">
        <v>8</v>
      </c>
      <c r="P259" s="23" t="s">
        <v>44</v>
      </c>
      <c r="Q259" s="23" t="s">
        <v>44</v>
      </c>
      <c r="R259" s="23" t="s">
        <v>44</v>
      </c>
      <c r="S259" s="22">
        <v>0</v>
      </c>
      <c r="T259" s="23">
        <v>0</v>
      </c>
      <c r="U259" s="23">
        <v>0</v>
      </c>
      <c r="V259" s="18">
        <v>5</v>
      </c>
      <c r="W259" s="18">
        <v>5.3</v>
      </c>
      <c r="X259" s="18">
        <v>5.9</v>
      </c>
      <c r="Y259" s="18">
        <v>4</v>
      </c>
      <c r="Z259" s="18">
        <v>4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1">
        <f t="shared" ref="AF259:AF322" si="42">SUM(AA259:AE259)</f>
        <v>0</v>
      </c>
      <c r="AG259" s="32" t="s">
        <v>44</v>
      </c>
      <c r="AH259">
        <v>0</v>
      </c>
      <c r="AI259">
        <v>0</v>
      </c>
      <c r="AJ259">
        <v>0</v>
      </c>
      <c r="AK259">
        <v>0</v>
      </c>
      <c r="AL259">
        <v>24</v>
      </c>
      <c r="AM259">
        <v>5</v>
      </c>
      <c r="AN259">
        <v>0</v>
      </c>
      <c r="AO259">
        <v>0</v>
      </c>
      <c r="AP259">
        <v>71</v>
      </c>
      <c r="AQ259" s="21" t="e">
        <f t="shared" si="35"/>
        <v>#VALUE!</v>
      </c>
      <c r="AR259" s="12">
        <f t="shared" ref="AR259:AR322" si="43">SUM(AH259:AP259)</f>
        <v>100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s="6">
        <v>0</v>
      </c>
      <c r="BB259">
        <v>0</v>
      </c>
      <c r="BC259">
        <v>0</v>
      </c>
      <c r="BD259">
        <v>0</v>
      </c>
      <c r="BE259">
        <v>0</v>
      </c>
      <c r="BF259" s="6" t="s">
        <v>44</v>
      </c>
      <c r="BG259" s="6" t="s">
        <v>44</v>
      </c>
      <c r="BH259" s="6" t="s">
        <v>44</v>
      </c>
      <c r="BI259" s="6" t="s">
        <v>44</v>
      </c>
      <c r="BJ259" s="6" t="s">
        <v>44</v>
      </c>
      <c r="BK259" s="6">
        <v>0</v>
      </c>
      <c r="BL259" s="6">
        <f t="shared" ref="BL259:BL322" si="44">SUM(AS259:AT259,AV259:AW259,AX259:BA259,BC259:BF259,BJ259)</f>
        <v>0</v>
      </c>
      <c r="BM259" s="6">
        <f t="shared" si="41"/>
        <v>0</v>
      </c>
      <c r="BN259">
        <v>0</v>
      </c>
      <c r="BO259">
        <f t="shared" si="36"/>
        <v>0</v>
      </c>
      <c r="BP259">
        <v>0</v>
      </c>
      <c r="BQ259">
        <f>SUM(BP259,BB259,BK259)</f>
        <v>0</v>
      </c>
      <c r="BR259">
        <f t="shared" si="39"/>
        <v>0</v>
      </c>
    </row>
    <row r="260" spans="1:70" hidden="1">
      <c r="A260" s="16" t="str">
        <f t="shared" si="40"/>
        <v>WC_2024_UPZ_2_4</v>
      </c>
      <c r="B260" t="s">
        <v>65</v>
      </c>
      <c r="C260">
        <v>42.222900000000003</v>
      </c>
      <c r="D260">
        <v>-124.383</v>
      </c>
      <c r="E260" s="8">
        <v>45524</v>
      </c>
      <c r="F260">
        <v>2024</v>
      </c>
      <c r="G260" t="s">
        <v>66</v>
      </c>
      <c r="H260" t="s">
        <v>45</v>
      </c>
      <c r="I260">
        <v>2</v>
      </c>
      <c r="J260">
        <v>4</v>
      </c>
      <c r="K260" t="s">
        <v>47</v>
      </c>
      <c r="L260" s="23">
        <v>19</v>
      </c>
      <c r="M260" s="23">
        <v>3</v>
      </c>
      <c r="N260" s="23">
        <v>0</v>
      </c>
      <c r="O260" s="23">
        <v>16</v>
      </c>
      <c r="P260" s="23">
        <v>0</v>
      </c>
      <c r="Q260" s="23">
        <v>0</v>
      </c>
      <c r="R260" s="23" t="s">
        <v>44</v>
      </c>
      <c r="S260" s="22">
        <v>0</v>
      </c>
      <c r="T260" s="23">
        <v>15</v>
      </c>
      <c r="U260" s="23">
        <v>18</v>
      </c>
      <c r="V260" s="18">
        <v>2.7</v>
      </c>
      <c r="W260" s="18">
        <v>4.9000000000000004</v>
      </c>
      <c r="X260" s="18">
        <v>4.9000000000000004</v>
      </c>
      <c r="Y260" s="18">
        <v>4.5</v>
      </c>
      <c r="Z260" s="18">
        <v>4.5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1">
        <f t="shared" si="42"/>
        <v>0</v>
      </c>
      <c r="AG260" s="32" t="s">
        <v>44</v>
      </c>
      <c r="AH260">
        <v>0</v>
      </c>
      <c r="AI260">
        <v>12</v>
      </c>
      <c r="AJ260">
        <v>0</v>
      </c>
      <c r="AK260">
        <v>0</v>
      </c>
      <c r="AL260">
        <v>9</v>
      </c>
      <c r="AM260">
        <v>4</v>
      </c>
      <c r="AN260">
        <v>1</v>
      </c>
      <c r="AO260">
        <v>0</v>
      </c>
      <c r="AP260">
        <v>74</v>
      </c>
      <c r="AQ260" s="21" t="e">
        <f t="shared" si="35"/>
        <v>#VALUE!</v>
      </c>
      <c r="AR260" s="12">
        <f t="shared" si="43"/>
        <v>100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s="6">
        <v>0</v>
      </c>
      <c r="BB260">
        <v>0</v>
      </c>
      <c r="BC260">
        <v>0</v>
      </c>
      <c r="BD260">
        <v>0</v>
      </c>
      <c r="BE260">
        <v>0</v>
      </c>
      <c r="BF260" s="6" t="s">
        <v>44</v>
      </c>
      <c r="BG260" s="6" t="s">
        <v>44</v>
      </c>
      <c r="BH260" s="6" t="s">
        <v>44</v>
      </c>
      <c r="BI260" s="6" t="s">
        <v>44</v>
      </c>
      <c r="BJ260" s="6" t="s">
        <v>44</v>
      </c>
      <c r="BK260" s="6">
        <v>0</v>
      </c>
      <c r="BL260" s="6">
        <f t="shared" si="44"/>
        <v>0</v>
      </c>
      <c r="BM260" s="6">
        <f t="shared" si="41"/>
        <v>0</v>
      </c>
      <c r="BN260">
        <v>12</v>
      </c>
      <c r="BO260">
        <f t="shared" si="36"/>
        <v>12</v>
      </c>
      <c r="BP260">
        <v>0</v>
      </c>
      <c r="BQ260">
        <f>SUM(BP260,BB260,BK260)</f>
        <v>0</v>
      </c>
      <c r="BR260">
        <f t="shared" si="39"/>
        <v>0</v>
      </c>
    </row>
    <row r="261" spans="1:70" hidden="1">
      <c r="A261" s="16" t="str">
        <f t="shared" si="40"/>
        <v>WC_2024_UPZ_2_5</v>
      </c>
      <c r="B261" t="s">
        <v>65</v>
      </c>
      <c r="C261">
        <v>42.222900000000003</v>
      </c>
      <c r="D261">
        <v>-124.383</v>
      </c>
      <c r="E261" s="8">
        <v>45524</v>
      </c>
      <c r="F261">
        <v>2024</v>
      </c>
      <c r="G261" t="s">
        <v>66</v>
      </c>
      <c r="H261" t="s">
        <v>45</v>
      </c>
      <c r="I261">
        <v>2</v>
      </c>
      <c r="J261">
        <v>5</v>
      </c>
      <c r="K261" t="s">
        <v>47</v>
      </c>
      <c r="L261" s="23">
        <v>8</v>
      </c>
      <c r="M261" s="23">
        <v>4</v>
      </c>
      <c r="N261" s="23">
        <v>0</v>
      </c>
      <c r="O261" s="23">
        <v>4</v>
      </c>
      <c r="P261" s="23">
        <v>0</v>
      </c>
      <c r="Q261" s="23">
        <v>0</v>
      </c>
      <c r="R261" s="23" t="s">
        <v>44</v>
      </c>
      <c r="S261" s="22">
        <v>0</v>
      </c>
      <c r="T261" s="23">
        <v>4</v>
      </c>
      <c r="U261" s="23">
        <v>8</v>
      </c>
      <c r="V261" s="18">
        <v>6.1</v>
      </c>
      <c r="W261" s="18">
        <v>5.3</v>
      </c>
      <c r="X261" s="18">
        <v>3.6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1">
        <f t="shared" si="42"/>
        <v>0</v>
      </c>
      <c r="AG261" s="32">
        <v>5</v>
      </c>
      <c r="AH261" s="15">
        <v>7</v>
      </c>
      <c r="AI261">
        <v>67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0</v>
      </c>
      <c r="AP261">
        <v>23</v>
      </c>
      <c r="AQ261" s="21">
        <f t="shared" si="35"/>
        <v>18</v>
      </c>
      <c r="AR261" s="12">
        <f t="shared" si="43"/>
        <v>101</v>
      </c>
      <c r="AS261">
        <v>0</v>
      </c>
      <c r="AT261">
        <v>0</v>
      </c>
      <c r="AU261">
        <v>2</v>
      </c>
      <c r="AV261">
        <v>0</v>
      </c>
      <c r="AW261">
        <v>0</v>
      </c>
      <c r="AX261">
        <v>5</v>
      </c>
      <c r="AY261">
        <v>15</v>
      </c>
      <c r="AZ261">
        <v>0</v>
      </c>
      <c r="BA261" s="6">
        <v>0</v>
      </c>
      <c r="BB261">
        <v>0</v>
      </c>
      <c r="BC261">
        <v>0</v>
      </c>
      <c r="BD261">
        <v>0</v>
      </c>
      <c r="BE261">
        <v>18</v>
      </c>
      <c r="BF261" s="6" t="s">
        <v>44</v>
      </c>
      <c r="BG261" s="6" t="s">
        <v>44</v>
      </c>
      <c r="BH261" s="6" t="s">
        <v>44</v>
      </c>
      <c r="BI261" s="6" t="s">
        <v>44</v>
      </c>
      <c r="BJ261" s="6" t="s">
        <v>44</v>
      </c>
      <c r="BK261" s="6">
        <v>0</v>
      </c>
      <c r="BL261" s="6">
        <f t="shared" si="44"/>
        <v>38</v>
      </c>
      <c r="BM261" s="6">
        <f t="shared" si="41"/>
        <v>40</v>
      </c>
    </row>
    <row r="262" spans="1:70" hidden="1">
      <c r="A262" s="16" t="str">
        <f t="shared" si="40"/>
        <v>WC_2024_NPZ_1_1</v>
      </c>
      <c r="B262" t="s">
        <v>65</v>
      </c>
      <c r="C262">
        <v>42.222900000000003</v>
      </c>
      <c r="D262">
        <v>-124.383</v>
      </c>
      <c r="E262" s="8">
        <v>45524</v>
      </c>
      <c r="F262">
        <v>2024</v>
      </c>
      <c r="G262" t="s">
        <v>66</v>
      </c>
      <c r="H262" t="s">
        <v>48</v>
      </c>
      <c r="I262">
        <v>1</v>
      </c>
      <c r="J262">
        <v>1</v>
      </c>
      <c r="K262" t="s">
        <v>47</v>
      </c>
      <c r="L262" s="23">
        <v>24</v>
      </c>
      <c r="M262" s="23">
        <v>5</v>
      </c>
      <c r="N262" s="23">
        <v>19</v>
      </c>
      <c r="O262" s="23">
        <v>0</v>
      </c>
      <c r="P262" s="23">
        <v>0</v>
      </c>
      <c r="Q262" s="23">
        <v>0</v>
      </c>
      <c r="R262" s="23" t="s">
        <v>44</v>
      </c>
      <c r="S262" s="22">
        <v>0</v>
      </c>
      <c r="T262" s="23">
        <v>13</v>
      </c>
      <c r="U262" s="23" t="s">
        <v>44</v>
      </c>
      <c r="V262" s="18">
        <v>5.0999999999999996</v>
      </c>
      <c r="W262" s="18">
        <v>5.0999999999999996</v>
      </c>
      <c r="X262" s="18">
        <v>4.9000000000000004</v>
      </c>
      <c r="Y262" s="18">
        <v>4.7</v>
      </c>
      <c r="Z262" s="18">
        <v>4.8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1">
        <f t="shared" si="42"/>
        <v>0</v>
      </c>
      <c r="AG262" s="32" t="s">
        <v>44</v>
      </c>
      <c r="AH262">
        <v>0</v>
      </c>
      <c r="AI262">
        <v>2</v>
      </c>
      <c r="AJ262">
        <v>0.1</v>
      </c>
      <c r="AK262">
        <v>0</v>
      </c>
      <c r="AL262">
        <v>16</v>
      </c>
      <c r="AM262">
        <v>2</v>
      </c>
      <c r="AN262">
        <v>3</v>
      </c>
      <c r="AO262">
        <v>0</v>
      </c>
      <c r="AP262">
        <v>77</v>
      </c>
      <c r="AQ262" s="21" t="e">
        <f t="shared" si="35"/>
        <v>#VALUE!</v>
      </c>
      <c r="AR262" s="12">
        <f t="shared" si="43"/>
        <v>100.1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 s="6">
        <v>0</v>
      </c>
      <c r="BB262">
        <v>0</v>
      </c>
      <c r="BC262">
        <v>0</v>
      </c>
      <c r="BD262">
        <v>0</v>
      </c>
      <c r="BE262">
        <v>0</v>
      </c>
      <c r="BF262" s="6" t="s">
        <v>44</v>
      </c>
      <c r="BG262" s="6" t="s">
        <v>44</v>
      </c>
      <c r="BH262" s="6" t="s">
        <v>44</v>
      </c>
      <c r="BI262" s="6" t="s">
        <v>44</v>
      </c>
      <c r="BJ262" s="6" t="s">
        <v>44</v>
      </c>
      <c r="BK262" s="6">
        <v>0</v>
      </c>
      <c r="BL262" s="6">
        <f t="shared" si="44"/>
        <v>0</v>
      </c>
      <c r="BM262" s="6">
        <f t="shared" si="41"/>
        <v>0</v>
      </c>
      <c r="BN262">
        <v>2</v>
      </c>
      <c r="BO262">
        <f t="shared" si="36"/>
        <v>2</v>
      </c>
      <c r="BP262">
        <v>0.1</v>
      </c>
      <c r="BQ262">
        <f>SUM(BP262,BB262,BK262)</f>
        <v>0.1</v>
      </c>
      <c r="BR262">
        <f t="shared" si="39"/>
        <v>0</v>
      </c>
    </row>
    <row r="263" spans="1:70" hidden="1">
      <c r="A263" s="16" t="str">
        <f t="shared" si="40"/>
        <v>WC_2024_NPZ_1_2</v>
      </c>
      <c r="B263" t="s">
        <v>65</v>
      </c>
      <c r="C263">
        <v>42.222900000000003</v>
      </c>
      <c r="D263">
        <v>-124.383</v>
      </c>
      <c r="E263" s="8">
        <v>45524</v>
      </c>
      <c r="F263">
        <v>2024</v>
      </c>
      <c r="G263" t="s">
        <v>66</v>
      </c>
      <c r="H263" t="s">
        <v>48</v>
      </c>
      <c r="I263">
        <v>1</v>
      </c>
      <c r="J263">
        <v>2</v>
      </c>
      <c r="K263" t="s">
        <v>47</v>
      </c>
      <c r="L263" s="23">
        <v>26</v>
      </c>
      <c r="M263" s="23">
        <v>2</v>
      </c>
      <c r="N263" s="23">
        <v>17</v>
      </c>
      <c r="O263" s="23">
        <v>7</v>
      </c>
      <c r="P263" s="23">
        <v>2</v>
      </c>
      <c r="Q263" s="23">
        <v>1</v>
      </c>
      <c r="R263" s="23" t="s">
        <v>44</v>
      </c>
      <c r="S263" s="22">
        <v>0</v>
      </c>
      <c r="T263" s="23">
        <v>0</v>
      </c>
      <c r="U263" s="23">
        <v>2</v>
      </c>
      <c r="V263" s="18">
        <v>5.0999999999999996</v>
      </c>
      <c r="W263" s="18">
        <v>5.8</v>
      </c>
      <c r="X263" s="18">
        <v>4.5999999999999996</v>
      </c>
      <c r="Y263" s="18">
        <v>4.5999999999999996</v>
      </c>
      <c r="Z263" s="18">
        <v>5.4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1">
        <f t="shared" si="42"/>
        <v>0</v>
      </c>
      <c r="AG263" s="32" t="s">
        <v>44</v>
      </c>
      <c r="AH263">
        <v>0</v>
      </c>
      <c r="AI263">
        <v>2</v>
      </c>
      <c r="AJ263">
        <v>0</v>
      </c>
      <c r="AK263">
        <v>0</v>
      </c>
      <c r="AL263">
        <v>29</v>
      </c>
      <c r="AM263">
        <v>2</v>
      </c>
      <c r="AN263">
        <v>0</v>
      </c>
      <c r="AO263">
        <v>0</v>
      </c>
      <c r="AP263">
        <v>67</v>
      </c>
      <c r="AQ263" s="21" t="e">
        <f t="shared" si="35"/>
        <v>#VALUE!</v>
      </c>
      <c r="AR263" s="12">
        <f t="shared" si="43"/>
        <v>100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s="6">
        <v>0</v>
      </c>
      <c r="BB263">
        <v>0</v>
      </c>
      <c r="BC263">
        <v>0</v>
      </c>
      <c r="BD263">
        <v>0</v>
      </c>
      <c r="BE263">
        <v>0</v>
      </c>
      <c r="BF263" s="6" t="s">
        <v>44</v>
      </c>
      <c r="BG263" s="6" t="s">
        <v>44</v>
      </c>
      <c r="BH263" s="6" t="s">
        <v>44</v>
      </c>
      <c r="BI263" s="6" t="s">
        <v>44</v>
      </c>
      <c r="BJ263" s="6" t="s">
        <v>44</v>
      </c>
      <c r="BK263" s="6">
        <v>0</v>
      </c>
      <c r="BL263" s="6">
        <f t="shared" si="44"/>
        <v>0</v>
      </c>
      <c r="BM263" s="6">
        <f t="shared" si="41"/>
        <v>0</v>
      </c>
      <c r="BN263">
        <v>2</v>
      </c>
      <c r="BO263">
        <f t="shared" si="36"/>
        <v>2</v>
      </c>
      <c r="BP263">
        <v>0</v>
      </c>
      <c r="BQ263">
        <f>SUM(BP263,BB263,BK263)</f>
        <v>0</v>
      </c>
      <c r="BR263">
        <f t="shared" si="39"/>
        <v>0</v>
      </c>
    </row>
    <row r="264" spans="1:70" hidden="1">
      <c r="A264" s="16" t="str">
        <f t="shared" si="40"/>
        <v>WC_2024_NPZ_1_3</v>
      </c>
      <c r="B264" t="s">
        <v>65</v>
      </c>
      <c r="C264">
        <v>42.222900000000003</v>
      </c>
      <c r="D264">
        <v>-124.383</v>
      </c>
      <c r="E264" s="8">
        <v>45524</v>
      </c>
      <c r="F264">
        <v>2024</v>
      </c>
      <c r="G264" t="s">
        <v>66</v>
      </c>
      <c r="H264" t="s">
        <v>48</v>
      </c>
      <c r="I264">
        <v>1</v>
      </c>
      <c r="J264">
        <v>3</v>
      </c>
      <c r="K264" t="s">
        <v>47</v>
      </c>
      <c r="L264" s="23">
        <v>52</v>
      </c>
      <c r="M264" s="23">
        <v>5</v>
      </c>
      <c r="N264" s="23">
        <v>0</v>
      </c>
      <c r="O264" s="23">
        <v>47</v>
      </c>
      <c r="P264" s="23">
        <v>6</v>
      </c>
      <c r="Q264" s="23">
        <v>2</v>
      </c>
      <c r="R264" s="23" t="s">
        <v>44</v>
      </c>
      <c r="S264" s="23">
        <v>1</v>
      </c>
      <c r="T264" s="23">
        <v>1</v>
      </c>
      <c r="U264" s="23" t="s">
        <v>44</v>
      </c>
      <c r="V264" s="18">
        <v>5.5</v>
      </c>
      <c r="W264" s="18">
        <v>5.4</v>
      </c>
      <c r="X264" s="18">
        <v>5.0999999999999996</v>
      </c>
      <c r="Y264" s="18">
        <v>5</v>
      </c>
      <c r="Z264" s="18">
        <v>4.7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1">
        <f t="shared" si="42"/>
        <v>0</v>
      </c>
      <c r="AG264" s="32" t="s">
        <v>44</v>
      </c>
      <c r="AH264">
        <v>3</v>
      </c>
      <c r="AI264">
        <v>0.1</v>
      </c>
      <c r="AJ264">
        <v>0</v>
      </c>
      <c r="AK264">
        <v>0</v>
      </c>
      <c r="AL264">
        <v>8</v>
      </c>
      <c r="AM264">
        <v>6</v>
      </c>
      <c r="AN264">
        <v>0</v>
      </c>
      <c r="AO264">
        <v>0</v>
      </c>
      <c r="AP264">
        <v>83</v>
      </c>
      <c r="AQ264" s="21" t="e">
        <f t="shared" si="35"/>
        <v>#VALUE!</v>
      </c>
      <c r="AR264" s="12">
        <f>SUM(AH264:AP264)</f>
        <v>100.1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6</v>
      </c>
      <c r="AZ264">
        <v>0</v>
      </c>
      <c r="BA264" s="6">
        <v>0</v>
      </c>
      <c r="BB264">
        <v>0</v>
      </c>
      <c r="BC264">
        <v>0</v>
      </c>
      <c r="BD264">
        <v>0</v>
      </c>
      <c r="BE264">
        <v>0</v>
      </c>
      <c r="BF264" s="6" t="s">
        <v>44</v>
      </c>
      <c r="BG264" s="6" t="s">
        <v>44</v>
      </c>
      <c r="BH264" s="6" t="s">
        <v>44</v>
      </c>
      <c r="BI264" s="6" t="s">
        <v>44</v>
      </c>
      <c r="BJ264" s="6" t="s">
        <v>44</v>
      </c>
      <c r="BK264" s="6">
        <v>0</v>
      </c>
      <c r="BL264" s="6">
        <f t="shared" si="44"/>
        <v>6</v>
      </c>
      <c r="BM264" s="6">
        <f t="shared" si="41"/>
        <v>6</v>
      </c>
      <c r="BN264">
        <v>0.1</v>
      </c>
      <c r="BO264">
        <f t="shared" si="36"/>
        <v>0.1</v>
      </c>
      <c r="BP264">
        <v>0</v>
      </c>
      <c r="BQ264">
        <f>SUM(BP264,BB264,BK264)</f>
        <v>0</v>
      </c>
      <c r="BR264">
        <f t="shared" si="39"/>
        <v>0</v>
      </c>
    </row>
    <row r="265" spans="1:70" hidden="1">
      <c r="A265" s="16" t="str">
        <f t="shared" si="40"/>
        <v>WC_2024_NPZ_1_4</v>
      </c>
      <c r="B265" t="s">
        <v>65</v>
      </c>
      <c r="C265">
        <v>42.222900000000003</v>
      </c>
      <c r="D265">
        <v>-124.383</v>
      </c>
      <c r="E265" s="8">
        <v>45524</v>
      </c>
      <c r="F265">
        <v>2024</v>
      </c>
      <c r="G265" t="s">
        <v>66</v>
      </c>
      <c r="H265" t="s">
        <v>48</v>
      </c>
      <c r="I265">
        <v>1</v>
      </c>
      <c r="J265">
        <v>4</v>
      </c>
      <c r="K265" t="s">
        <v>47</v>
      </c>
      <c r="L265" s="23">
        <v>12</v>
      </c>
      <c r="M265" s="23">
        <v>3</v>
      </c>
      <c r="N265" s="23">
        <v>9</v>
      </c>
      <c r="O265" s="23">
        <v>0</v>
      </c>
      <c r="P265" s="23" t="s">
        <v>44</v>
      </c>
      <c r="Q265" s="23" t="s">
        <v>44</v>
      </c>
      <c r="R265" s="23" t="s">
        <v>44</v>
      </c>
      <c r="S265" s="22">
        <v>0</v>
      </c>
      <c r="T265" s="23">
        <v>0</v>
      </c>
      <c r="U265" s="23" t="s">
        <v>44</v>
      </c>
      <c r="V265" s="18">
        <v>6.1</v>
      </c>
      <c r="W265" s="18">
        <v>6.6</v>
      </c>
      <c r="X265" s="18">
        <v>4.9000000000000004</v>
      </c>
      <c r="Y265" s="18">
        <v>3.4</v>
      </c>
      <c r="Z265" s="18">
        <v>4.0999999999999996</v>
      </c>
      <c r="AA265" s="15">
        <v>1</v>
      </c>
      <c r="AB265" s="15">
        <v>0</v>
      </c>
      <c r="AC265" s="15">
        <v>0</v>
      </c>
      <c r="AD265" s="15">
        <v>0</v>
      </c>
      <c r="AE265" s="15">
        <v>1</v>
      </c>
      <c r="AF265" s="11">
        <f t="shared" si="42"/>
        <v>2</v>
      </c>
      <c r="AG265" s="32" t="s">
        <v>44</v>
      </c>
      <c r="AH265">
        <v>20</v>
      </c>
      <c r="AI265">
        <v>7</v>
      </c>
      <c r="AJ265">
        <v>0</v>
      </c>
      <c r="AK265">
        <v>0</v>
      </c>
      <c r="AL265">
        <v>14</v>
      </c>
      <c r="AM265">
        <v>0.1</v>
      </c>
      <c r="AN265">
        <v>2</v>
      </c>
      <c r="AO265">
        <v>0</v>
      </c>
      <c r="AP265">
        <v>57</v>
      </c>
      <c r="AQ265" s="21" t="e">
        <f t="shared" si="35"/>
        <v>#VALUE!</v>
      </c>
      <c r="AR265" s="12">
        <f t="shared" si="43"/>
        <v>100.1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</v>
      </c>
      <c r="AY265">
        <v>0</v>
      </c>
      <c r="AZ265">
        <v>0</v>
      </c>
      <c r="BA265" s="6">
        <v>0</v>
      </c>
      <c r="BB265">
        <v>0</v>
      </c>
      <c r="BC265">
        <v>1</v>
      </c>
      <c r="BD265">
        <v>0</v>
      </c>
      <c r="BE265">
        <v>60</v>
      </c>
      <c r="BF265" s="6" t="s">
        <v>44</v>
      </c>
      <c r="BG265" s="6" t="s">
        <v>44</v>
      </c>
      <c r="BH265" s="6" t="s">
        <v>44</v>
      </c>
      <c r="BI265" s="6" t="s">
        <v>44</v>
      </c>
      <c r="BJ265" s="6" t="s">
        <v>44</v>
      </c>
      <c r="BK265" s="6">
        <v>0</v>
      </c>
      <c r="BL265" s="6">
        <f t="shared" si="44"/>
        <v>64</v>
      </c>
      <c r="BM265" s="6">
        <f t="shared" si="41"/>
        <v>64</v>
      </c>
      <c r="BN265">
        <v>7</v>
      </c>
      <c r="BO265">
        <f t="shared" si="36"/>
        <v>7</v>
      </c>
      <c r="BP265">
        <v>0</v>
      </c>
      <c r="BQ265">
        <f>SUM(BP265,BB265,BK265)</f>
        <v>0</v>
      </c>
      <c r="BR265">
        <f t="shared" si="39"/>
        <v>0</v>
      </c>
    </row>
    <row r="266" spans="1:70" hidden="1">
      <c r="A266" s="16" t="str">
        <f t="shared" si="40"/>
        <v>WC_2024_NPZ_1_5</v>
      </c>
      <c r="B266" t="s">
        <v>65</v>
      </c>
      <c r="C266">
        <v>42.222900000000003</v>
      </c>
      <c r="D266">
        <v>-124.383</v>
      </c>
      <c r="E266" s="8">
        <v>45524</v>
      </c>
      <c r="F266">
        <v>2024</v>
      </c>
      <c r="G266" t="s">
        <v>66</v>
      </c>
      <c r="H266" t="s">
        <v>48</v>
      </c>
      <c r="I266">
        <v>1</v>
      </c>
      <c r="J266">
        <v>5</v>
      </c>
      <c r="K266" t="s">
        <v>47</v>
      </c>
      <c r="L266" s="23">
        <v>24</v>
      </c>
      <c r="M266" s="23">
        <v>0</v>
      </c>
      <c r="N266" s="23">
        <v>7</v>
      </c>
      <c r="O266" s="23">
        <v>17</v>
      </c>
      <c r="P266" s="23" t="s">
        <v>44</v>
      </c>
      <c r="Q266" s="23" t="s">
        <v>44</v>
      </c>
      <c r="R266" s="23" t="s">
        <v>44</v>
      </c>
      <c r="S266" s="22">
        <v>0</v>
      </c>
      <c r="T266" s="23">
        <v>1</v>
      </c>
      <c r="U266" s="23">
        <v>1</v>
      </c>
      <c r="V266" s="18">
        <v>4</v>
      </c>
      <c r="W266" s="18">
        <v>4.5</v>
      </c>
      <c r="X266" s="18">
        <v>4.7</v>
      </c>
      <c r="Y266" s="18">
        <v>5.9</v>
      </c>
      <c r="Z266" s="18">
        <v>3.9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1">
        <f t="shared" si="42"/>
        <v>0</v>
      </c>
      <c r="AG266" s="32" t="s">
        <v>44</v>
      </c>
      <c r="AH266">
        <v>0</v>
      </c>
      <c r="AI266">
        <v>2</v>
      </c>
      <c r="AJ266">
        <v>0</v>
      </c>
      <c r="AK266">
        <v>0</v>
      </c>
      <c r="AL266">
        <v>9</v>
      </c>
      <c r="AM266">
        <v>9</v>
      </c>
      <c r="AN266">
        <v>0</v>
      </c>
      <c r="AO266">
        <v>0</v>
      </c>
      <c r="AP266">
        <v>80</v>
      </c>
      <c r="AQ266" s="21" t="e">
        <f t="shared" si="35"/>
        <v>#VALUE!</v>
      </c>
      <c r="AR266" s="12">
        <f t="shared" si="43"/>
        <v>100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s="6">
        <v>0</v>
      </c>
      <c r="BB266">
        <v>0</v>
      </c>
      <c r="BC266">
        <v>0</v>
      </c>
      <c r="BD266">
        <v>0</v>
      </c>
      <c r="BE266">
        <v>0</v>
      </c>
      <c r="BF266" s="6" t="s">
        <v>44</v>
      </c>
      <c r="BG266" s="6" t="s">
        <v>44</v>
      </c>
      <c r="BH266" s="6" t="s">
        <v>44</v>
      </c>
      <c r="BI266" s="6" t="s">
        <v>44</v>
      </c>
      <c r="BJ266" s="6" t="s">
        <v>44</v>
      </c>
      <c r="BK266" s="6">
        <v>0</v>
      </c>
      <c r="BL266" s="6">
        <f t="shared" si="44"/>
        <v>0</v>
      </c>
      <c r="BM266" s="6">
        <f t="shared" si="41"/>
        <v>0</v>
      </c>
      <c r="BN266">
        <v>2</v>
      </c>
      <c r="BO266">
        <f t="shared" si="36"/>
        <v>2</v>
      </c>
      <c r="BP266">
        <v>0</v>
      </c>
      <c r="BQ266">
        <f>SUM(BP266,BB266,BK266)</f>
        <v>0</v>
      </c>
      <c r="BR266">
        <f t="shared" si="39"/>
        <v>0</v>
      </c>
    </row>
    <row r="267" spans="1:70" hidden="1">
      <c r="A267" s="16" t="str">
        <f t="shared" si="40"/>
        <v>WC_2024_NPZ_2_1</v>
      </c>
      <c r="B267" t="s">
        <v>65</v>
      </c>
      <c r="C267">
        <v>42.222900000000003</v>
      </c>
      <c r="D267">
        <v>-124.383</v>
      </c>
      <c r="E267" s="8">
        <v>45524</v>
      </c>
      <c r="F267">
        <v>2024</v>
      </c>
      <c r="G267" t="s">
        <v>66</v>
      </c>
      <c r="H267" t="s">
        <v>48</v>
      </c>
      <c r="I267">
        <v>2</v>
      </c>
      <c r="J267">
        <v>1</v>
      </c>
      <c r="K267" t="s">
        <v>57</v>
      </c>
      <c r="L267" s="23">
        <v>27</v>
      </c>
      <c r="M267" s="23">
        <v>0</v>
      </c>
      <c r="N267" s="23">
        <v>0</v>
      </c>
      <c r="O267" s="23">
        <v>27</v>
      </c>
      <c r="P267" s="23">
        <v>1</v>
      </c>
      <c r="Q267" s="23" t="s">
        <v>44</v>
      </c>
      <c r="R267" s="23" t="s">
        <v>44</v>
      </c>
      <c r="S267" s="22">
        <v>0</v>
      </c>
      <c r="T267" s="23">
        <v>0</v>
      </c>
      <c r="U267" s="23">
        <v>0</v>
      </c>
      <c r="V267" s="18">
        <v>6.5</v>
      </c>
      <c r="W267" s="18">
        <v>6.1</v>
      </c>
      <c r="X267" s="18">
        <v>5.8</v>
      </c>
      <c r="Y267" s="18">
        <v>6.3</v>
      </c>
      <c r="Z267" s="18">
        <v>5.6</v>
      </c>
      <c r="AA267" s="15">
        <v>0</v>
      </c>
      <c r="AB267" s="15">
        <v>0</v>
      </c>
      <c r="AC267" s="15">
        <v>0</v>
      </c>
      <c r="AD267" s="15">
        <v>0</v>
      </c>
      <c r="AE267" s="15">
        <v>1</v>
      </c>
      <c r="AF267" s="11">
        <f t="shared" si="42"/>
        <v>1</v>
      </c>
      <c r="AG267" s="32" t="s">
        <v>44</v>
      </c>
      <c r="AH267">
        <v>0</v>
      </c>
      <c r="AI267">
        <v>0</v>
      </c>
      <c r="AJ267">
        <v>0</v>
      </c>
      <c r="AK267">
        <v>0</v>
      </c>
      <c r="AL267">
        <v>2</v>
      </c>
      <c r="AM267">
        <v>1</v>
      </c>
      <c r="AN267">
        <v>0</v>
      </c>
      <c r="AO267">
        <v>0</v>
      </c>
      <c r="AP267">
        <v>97</v>
      </c>
      <c r="AQ267" s="21" t="e">
        <f t="shared" si="35"/>
        <v>#VALUE!</v>
      </c>
      <c r="AR267" s="12">
        <f t="shared" si="43"/>
        <v>100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s="6">
        <v>0</v>
      </c>
      <c r="BB267">
        <v>0</v>
      </c>
      <c r="BC267">
        <v>0</v>
      </c>
      <c r="BD267">
        <v>0</v>
      </c>
      <c r="BE267">
        <v>0</v>
      </c>
      <c r="BF267" s="6" t="s">
        <v>44</v>
      </c>
      <c r="BG267" s="6" t="s">
        <v>44</v>
      </c>
      <c r="BH267" s="6" t="s">
        <v>44</v>
      </c>
      <c r="BI267" s="6" t="s">
        <v>44</v>
      </c>
      <c r="BJ267" s="6" t="s">
        <v>44</v>
      </c>
      <c r="BK267" s="6">
        <v>0</v>
      </c>
      <c r="BL267" s="6">
        <f t="shared" si="44"/>
        <v>0</v>
      </c>
      <c r="BM267" s="6">
        <f t="shared" si="41"/>
        <v>0</v>
      </c>
      <c r="BN267">
        <v>0</v>
      </c>
      <c r="BO267">
        <f t="shared" si="36"/>
        <v>0</v>
      </c>
      <c r="BP267">
        <v>0</v>
      </c>
      <c r="BQ267">
        <f>SUM(BP267,BB267,BK267)</f>
        <v>0</v>
      </c>
      <c r="BR267">
        <f t="shared" si="39"/>
        <v>0</v>
      </c>
    </row>
    <row r="268" spans="1:70" hidden="1">
      <c r="A268" s="16" t="str">
        <f t="shared" si="40"/>
        <v>WC_2024_NPZ_2_2</v>
      </c>
      <c r="B268" t="s">
        <v>65</v>
      </c>
      <c r="C268">
        <v>42.222900000000003</v>
      </c>
      <c r="D268">
        <v>-124.383</v>
      </c>
      <c r="E268" s="8">
        <v>45524</v>
      </c>
      <c r="F268">
        <v>2024</v>
      </c>
      <c r="G268" t="s">
        <v>66</v>
      </c>
      <c r="H268" t="s">
        <v>48</v>
      </c>
      <c r="I268">
        <v>2</v>
      </c>
      <c r="J268">
        <v>2</v>
      </c>
      <c r="K268" t="s">
        <v>46</v>
      </c>
      <c r="L268" s="23">
        <v>7</v>
      </c>
      <c r="M268" s="23">
        <v>0</v>
      </c>
      <c r="N268" s="23">
        <v>0</v>
      </c>
      <c r="O268" s="23">
        <v>7</v>
      </c>
      <c r="P268" s="23" t="s">
        <v>44</v>
      </c>
      <c r="Q268" s="23" t="s">
        <v>44</v>
      </c>
      <c r="R268" s="23" t="s">
        <v>44</v>
      </c>
      <c r="S268" s="22">
        <v>0</v>
      </c>
      <c r="T268" s="23">
        <v>0</v>
      </c>
      <c r="U268" s="23">
        <v>0</v>
      </c>
      <c r="V268" s="18">
        <v>4.0999999999999996</v>
      </c>
      <c r="W268" s="18">
        <v>5.7</v>
      </c>
      <c r="X268" s="18">
        <v>5.4</v>
      </c>
      <c r="Y268" s="18">
        <v>6.1</v>
      </c>
      <c r="Z268" s="18">
        <v>3.8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1">
        <f t="shared" si="42"/>
        <v>0</v>
      </c>
      <c r="AG268" s="32" t="s">
        <v>44</v>
      </c>
      <c r="AH268">
        <v>0</v>
      </c>
      <c r="AI268">
        <v>0</v>
      </c>
      <c r="AJ268">
        <v>0</v>
      </c>
      <c r="AK268">
        <v>0</v>
      </c>
      <c r="AL268">
        <v>5</v>
      </c>
      <c r="AM268">
        <v>3</v>
      </c>
      <c r="AN268">
        <v>0</v>
      </c>
      <c r="AO268">
        <v>0</v>
      </c>
      <c r="AP268">
        <v>92</v>
      </c>
      <c r="AQ268" s="21" t="e">
        <f t="shared" si="35"/>
        <v>#VALUE!</v>
      </c>
      <c r="AR268" s="12">
        <f t="shared" si="43"/>
        <v>100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s="6">
        <v>0</v>
      </c>
      <c r="BB268">
        <v>0</v>
      </c>
      <c r="BC268">
        <v>0</v>
      </c>
      <c r="BD268">
        <v>0</v>
      </c>
      <c r="BE268">
        <v>0</v>
      </c>
      <c r="BF268" s="6" t="s">
        <v>44</v>
      </c>
      <c r="BG268" s="6" t="s">
        <v>44</v>
      </c>
      <c r="BH268" s="6" t="s">
        <v>44</v>
      </c>
      <c r="BI268" s="6" t="s">
        <v>44</v>
      </c>
      <c r="BJ268" s="6" t="s">
        <v>44</v>
      </c>
      <c r="BK268" s="6">
        <v>0</v>
      </c>
      <c r="BL268" s="6">
        <f t="shared" si="44"/>
        <v>0</v>
      </c>
      <c r="BM268" s="6">
        <f t="shared" si="41"/>
        <v>0</v>
      </c>
      <c r="BN268">
        <v>0</v>
      </c>
      <c r="BO268">
        <f t="shared" si="36"/>
        <v>0</v>
      </c>
      <c r="BP268">
        <v>0</v>
      </c>
      <c r="BQ268">
        <f>SUM(BP268,BB268,BK268)</f>
        <v>0</v>
      </c>
      <c r="BR268">
        <f t="shared" si="39"/>
        <v>0</v>
      </c>
    </row>
    <row r="269" spans="1:70" hidden="1">
      <c r="A269" s="16" t="str">
        <f t="shared" si="40"/>
        <v>WC_2024_NPZ_2_3</v>
      </c>
      <c r="B269" t="s">
        <v>65</v>
      </c>
      <c r="C269">
        <v>42.222900000000003</v>
      </c>
      <c r="D269">
        <v>-124.383</v>
      </c>
      <c r="E269" s="8">
        <v>45524</v>
      </c>
      <c r="F269">
        <v>2024</v>
      </c>
      <c r="G269" t="s">
        <v>66</v>
      </c>
      <c r="H269" t="s">
        <v>48</v>
      </c>
      <c r="I269">
        <v>2</v>
      </c>
      <c r="J269">
        <v>3</v>
      </c>
      <c r="K269" t="s">
        <v>46</v>
      </c>
      <c r="L269" s="23">
        <v>5</v>
      </c>
      <c r="M269" s="23">
        <v>4</v>
      </c>
      <c r="N269" s="23">
        <v>0</v>
      </c>
      <c r="O269" s="23">
        <v>1</v>
      </c>
      <c r="P269" s="23" t="s">
        <v>44</v>
      </c>
      <c r="Q269" s="23" t="s">
        <v>44</v>
      </c>
      <c r="R269" s="23" t="s">
        <v>44</v>
      </c>
      <c r="S269" s="22">
        <v>0</v>
      </c>
      <c r="T269" s="23">
        <v>6</v>
      </c>
      <c r="U269" s="23">
        <v>10</v>
      </c>
      <c r="V269" s="18">
        <v>6.3</v>
      </c>
      <c r="W269" s="18">
        <v>6.4</v>
      </c>
      <c r="X269" s="18">
        <v>5.6</v>
      </c>
      <c r="Y269" s="18">
        <v>5.6</v>
      </c>
      <c r="Z269" s="18">
        <v>4.5</v>
      </c>
      <c r="AA269" s="15">
        <v>0</v>
      </c>
      <c r="AB269" s="15">
        <v>0</v>
      </c>
      <c r="AC269" s="15">
        <v>0</v>
      </c>
      <c r="AD269" s="15">
        <v>0</v>
      </c>
      <c r="AE269" s="15">
        <v>1</v>
      </c>
      <c r="AF269" s="11">
        <f t="shared" si="42"/>
        <v>1</v>
      </c>
      <c r="AG269" s="32" t="s">
        <v>44</v>
      </c>
      <c r="AH269">
        <v>0</v>
      </c>
      <c r="AI269">
        <v>0</v>
      </c>
      <c r="AJ269">
        <v>0</v>
      </c>
      <c r="AK269">
        <v>18</v>
      </c>
      <c r="AL269">
        <v>2</v>
      </c>
      <c r="AM269">
        <v>1</v>
      </c>
      <c r="AN269">
        <v>0</v>
      </c>
      <c r="AO269">
        <v>2</v>
      </c>
      <c r="AP269">
        <v>77</v>
      </c>
      <c r="AQ269" s="21" t="e">
        <f t="shared" si="35"/>
        <v>#VALUE!</v>
      </c>
      <c r="AR269" s="12">
        <f t="shared" si="43"/>
        <v>100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</v>
      </c>
      <c r="BA269" s="6">
        <v>0</v>
      </c>
      <c r="BB269">
        <v>0</v>
      </c>
      <c r="BC269">
        <v>0</v>
      </c>
      <c r="BD269">
        <v>0</v>
      </c>
      <c r="BE269">
        <v>0</v>
      </c>
      <c r="BF269" s="6" t="s">
        <v>44</v>
      </c>
      <c r="BG269" s="6" t="s">
        <v>44</v>
      </c>
      <c r="BH269" s="6" t="s">
        <v>44</v>
      </c>
      <c r="BI269" s="6" t="s">
        <v>44</v>
      </c>
      <c r="BJ269" s="6" t="s">
        <v>44</v>
      </c>
      <c r="BK269" s="6">
        <v>0</v>
      </c>
      <c r="BL269" s="6">
        <f t="shared" si="44"/>
        <v>5</v>
      </c>
      <c r="BM269" s="6">
        <f t="shared" si="41"/>
        <v>5</v>
      </c>
      <c r="BN269">
        <v>0</v>
      </c>
      <c r="BO269">
        <f t="shared" si="36"/>
        <v>0</v>
      </c>
      <c r="BP269">
        <v>0</v>
      </c>
      <c r="BQ269">
        <f>SUM(BP269,BB269,BK269)</f>
        <v>0</v>
      </c>
      <c r="BR269">
        <f t="shared" si="39"/>
        <v>0</v>
      </c>
    </row>
    <row r="270" spans="1:70" hidden="1">
      <c r="A270" s="16" t="str">
        <f t="shared" si="40"/>
        <v>WC_2024_NPZ_2_4</v>
      </c>
      <c r="B270" t="s">
        <v>65</v>
      </c>
      <c r="C270">
        <v>42.222900000000003</v>
      </c>
      <c r="D270">
        <v>-124.383</v>
      </c>
      <c r="E270" s="8">
        <v>45524</v>
      </c>
      <c r="F270">
        <v>2024</v>
      </c>
      <c r="G270" t="s">
        <v>66</v>
      </c>
      <c r="H270" t="s">
        <v>48</v>
      </c>
      <c r="I270">
        <v>2</v>
      </c>
      <c r="J270">
        <v>4</v>
      </c>
      <c r="K270" t="s">
        <v>43</v>
      </c>
      <c r="L270" s="23">
        <v>20</v>
      </c>
      <c r="M270" s="23">
        <v>4</v>
      </c>
      <c r="N270" s="23">
        <v>2</v>
      </c>
      <c r="O270" s="23">
        <v>14</v>
      </c>
      <c r="P270" s="23" t="s">
        <v>44</v>
      </c>
      <c r="Q270" s="23" t="s">
        <v>44</v>
      </c>
      <c r="R270" s="23" t="s">
        <v>44</v>
      </c>
      <c r="S270" s="23">
        <v>1</v>
      </c>
      <c r="T270" s="23">
        <v>0</v>
      </c>
      <c r="U270" s="23">
        <v>4</v>
      </c>
      <c r="V270" s="18">
        <v>6</v>
      </c>
      <c r="W270" s="18">
        <v>4.3</v>
      </c>
      <c r="X270" s="18">
        <v>5.4</v>
      </c>
      <c r="Y270" s="18">
        <v>6.4</v>
      </c>
      <c r="Z270" s="18">
        <v>5.0999999999999996</v>
      </c>
      <c r="AA270" s="15">
        <v>0</v>
      </c>
      <c r="AB270" s="15">
        <v>0</v>
      </c>
      <c r="AC270" s="15">
        <v>0</v>
      </c>
      <c r="AD270" s="15">
        <v>0</v>
      </c>
      <c r="AE270" s="15">
        <v>1</v>
      </c>
      <c r="AF270" s="11">
        <f t="shared" si="42"/>
        <v>1</v>
      </c>
      <c r="AG270" s="32" t="s">
        <v>44</v>
      </c>
      <c r="AH270">
        <v>0</v>
      </c>
      <c r="AI270">
        <v>3</v>
      </c>
      <c r="AJ270">
        <v>0</v>
      </c>
      <c r="AK270">
        <v>0.1</v>
      </c>
      <c r="AL270">
        <v>7</v>
      </c>
      <c r="AM270">
        <v>4</v>
      </c>
      <c r="AN270">
        <v>0</v>
      </c>
      <c r="AO270">
        <v>0</v>
      </c>
      <c r="AP270">
        <v>86</v>
      </c>
      <c r="AQ270" s="21" t="e">
        <f t="shared" si="35"/>
        <v>#VALUE!</v>
      </c>
      <c r="AR270" s="12">
        <f t="shared" si="43"/>
        <v>100.1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0.1</v>
      </c>
      <c r="BA270" s="6">
        <v>0</v>
      </c>
      <c r="BB270">
        <v>0</v>
      </c>
      <c r="BC270">
        <v>0</v>
      </c>
      <c r="BD270">
        <v>0</v>
      </c>
      <c r="BE270">
        <v>0</v>
      </c>
      <c r="BF270" s="6" t="s">
        <v>44</v>
      </c>
      <c r="BG270" s="6" t="s">
        <v>44</v>
      </c>
      <c r="BH270" s="6" t="s">
        <v>44</v>
      </c>
      <c r="BI270" s="6" t="s">
        <v>44</v>
      </c>
      <c r="BJ270" s="6" t="s">
        <v>44</v>
      </c>
      <c r="BK270" s="6">
        <v>0</v>
      </c>
      <c r="BL270" s="6">
        <f t="shared" si="44"/>
        <v>0.1</v>
      </c>
      <c r="BM270" s="6">
        <f t="shared" si="41"/>
        <v>0.1</v>
      </c>
      <c r="BN270">
        <v>3</v>
      </c>
      <c r="BO270">
        <f t="shared" si="36"/>
        <v>3</v>
      </c>
      <c r="BP270">
        <v>0</v>
      </c>
      <c r="BQ270">
        <f>SUM(BP270,BB270,BK270)</f>
        <v>0</v>
      </c>
      <c r="BR270">
        <f t="shared" si="39"/>
        <v>0</v>
      </c>
    </row>
    <row r="271" spans="1:70" hidden="1">
      <c r="A271" s="16" t="str">
        <f t="shared" si="40"/>
        <v>WC_2024_NPZ_2_5</v>
      </c>
      <c r="B271" t="s">
        <v>65</v>
      </c>
      <c r="C271">
        <v>42.222900000000003</v>
      </c>
      <c r="D271">
        <v>-124.383</v>
      </c>
      <c r="E271" s="8">
        <v>45524</v>
      </c>
      <c r="F271">
        <v>2024</v>
      </c>
      <c r="G271" t="s">
        <v>66</v>
      </c>
      <c r="H271" t="s">
        <v>48</v>
      </c>
      <c r="I271">
        <v>2</v>
      </c>
      <c r="J271">
        <v>5</v>
      </c>
      <c r="K271" t="s">
        <v>46</v>
      </c>
      <c r="L271" s="23">
        <v>19</v>
      </c>
      <c r="M271" s="23">
        <v>2</v>
      </c>
      <c r="N271" s="23">
        <v>3</v>
      </c>
      <c r="O271" s="23">
        <v>14</v>
      </c>
      <c r="P271" s="23">
        <v>1</v>
      </c>
      <c r="Q271" s="23" t="s">
        <v>44</v>
      </c>
      <c r="R271" s="23" t="s">
        <v>44</v>
      </c>
      <c r="S271" s="22">
        <v>0</v>
      </c>
      <c r="T271" s="23">
        <v>1</v>
      </c>
      <c r="U271" s="23">
        <v>3</v>
      </c>
      <c r="V271" s="18">
        <v>7.5</v>
      </c>
      <c r="W271" s="18">
        <v>5.4</v>
      </c>
      <c r="X271" s="18">
        <v>6.5</v>
      </c>
      <c r="Y271" s="18">
        <v>6.6</v>
      </c>
      <c r="Z271" s="18">
        <v>4.4000000000000004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1">
        <f t="shared" si="42"/>
        <v>0</v>
      </c>
      <c r="AG271" s="32" t="s">
        <v>44</v>
      </c>
      <c r="AH271">
        <v>0</v>
      </c>
      <c r="AI271">
        <v>11</v>
      </c>
      <c r="AJ271">
        <v>0</v>
      </c>
      <c r="AK271">
        <v>0</v>
      </c>
      <c r="AL271">
        <v>4</v>
      </c>
      <c r="AM271">
        <v>1</v>
      </c>
      <c r="AN271">
        <v>0</v>
      </c>
      <c r="AO271">
        <v>5</v>
      </c>
      <c r="AP271">
        <v>79</v>
      </c>
      <c r="AQ271" s="21" t="e">
        <f t="shared" si="35"/>
        <v>#VALUE!</v>
      </c>
      <c r="AR271" s="12">
        <f t="shared" si="43"/>
        <v>100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s="6">
        <v>0</v>
      </c>
      <c r="BB271">
        <v>0</v>
      </c>
      <c r="BC271">
        <v>0</v>
      </c>
      <c r="BD271">
        <v>0</v>
      </c>
      <c r="BE271">
        <v>4</v>
      </c>
      <c r="BF271" s="6" t="s">
        <v>44</v>
      </c>
      <c r="BG271" s="6" t="s">
        <v>44</v>
      </c>
      <c r="BH271" s="6" t="s">
        <v>44</v>
      </c>
      <c r="BI271" s="6" t="s">
        <v>44</v>
      </c>
      <c r="BJ271" s="6" t="s">
        <v>44</v>
      </c>
      <c r="BK271" s="6">
        <v>0</v>
      </c>
      <c r="BL271" s="6">
        <f t="shared" si="44"/>
        <v>4</v>
      </c>
      <c r="BM271" s="6">
        <f t="shared" si="41"/>
        <v>4</v>
      </c>
      <c r="BN271">
        <v>11</v>
      </c>
      <c r="BO271">
        <f t="shared" si="36"/>
        <v>11</v>
      </c>
      <c r="BP271">
        <v>0</v>
      </c>
      <c r="BQ271">
        <f>SUM(BP271,BB271,BK271)</f>
        <v>0</v>
      </c>
      <c r="BR271">
        <f t="shared" si="39"/>
        <v>0</v>
      </c>
    </row>
    <row r="272" spans="1:70" hidden="1">
      <c r="A272" s="16" t="str">
        <f t="shared" si="40"/>
        <v>CP_2024_AZ_1_1</v>
      </c>
      <c r="B272" t="s">
        <v>50</v>
      </c>
      <c r="C272">
        <v>42.043399999999998</v>
      </c>
      <c r="D272">
        <v>-124.2899</v>
      </c>
      <c r="E272" s="8">
        <v>45523</v>
      </c>
      <c r="F272">
        <v>2024</v>
      </c>
      <c r="G272" t="s">
        <v>66</v>
      </c>
      <c r="H272" t="s">
        <v>42</v>
      </c>
      <c r="I272">
        <v>1</v>
      </c>
      <c r="J272">
        <v>1</v>
      </c>
      <c r="K272" t="s">
        <v>46</v>
      </c>
      <c r="L272" s="23">
        <v>0</v>
      </c>
      <c r="M272" s="23">
        <v>0</v>
      </c>
      <c r="N272" s="23">
        <v>0</v>
      </c>
      <c r="O272" s="23">
        <v>0</v>
      </c>
      <c r="P272" s="23" t="s">
        <v>44</v>
      </c>
      <c r="Q272" s="23" t="s">
        <v>44</v>
      </c>
      <c r="R272" s="23" t="s">
        <v>44</v>
      </c>
      <c r="S272" s="22">
        <v>0</v>
      </c>
      <c r="T272" s="23">
        <v>0</v>
      </c>
      <c r="U272" s="23">
        <v>0</v>
      </c>
      <c r="V272" s="18" t="s">
        <v>44</v>
      </c>
      <c r="W272" s="18" t="s">
        <v>44</v>
      </c>
      <c r="X272" s="18" t="s">
        <v>44</v>
      </c>
      <c r="Y272" s="18" t="s">
        <v>44</v>
      </c>
      <c r="Z272" s="18" t="s">
        <v>44</v>
      </c>
      <c r="AA272" s="11" t="s">
        <v>44</v>
      </c>
      <c r="AB272" s="11" t="s">
        <v>44</v>
      </c>
      <c r="AC272" s="11" t="s">
        <v>44</v>
      </c>
      <c r="AD272" s="11" t="s">
        <v>44</v>
      </c>
      <c r="AE272" s="11" t="s">
        <v>44</v>
      </c>
      <c r="AF272" s="11" t="s">
        <v>44</v>
      </c>
      <c r="AG272" s="32">
        <v>0</v>
      </c>
      <c r="AH272">
        <v>0</v>
      </c>
      <c r="AI272">
        <v>93</v>
      </c>
      <c r="AJ272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4</v>
      </c>
      <c r="AQ272" s="21">
        <f t="shared" si="35"/>
        <v>4</v>
      </c>
      <c r="AR272" s="12">
        <f t="shared" si="43"/>
        <v>100</v>
      </c>
      <c r="AS272">
        <v>0</v>
      </c>
      <c r="AT272">
        <v>7</v>
      </c>
      <c r="AU272">
        <v>16</v>
      </c>
      <c r="AV272">
        <v>0</v>
      </c>
      <c r="AW272">
        <v>0</v>
      </c>
      <c r="AX272">
        <v>15</v>
      </c>
      <c r="AY272">
        <v>0</v>
      </c>
      <c r="AZ272">
        <v>0</v>
      </c>
      <c r="BA272" s="6">
        <v>0</v>
      </c>
      <c r="BB272">
        <v>3</v>
      </c>
      <c r="BC272">
        <v>0</v>
      </c>
      <c r="BD272">
        <v>0</v>
      </c>
      <c r="BE272" t="s">
        <v>44</v>
      </c>
      <c r="BF272" s="6" t="s">
        <v>44</v>
      </c>
      <c r="BG272" s="6" t="s">
        <v>44</v>
      </c>
      <c r="BH272" s="6" t="s">
        <v>44</v>
      </c>
      <c r="BI272" s="6" t="s">
        <v>44</v>
      </c>
      <c r="BJ272" s="6" t="s">
        <v>44</v>
      </c>
      <c r="BK272" s="6">
        <v>0</v>
      </c>
      <c r="BL272" s="6">
        <f t="shared" si="44"/>
        <v>22</v>
      </c>
      <c r="BM272" s="6">
        <f t="shared" si="41"/>
        <v>41</v>
      </c>
    </row>
    <row r="273" spans="1:70" hidden="1">
      <c r="A273" s="16" t="str">
        <f t="shared" si="40"/>
        <v>CP_2024_AZ_1_2</v>
      </c>
      <c r="B273" t="s">
        <v>50</v>
      </c>
      <c r="C273">
        <v>42.043399999999998</v>
      </c>
      <c r="D273">
        <v>-124.2899</v>
      </c>
      <c r="E273" s="8">
        <v>45523</v>
      </c>
      <c r="F273">
        <v>2024</v>
      </c>
      <c r="G273" t="s">
        <v>66</v>
      </c>
      <c r="H273" t="s">
        <v>42</v>
      </c>
      <c r="I273">
        <v>1</v>
      </c>
      <c r="J273">
        <v>2</v>
      </c>
      <c r="K273" t="s">
        <v>43</v>
      </c>
      <c r="L273" s="23">
        <v>0</v>
      </c>
      <c r="M273" s="23">
        <v>0</v>
      </c>
      <c r="N273" s="23">
        <v>0</v>
      </c>
      <c r="O273" s="23">
        <v>0</v>
      </c>
      <c r="P273" s="23" t="s">
        <v>44</v>
      </c>
      <c r="Q273" s="23" t="s">
        <v>44</v>
      </c>
      <c r="R273" s="23" t="s">
        <v>44</v>
      </c>
      <c r="S273" s="22">
        <v>0</v>
      </c>
      <c r="T273" s="23">
        <v>0</v>
      </c>
      <c r="U273" s="23">
        <v>0</v>
      </c>
      <c r="V273" s="18" t="s">
        <v>44</v>
      </c>
      <c r="W273" s="18" t="s">
        <v>44</v>
      </c>
      <c r="X273" s="18" t="s">
        <v>44</v>
      </c>
      <c r="Y273" s="18" t="s">
        <v>44</v>
      </c>
      <c r="Z273" s="18" t="s">
        <v>44</v>
      </c>
      <c r="AA273" s="11" t="s">
        <v>44</v>
      </c>
      <c r="AB273" s="11" t="s">
        <v>44</v>
      </c>
      <c r="AC273" s="11" t="s">
        <v>44</v>
      </c>
      <c r="AD273" s="11" t="s">
        <v>44</v>
      </c>
      <c r="AE273" s="11" t="s">
        <v>44</v>
      </c>
      <c r="AF273" s="11" t="s">
        <v>44</v>
      </c>
      <c r="AG273" s="32">
        <v>0</v>
      </c>
      <c r="AH273">
        <v>2</v>
      </c>
      <c r="AI273">
        <v>92</v>
      </c>
      <c r="AJ273">
        <v>0</v>
      </c>
      <c r="AK273">
        <v>6</v>
      </c>
      <c r="AL273">
        <v>0</v>
      </c>
      <c r="AM273">
        <v>0</v>
      </c>
      <c r="AN273">
        <v>0</v>
      </c>
      <c r="AO273">
        <v>0</v>
      </c>
      <c r="AP273">
        <v>0</v>
      </c>
      <c r="AQ273" s="21">
        <f t="shared" si="35"/>
        <v>0</v>
      </c>
      <c r="AR273" s="12">
        <f t="shared" si="43"/>
        <v>100</v>
      </c>
      <c r="AS273">
        <v>0</v>
      </c>
      <c r="AT273">
        <v>7</v>
      </c>
      <c r="AU273">
        <v>0</v>
      </c>
      <c r="AV273">
        <v>6</v>
      </c>
      <c r="AW273">
        <v>12</v>
      </c>
      <c r="AX273">
        <v>2</v>
      </c>
      <c r="AY273">
        <v>0</v>
      </c>
      <c r="AZ273">
        <v>26</v>
      </c>
      <c r="BA273" s="6">
        <v>0</v>
      </c>
      <c r="BB273">
        <v>0</v>
      </c>
      <c r="BC273">
        <v>0</v>
      </c>
      <c r="BD273">
        <v>0</v>
      </c>
      <c r="BE273" t="s">
        <v>44</v>
      </c>
      <c r="BF273" t="s">
        <v>44</v>
      </c>
      <c r="BG273" t="s">
        <v>44</v>
      </c>
      <c r="BH273" t="s">
        <v>44</v>
      </c>
      <c r="BI273" t="s">
        <v>44</v>
      </c>
      <c r="BJ273" t="s">
        <v>44</v>
      </c>
      <c r="BK273" s="6">
        <v>0</v>
      </c>
      <c r="BL273" s="6">
        <f t="shared" si="44"/>
        <v>53</v>
      </c>
      <c r="BM273" s="6">
        <f t="shared" si="41"/>
        <v>53</v>
      </c>
      <c r="BN273">
        <v>92</v>
      </c>
      <c r="BO273">
        <f t="shared" si="36"/>
        <v>92</v>
      </c>
      <c r="BP273">
        <v>0</v>
      </c>
      <c r="BQ273">
        <f>SUM(BP273,BB273,BK273)</f>
        <v>0</v>
      </c>
      <c r="BR273">
        <f t="shared" si="39"/>
        <v>0</v>
      </c>
    </row>
    <row r="274" spans="1:70" hidden="1">
      <c r="A274" s="16" t="str">
        <f t="shared" si="40"/>
        <v>CP_2024_AZ_1_3</v>
      </c>
      <c r="B274" t="s">
        <v>50</v>
      </c>
      <c r="C274">
        <v>42.043399999999998</v>
      </c>
      <c r="D274">
        <v>-124.2899</v>
      </c>
      <c r="E274" s="8">
        <v>45523</v>
      </c>
      <c r="F274">
        <v>2024</v>
      </c>
      <c r="G274" t="s">
        <v>66</v>
      </c>
      <c r="H274" t="s">
        <v>42</v>
      </c>
      <c r="I274">
        <v>1</v>
      </c>
      <c r="J274">
        <v>3</v>
      </c>
      <c r="K274" t="s">
        <v>46</v>
      </c>
      <c r="L274" s="23">
        <v>0</v>
      </c>
      <c r="M274" s="23">
        <v>0</v>
      </c>
      <c r="N274" s="23">
        <v>0</v>
      </c>
      <c r="O274" s="23">
        <v>0</v>
      </c>
      <c r="P274" s="23" t="s">
        <v>44</v>
      </c>
      <c r="Q274" s="23" t="s">
        <v>44</v>
      </c>
      <c r="R274" s="23" t="s">
        <v>44</v>
      </c>
      <c r="S274" s="22">
        <v>0</v>
      </c>
      <c r="T274" s="23">
        <v>0</v>
      </c>
      <c r="U274" s="23">
        <v>0</v>
      </c>
      <c r="V274" s="18" t="s">
        <v>44</v>
      </c>
      <c r="W274" s="18" t="s">
        <v>44</v>
      </c>
      <c r="X274" s="18" t="s">
        <v>44</v>
      </c>
      <c r="Y274" s="18" t="s">
        <v>44</v>
      </c>
      <c r="Z274" s="18" t="s">
        <v>44</v>
      </c>
      <c r="AA274" s="11" t="s">
        <v>44</v>
      </c>
      <c r="AB274" s="11" t="s">
        <v>44</v>
      </c>
      <c r="AC274" s="11" t="s">
        <v>44</v>
      </c>
      <c r="AD274" s="11" t="s">
        <v>44</v>
      </c>
      <c r="AE274" s="11" t="s">
        <v>44</v>
      </c>
      <c r="AF274" s="11" t="s">
        <v>44</v>
      </c>
      <c r="AG274" s="32">
        <v>0</v>
      </c>
      <c r="AH274">
        <v>0</v>
      </c>
      <c r="AI274">
        <v>98</v>
      </c>
      <c r="AJ274">
        <v>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s="21">
        <f t="shared" si="35"/>
        <v>0</v>
      </c>
      <c r="AR274" s="12">
        <f t="shared" si="43"/>
        <v>100</v>
      </c>
      <c r="AS274">
        <v>40</v>
      </c>
      <c r="AT274">
        <v>0</v>
      </c>
      <c r="AU274">
        <v>0</v>
      </c>
      <c r="AV274">
        <v>0</v>
      </c>
      <c r="AW274">
        <v>24</v>
      </c>
      <c r="AX274">
        <v>20</v>
      </c>
      <c r="AY274">
        <v>0</v>
      </c>
      <c r="AZ274">
        <v>0</v>
      </c>
      <c r="BA274" s="6">
        <v>0</v>
      </c>
      <c r="BB274">
        <v>0</v>
      </c>
      <c r="BC274">
        <v>0</v>
      </c>
      <c r="BD274">
        <v>0</v>
      </c>
      <c r="BE274" t="s">
        <v>44</v>
      </c>
      <c r="BF274" t="s">
        <v>44</v>
      </c>
      <c r="BG274" t="s">
        <v>44</v>
      </c>
      <c r="BH274" t="s">
        <v>44</v>
      </c>
      <c r="BI274" t="s">
        <v>44</v>
      </c>
      <c r="BJ274" t="s">
        <v>44</v>
      </c>
      <c r="BK274" s="6">
        <v>0</v>
      </c>
      <c r="BL274" s="6">
        <f t="shared" si="44"/>
        <v>84</v>
      </c>
      <c r="BM274" s="6">
        <f t="shared" si="41"/>
        <v>84</v>
      </c>
      <c r="BN274">
        <v>98</v>
      </c>
      <c r="BO274">
        <f t="shared" si="36"/>
        <v>98</v>
      </c>
      <c r="BP274">
        <v>2</v>
      </c>
      <c r="BQ274">
        <f>SUM(BP274,BB274,BK274)</f>
        <v>2</v>
      </c>
      <c r="BR274">
        <f t="shared" si="39"/>
        <v>0</v>
      </c>
    </row>
    <row r="275" spans="1:70" hidden="1">
      <c r="A275" s="16" t="str">
        <f t="shared" si="40"/>
        <v>CP_2024_AZ_1_4</v>
      </c>
      <c r="B275" t="s">
        <v>50</v>
      </c>
      <c r="C275">
        <v>42.043399999999998</v>
      </c>
      <c r="D275">
        <v>-124.2899</v>
      </c>
      <c r="E275" s="8">
        <v>45523</v>
      </c>
      <c r="F275">
        <v>2024</v>
      </c>
      <c r="G275" t="s">
        <v>66</v>
      </c>
      <c r="H275" t="s">
        <v>42</v>
      </c>
      <c r="I275">
        <v>1</v>
      </c>
      <c r="J275">
        <v>4</v>
      </c>
      <c r="K275" t="s">
        <v>43</v>
      </c>
      <c r="L275" s="23">
        <v>0</v>
      </c>
      <c r="M275" s="23">
        <v>0</v>
      </c>
      <c r="N275" s="23">
        <v>0</v>
      </c>
      <c r="O275" s="23">
        <v>0</v>
      </c>
      <c r="P275" s="23" t="s">
        <v>44</v>
      </c>
      <c r="Q275" s="23" t="s">
        <v>44</v>
      </c>
      <c r="R275" s="23" t="s">
        <v>44</v>
      </c>
      <c r="S275" s="22">
        <v>0</v>
      </c>
      <c r="T275" s="23">
        <v>0</v>
      </c>
      <c r="U275" s="23">
        <v>0</v>
      </c>
      <c r="V275" s="18" t="s">
        <v>44</v>
      </c>
      <c r="W275" s="18" t="s">
        <v>44</v>
      </c>
      <c r="X275" s="18" t="s">
        <v>44</v>
      </c>
      <c r="Y275" s="18" t="s">
        <v>44</v>
      </c>
      <c r="Z275" s="18" t="s">
        <v>44</v>
      </c>
      <c r="AA275" s="11" t="s">
        <v>44</v>
      </c>
      <c r="AB275" s="11" t="s">
        <v>44</v>
      </c>
      <c r="AC275" s="11" t="s">
        <v>44</v>
      </c>
      <c r="AD275" s="11" t="s">
        <v>44</v>
      </c>
      <c r="AE275" s="11" t="s">
        <v>44</v>
      </c>
      <c r="AF275" s="11" t="s">
        <v>44</v>
      </c>
      <c r="AG275" s="32">
        <v>0</v>
      </c>
      <c r="AH275">
        <v>0</v>
      </c>
      <c r="AI275">
        <v>95</v>
      </c>
      <c r="AJ275">
        <v>2</v>
      </c>
      <c r="AK275">
        <v>0</v>
      </c>
      <c r="AL275">
        <v>0</v>
      </c>
      <c r="AM275">
        <v>0.1</v>
      </c>
      <c r="AN275">
        <v>0</v>
      </c>
      <c r="AO275">
        <v>0</v>
      </c>
      <c r="AP275">
        <v>3</v>
      </c>
      <c r="AQ275" s="21">
        <f t="shared" si="35"/>
        <v>3</v>
      </c>
      <c r="AR275" s="12">
        <f t="shared" si="43"/>
        <v>100.1</v>
      </c>
      <c r="AS275">
        <v>0</v>
      </c>
      <c r="AT275">
        <v>0</v>
      </c>
      <c r="AU275">
        <v>20</v>
      </c>
      <c r="AV275">
        <v>0</v>
      </c>
      <c r="AW275">
        <v>0</v>
      </c>
      <c r="AX275">
        <v>37</v>
      </c>
      <c r="AY275">
        <v>0</v>
      </c>
      <c r="AZ275">
        <v>0</v>
      </c>
      <c r="BA275" s="6">
        <v>0</v>
      </c>
      <c r="BB275">
        <v>0</v>
      </c>
      <c r="BC275">
        <v>0</v>
      </c>
      <c r="BD275">
        <v>0</v>
      </c>
      <c r="BE275" t="s">
        <v>44</v>
      </c>
      <c r="BF275" t="s">
        <v>44</v>
      </c>
      <c r="BG275" t="s">
        <v>44</v>
      </c>
      <c r="BH275" t="s">
        <v>44</v>
      </c>
      <c r="BI275" t="s">
        <v>44</v>
      </c>
      <c r="BJ275" t="s">
        <v>44</v>
      </c>
      <c r="BK275" s="6">
        <v>0</v>
      </c>
      <c r="BL275" s="6">
        <f t="shared" si="44"/>
        <v>37</v>
      </c>
      <c r="BM275" s="6">
        <f t="shared" si="41"/>
        <v>57</v>
      </c>
    </row>
    <row r="276" spans="1:70" hidden="1">
      <c r="A276" s="16" t="str">
        <f t="shared" si="40"/>
        <v>CP_2024_AZ_1_5</v>
      </c>
      <c r="B276" t="s">
        <v>50</v>
      </c>
      <c r="C276">
        <v>42.043399999999998</v>
      </c>
      <c r="D276">
        <v>-124.2899</v>
      </c>
      <c r="E276" s="8">
        <v>45523</v>
      </c>
      <c r="F276">
        <v>2024</v>
      </c>
      <c r="G276" t="s">
        <v>66</v>
      </c>
      <c r="H276" t="s">
        <v>42</v>
      </c>
      <c r="I276">
        <v>1</v>
      </c>
      <c r="J276">
        <v>5</v>
      </c>
      <c r="K276" t="s">
        <v>46</v>
      </c>
      <c r="L276" s="23">
        <v>0</v>
      </c>
      <c r="M276" s="23">
        <v>0</v>
      </c>
      <c r="N276" s="23">
        <v>0</v>
      </c>
      <c r="O276" s="23">
        <v>0</v>
      </c>
      <c r="P276" s="23" t="s">
        <v>44</v>
      </c>
      <c r="Q276" s="23" t="s">
        <v>44</v>
      </c>
      <c r="R276" s="23" t="s">
        <v>44</v>
      </c>
      <c r="S276" s="22">
        <v>0</v>
      </c>
      <c r="T276" s="23">
        <v>0</v>
      </c>
      <c r="U276" s="23">
        <v>0</v>
      </c>
      <c r="V276" s="18" t="s">
        <v>44</v>
      </c>
      <c r="W276" s="18" t="s">
        <v>44</v>
      </c>
      <c r="X276" s="18" t="s">
        <v>44</v>
      </c>
      <c r="Y276" s="18" t="s">
        <v>44</v>
      </c>
      <c r="Z276" s="18" t="s">
        <v>44</v>
      </c>
      <c r="AA276" s="11" t="s">
        <v>44</v>
      </c>
      <c r="AB276" s="11" t="s">
        <v>44</v>
      </c>
      <c r="AC276" s="11" t="s">
        <v>44</v>
      </c>
      <c r="AD276" s="11" t="s">
        <v>44</v>
      </c>
      <c r="AE276" s="11" t="s">
        <v>44</v>
      </c>
      <c r="AF276" s="11" t="s">
        <v>44</v>
      </c>
      <c r="AG276" s="32">
        <v>0</v>
      </c>
      <c r="AH276">
        <v>0</v>
      </c>
      <c r="AI276">
        <v>100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 s="21">
        <f t="shared" si="35"/>
        <v>0</v>
      </c>
      <c r="AR276" s="12">
        <f t="shared" si="43"/>
        <v>100</v>
      </c>
      <c r="AS276">
        <v>47</v>
      </c>
      <c r="AT276">
        <v>20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 s="6">
        <v>0</v>
      </c>
      <c r="BB276">
        <v>0</v>
      </c>
      <c r="BC276">
        <v>0</v>
      </c>
      <c r="BD276">
        <v>0</v>
      </c>
      <c r="BE276" t="s">
        <v>44</v>
      </c>
      <c r="BF276" t="s">
        <v>44</v>
      </c>
      <c r="BG276" t="s">
        <v>44</v>
      </c>
      <c r="BH276" t="s">
        <v>44</v>
      </c>
      <c r="BI276" t="s">
        <v>44</v>
      </c>
      <c r="BJ276" t="s">
        <v>44</v>
      </c>
      <c r="BK276" s="6">
        <v>0</v>
      </c>
      <c r="BL276" s="6">
        <f t="shared" si="44"/>
        <v>67</v>
      </c>
      <c r="BM276" s="6">
        <f t="shared" si="41"/>
        <v>67</v>
      </c>
      <c r="BN276">
        <v>100</v>
      </c>
      <c r="BO276">
        <f t="shared" si="36"/>
        <v>100</v>
      </c>
      <c r="BP276">
        <v>0</v>
      </c>
      <c r="BQ276">
        <f>SUM(BP276,BB276,BK276)</f>
        <v>0</v>
      </c>
      <c r="BR276">
        <f t="shared" si="39"/>
        <v>0</v>
      </c>
    </row>
    <row r="277" spans="1:70" hidden="1">
      <c r="A277" s="16" t="str">
        <f t="shared" si="40"/>
        <v>CP_2024_AZ_2_1</v>
      </c>
      <c r="B277" t="s">
        <v>50</v>
      </c>
      <c r="C277">
        <v>42.043399999999998</v>
      </c>
      <c r="D277">
        <v>-124.2899</v>
      </c>
      <c r="E277" s="8">
        <v>45523</v>
      </c>
      <c r="F277">
        <v>2024</v>
      </c>
      <c r="G277" t="s">
        <v>66</v>
      </c>
      <c r="H277" t="s">
        <v>42</v>
      </c>
      <c r="I277">
        <v>2</v>
      </c>
      <c r="J277">
        <v>1</v>
      </c>
      <c r="K277" t="s">
        <v>46</v>
      </c>
      <c r="L277" s="23">
        <v>0</v>
      </c>
      <c r="M277" s="23">
        <v>0</v>
      </c>
      <c r="N277" s="23">
        <v>0</v>
      </c>
      <c r="O277" s="23">
        <v>0</v>
      </c>
      <c r="P277" s="23" t="s">
        <v>44</v>
      </c>
      <c r="Q277" s="23" t="s">
        <v>44</v>
      </c>
      <c r="R277" s="23" t="s">
        <v>44</v>
      </c>
      <c r="S277" s="22">
        <v>0</v>
      </c>
      <c r="T277" s="23">
        <v>0</v>
      </c>
      <c r="U277" s="23">
        <v>0</v>
      </c>
      <c r="V277" s="18" t="s">
        <v>44</v>
      </c>
      <c r="W277" s="18" t="s">
        <v>44</v>
      </c>
      <c r="X277" s="18" t="s">
        <v>44</v>
      </c>
      <c r="Y277" s="18" t="s">
        <v>44</v>
      </c>
      <c r="Z277" s="18" t="s">
        <v>44</v>
      </c>
      <c r="AA277" s="11" t="s">
        <v>44</v>
      </c>
      <c r="AB277" s="11" t="s">
        <v>44</v>
      </c>
      <c r="AC277" s="11" t="s">
        <v>44</v>
      </c>
      <c r="AD277" s="11" t="s">
        <v>44</v>
      </c>
      <c r="AE277" s="11" t="s">
        <v>44</v>
      </c>
      <c r="AF277" s="11" t="s">
        <v>44</v>
      </c>
      <c r="AG277" s="32">
        <v>0</v>
      </c>
      <c r="AH277">
        <v>0</v>
      </c>
      <c r="AI277">
        <v>100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 s="21">
        <f t="shared" si="35"/>
        <v>0</v>
      </c>
      <c r="AR277" s="12">
        <f t="shared" si="43"/>
        <v>100</v>
      </c>
      <c r="AS277">
        <v>0</v>
      </c>
      <c r="AT277">
        <v>0</v>
      </c>
      <c r="AU277">
        <v>7</v>
      </c>
      <c r="AV277">
        <v>0</v>
      </c>
      <c r="AW277">
        <v>0</v>
      </c>
      <c r="AX277">
        <v>22</v>
      </c>
      <c r="AY277">
        <v>0</v>
      </c>
      <c r="AZ277">
        <v>0</v>
      </c>
      <c r="BA277" s="6">
        <v>0</v>
      </c>
      <c r="BB277">
        <v>0</v>
      </c>
      <c r="BC277">
        <v>0</v>
      </c>
      <c r="BD277">
        <v>0</v>
      </c>
      <c r="BE277" t="s">
        <v>44</v>
      </c>
      <c r="BF277" t="s">
        <v>44</v>
      </c>
      <c r="BG277" t="s">
        <v>44</v>
      </c>
      <c r="BH277" t="s">
        <v>44</v>
      </c>
      <c r="BI277" t="s">
        <v>44</v>
      </c>
      <c r="BJ277" t="s">
        <v>44</v>
      </c>
      <c r="BK277" s="6">
        <v>0</v>
      </c>
      <c r="BL277" s="6">
        <f t="shared" si="44"/>
        <v>22</v>
      </c>
      <c r="BM277" s="6">
        <f t="shared" si="41"/>
        <v>29</v>
      </c>
    </row>
    <row r="278" spans="1:70" hidden="1">
      <c r="A278" s="16" t="str">
        <f t="shared" si="40"/>
        <v>CP_2024_AZ_2_2</v>
      </c>
      <c r="B278" t="s">
        <v>50</v>
      </c>
      <c r="C278">
        <v>42.043399999999998</v>
      </c>
      <c r="D278">
        <v>-124.2899</v>
      </c>
      <c r="E278" s="8">
        <v>45523</v>
      </c>
      <c r="F278">
        <v>2024</v>
      </c>
      <c r="G278" t="s">
        <v>66</v>
      </c>
      <c r="H278" t="s">
        <v>42</v>
      </c>
      <c r="I278">
        <v>2</v>
      </c>
      <c r="J278">
        <v>2</v>
      </c>
      <c r="K278" t="s">
        <v>46</v>
      </c>
      <c r="L278" s="23">
        <v>0</v>
      </c>
      <c r="M278" s="23">
        <v>0</v>
      </c>
      <c r="N278" s="23">
        <v>0</v>
      </c>
      <c r="O278" s="23">
        <v>0</v>
      </c>
      <c r="P278" s="23" t="s">
        <v>44</v>
      </c>
      <c r="Q278" s="23" t="s">
        <v>44</v>
      </c>
      <c r="R278" s="23" t="s">
        <v>44</v>
      </c>
      <c r="S278" s="22">
        <v>0</v>
      </c>
      <c r="T278" s="23">
        <v>0</v>
      </c>
      <c r="U278" s="23">
        <v>0</v>
      </c>
      <c r="V278" s="18" t="s">
        <v>44</v>
      </c>
      <c r="W278" s="18" t="s">
        <v>44</v>
      </c>
      <c r="X278" s="18" t="s">
        <v>44</v>
      </c>
      <c r="Y278" s="18" t="s">
        <v>44</v>
      </c>
      <c r="Z278" s="18" t="s">
        <v>44</v>
      </c>
      <c r="AA278" s="11" t="s">
        <v>44</v>
      </c>
      <c r="AB278" s="11" t="s">
        <v>44</v>
      </c>
      <c r="AC278" s="11" t="s">
        <v>44</v>
      </c>
      <c r="AD278" s="11" t="s">
        <v>44</v>
      </c>
      <c r="AE278" s="11" t="s">
        <v>44</v>
      </c>
      <c r="AF278" s="11" t="s">
        <v>44</v>
      </c>
      <c r="AG278" s="32">
        <v>0</v>
      </c>
      <c r="AH278">
        <v>0</v>
      </c>
      <c r="AI278">
        <v>96</v>
      </c>
      <c r="AJ278">
        <v>0</v>
      </c>
      <c r="AK278">
        <v>0</v>
      </c>
      <c r="AL278">
        <v>3</v>
      </c>
      <c r="AM278">
        <v>0</v>
      </c>
      <c r="AN278">
        <v>0</v>
      </c>
      <c r="AO278">
        <v>0</v>
      </c>
      <c r="AP278">
        <v>1</v>
      </c>
      <c r="AQ278" s="21">
        <f t="shared" ref="AQ278:AQ331" si="45">AP278-AG278</f>
        <v>1</v>
      </c>
      <c r="AR278" s="12">
        <f t="shared" si="43"/>
        <v>100</v>
      </c>
      <c r="AS278">
        <v>81</v>
      </c>
      <c r="AT278">
        <v>11</v>
      </c>
      <c r="AU278">
        <v>2</v>
      </c>
      <c r="AV278">
        <v>0</v>
      </c>
      <c r="AW278">
        <v>0</v>
      </c>
      <c r="AX278">
        <v>10</v>
      </c>
      <c r="AY278">
        <v>0</v>
      </c>
      <c r="AZ278">
        <v>0</v>
      </c>
      <c r="BA278" s="6">
        <v>0</v>
      </c>
      <c r="BB278">
        <v>0</v>
      </c>
      <c r="BC278">
        <v>0</v>
      </c>
      <c r="BD278">
        <v>0</v>
      </c>
      <c r="BE278" t="s">
        <v>44</v>
      </c>
      <c r="BF278" t="s">
        <v>44</v>
      </c>
      <c r="BG278" t="s">
        <v>44</v>
      </c>
      <c r="BH278" t="s">
        <v>44</v>
      </c>
      <c r="BI278" t="s">
        <v>44</v>
      </c>
      <c r="BJ278" t="s">
        <v>44</v>
      </c>
      <c r="BK278" s="6">
        <v>0</v>
      </c>
      <c r="BL278" s="6">
        <f t="shared" si="44"/>
        <v>102</v>
      </c>
      <c r="BM278" s="6">
        <f t="shared" si="41"/>
        <v>104</v>
      </c>
    </row>
    <row r="279" spans="1:70" hidden="1">
      <c r="A279" s="16" t="str">
        <f t="shared" si="40"/>
        <v>CP_2024_AZ_2_3</v>
      </c>
      <c r="B279" t="s">
        <v>50</v>
      </c>
      <c r="C279">
        <v>42.043399999999998</v>
      </c>
      <c r="D279">
        <v>-124.2899</v>
      </c>
      <c r="E279" s="8">
        <v>45523</v>
      </c>
      <c r="F279">
        <v>2024</v>
      </c>
      <c r="G279" t="s">
        <v>66</v>
      </c>
      <c r="H279" t="s">
        <v>42</v>
      </c>
      <c r="I279">
        <v>2</v>
      </c>
      <c r="J279">
        <v>3</v>
      </c>
      <c r="K279" t="s">
        <v>46</v>
      </c>
      <c r="L279" s="23">
        <v>0</v>
      </c>
      <c r="M279" s="23">
        <v>0</v>
      </c>
      <c r="N279" s="23">
        <v>0</v>
      </c>
      <c r="O279" s="23">
        <v>0</v>
      </c>
      <c r="P279" s="23" t="s">
        <v>44</v>
      </c>
      <c r="Q279" s="23" t="s">
        <v>44</v>
      </c>
      <c r="R279" s="23" t="s">
        <v>44</v>
      </c>
      <c r="S279" s="22">
        <v>0</v>
      </c>
      <c r="T279" s="23">
        <v>0</v>
      </c>
      <c r="U279" s="23">
        <v>0</v>
      </c>
      <c r="V279" s="18" t="s">
        <v>44</v>
      </c>
      <c r="W279" s="18" t="s">
        <v>44</v>
      </c>
      <c r="X279" s="18" t="s">
        <v>44</v>
      </c>
      <c r="Y279" s="18" t="s">
        <v>44</v>
      </c>
      <c r="Z279" s="18" t="s">
        <v>44</v>
      </c>
      <c r="AA279" s="11" t="s">
        <v>44</v>
      </c>
      <c r="AB279" s="11" t="s">
        <v>44</v>
      </c>
      <c r="AC279" s="11" t="s">
        <v>44</v>
      </c>
      <c r="AD279" s="11" t="s">
        <v>44</v>
      </c>
      <c r="AE279" s="11" t="s">
        <v>44</v>
      </c>
      <c r="AF279" s="11" t="s">
        <v>44</v>
      </c>
      <c r="AG279" s="32">
        <v>0</v>
      </c>
      <c r="AH279">
        <v>0</v>
      </c>
      <c r="AI279">
        <v>96</v>
      </c>
      <c r="AJ279">
        <v>0</v>
      </c>
      <c r="AK279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s="21">
        <f t="shared" si="45"/>
        <v>0</v>
      </c>
      <c r="AR279" s="12">
        <f t="shared" si="43"/>
        <v>100</v>
      </c>
      <c r="AS279">
        <v>28</v>
      </c>
      <c r="AT279">
        <v>0</v>
      </c>
      <c r="AU279">
        <v>0</v>
      </c>
      <c r="AV279">
        <v>0</v>
      </c>
      <c r="AW279">
        <v>0</v>
      </c>
      <c r="AX279">
        <v>17</v>
      </c>
      <c r="AY279">
        <v>0</v>
      </c>
      <c r="AZ279">
        <v>13</v>
      </c>
      <c r="BA279">
        <v>4</v>
      </c>
      <c r="BB279">
        <v>0</v>
      </c>
      <c r="BC279">
        <v>0</v>
      </c>
      <c r="BD279">
        <v>0</v>
      </c>
      <c r="BE279" t="s">
        <v>44</v>
      </c>
      <c r="BF279" t="s">
        <v>44</v>
      </c>
      <c r="BG279" t="s">
        <v>44</v>
      </c>
      <c r="BH279" t="s">
        <v>44</v>
      </c>
      <c r="BI279" t="s">
        <v>44</v>
      </c>
      <c r="BJ279" t="s">
        <v>44</v>
      </c>
      <c r="BK279" s="6">
        <v>0</v>
      </c>
      <c r="BL279" s="6">
        <f t="shared" si="44"/>
        <v>62</v>
      </c>
      <c r="BM279" s="6">
        <f t="shared" si="41"/>
        <v>62</v>
      </c>
      <c r="BN279">
        <v>96</v>
      </c>
      <c r="BO279">
        <f t="shared" si="36"/>
        <v>96</v>
      </c>
      <c r="BP279">
        <v>0</v>
      </c>
      <c r="BQ279">
        <f>SUM(BP279,BB279,BK279)</f>
        <v>0</v>
      </c>
      <c r="BR279">
        <f t="shared" si="39"/>
        <v>0</v>
      </c>
    </row>
    <row r="280" spans="1:70" hidden="1">
      <c r="A280" s="16" t="str">
        <f t="shared" si="40"/>
        <v>CP_2024_AZ_2_4</v>
      </c>
      <c r="B280" t="s">
        <v>50</v>
      </c>
      <c r="C280">
        <v>42.043399999999998</v>
      </c>
      <c r="D280">
        <v>-124.2899</v>
      </c>
      <c r="E280" s="8">
        <v>45523</v>
      </c>
      <c r="F280">
        <v>2024</v>
      </c>
      <c r="G280" t="s">
        <v>66</v>
      </c>
      <c r="H280" t="s">
        <v>42</v>
      </c>
      <c r="I280">
        <v>2</v>
      </c>
      <c r="J280">
        <v>4</v>
      </c>
      <c r="K280" t="s">
        <v>46</v>
      </c>
      <c r="L280" s="23">
        <v>0</v>
      </c>
      <c r="M280" s="23">
        <v>0</v>
      </c>
      <c r="N280" s="23">
        <v>0</v>
      </c>
      <c r="O280" s="23">
        <v>0</v>
      </c>
      <c r="P280" s="23" t="s">
        <v>44</v>
      </c>
      <c r="Q280" s="23" t="s">
        <v>44</v>
      </c>
      <c r="R280" s="23" t="s">
        <v>44</v>
      </c>
      <c r="S280" s="22">
        <v>0</v>
      </c>
      <c r="T280" s="23">
        <v>0</v>
      </c>
      <c r="U280" s="23">
        <v>0</v>
      </c>
      <c r="V280" s="18" t="s">
        <v>44</v>
      </c>
      <c r="W280" s="18" t="s">
        <v>44</v>
      </c>
      <c r="X280" s="18" t="s">
        <v>44</v>
      </c>
      <c r="Y280" s="18" t="s">
        <v>44</v>
      </c>
      <c r="Z280" s="18" t="s">
        <v>44</v>
      </c>
      <c r="AA280" s="11" t="s">
        <v>44</v>
      </c>
      <c r="AB280" s="11" t="s">
        <v>44</v>
      </c>
      <c r="AC280" s="11" t="s">
        <v>44</v>
      </c>
      <c r="AD280" s="11" t="s">
        <v>44</v>
      </c>
      <c r="AE280" s="11" t="s">
        <v>44</v>
      </c>
      <c r="AF280" s="11" t="s">
        <v>44</v>
      </c>
      <c r="AG280" s="32">
        <v>0</v>
      </c>
      <c r="AH280">
        <v>0</v>
      </c>
      <c r="AI280">
        <v>97</v>
      </c>
      <c r="AJ280">
        <v>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 s="21">
        <f t="shared" si="45"/>
        <v>1</v>
      </c>
      <c r="AR280" s="12">
        <f t="shared" si="43"/>
        <v>100</v>
      </c>
      <c r="AS280">
        <v>22</v>
      </c>
      <c r="AT280">
        <v>0</v>
      </c>
      <c r="AU280">
        <v>8</v>
      </c>
      <c r="AV280">
        <v>0</v>
      </c>
      <c r="AW280">
        <v>0</v>
      </c>
      <c r="AX280">
        <v>10</v>
      </c>
      <c r="AY280">
        <v>0</v>
      </c>
      <c r="AZ280">
        <v>0</v>
      </c>
      <c r="BA280">
        <v>27</v>
      </c>
      <c r="BB280">
        <v>0</v>
      </c>
      <c r="BC280">
        <v>0</v>
      </c>
      <c r="BD280">
        <v>0</v>
      </c>
      <c r="BE280" t="s">
        <v>44</v>
      </c>
      <c r="BF280" t="s">
        <v>44</v>
      </c>
      <c r="BG280" t="s">
        <v>44</v>
      </c>
      <c r="BH280" t="s">
        <v>44</v>
      </c>
      <c r="BI280" t="s">
        <v>44</v>
      </c>
      <c r="BJ280" t="s">
        <v>44</v>
      </c>
      <c r="BK280">
        <v>1</v>
      </c>
      <c r="BL280" s="6">
        <f t="shared" si="44"/>
        <v>59</v>
      </c>
      <c r="BM280" s="6">
        <f t="shared" si="41"/>
        <v>67</v>
      </c>
    </row>
    <row r="281" spans="1:70" hidden="1">
      <c r="A281" s="16" t="str">
        <f t="shared" si="40"/>
        <v>CP_2024_AZ_2_5</v>
      </c>
      <c r="B281" t="s">
        <v>50</v>
      </c>
      <c r="C281">
        <v>42.043399999999998</v>
      </c>
      <c r="D281">
        <v>-124.2899</v>
      </c>
      <c r="E281" s="8">
        <v>45523</v>
      </c>
      <c r="F281">
        <v>2024</v>
      </c>
      <c r="G281" t="s">
        <v>66</v>
      </c>
      <c r="H281" t="s">
        <v>42</v>
      </c>
      <c r="I281">
        <v>2</v>
      </c>
      <c r="J281">
        <v>5</v>
      </c>
      <c r="K281" t="s">
        <v>43</v>
      </c>
      <c r="L281" s="23">
        <v>0</v>
      </c>
      <c r="M281" s="23">
        <v>0</v>
      </c>
      <c r="N281" s="23">
        <v>0</v>
      </c>
      <c r="O281" s="23">
        <v>0</v>
      </c>
      <c r="P281" s="23" t="s">
        <v>44</v>
      </c>
      <c r="Q281" s="23" t="s">
        <v>44</v>
      </c>
      <c r="R281" s="23" t="s">
        <v>44</v>
      </c>
      <c r="S281" s="22">
        <v>0</v>
      </c>
      <c r="T281" s="23">
        <v>0</v>
      </c>
      <c r="U281" s="23">
        <v>0</v>
      </c>
      <c r="V281" s="18" t="s">
        <v>44</v>
      </c>
      <c r="W281" s="18" t="s">
        <v>44</v>
      </c>
      <c r="X281" s="18" t="s">
        <v>44</v>
      </c>
      <c r="Y281" s="18" t="s">
        <v>44</v>
      </c>
      <c r="Z281" s="18" t="s">
        <v>44</v>
      </c>
      <c r="AA281" s="11" t="s">
        <v>44</v>
      </c>
      <c r="AB281" s="11" t="s">
        <v>44</v>
      </c>
      <c r="AC281" s="11" t="s">
        <v>44</v>
      </c>
      <c r="AD281" s="11" t="s">
        <v>44</v>
      </c>
      <c r="AE281" s="11" t="s">
        <v>44</v>
      </c>
      <c r="AF281" s="11" t="s">
        <v>44</v>
      </c>
      <c r="AG281" s="32">
        <v>0</v>
      </c>
      <c r="AH281">
        <v>0</v>
      </c>
      <c r="AI281">
        <v>98</v>
      </c>
      <c r="AJ281">
        <v>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s="21">
        <f t="shared" si="45"/>
        <v>0</v>
      </c>
      <c r="AR281" s="12">
        <f t="shared" si="43"/>
        <v>100</v>
      </c>
      <c r="AS281">
        <v>18</v>
      </c>
      <c r="AT281">
        <v>0</v>
      </c>
      <c r="AU281">
        <v>0</v>
      </c>
      <c r="AV281">
        <v>0</v>
      </c>
      <c r="AW281">
        <v>0</v>
      </c>
      <c r="AX281">
        <v>13</v>
      </c>
      <c r="AY281">
        <v>0</v>
      </c>
      <c r="AZ281">
        <v>0</v>
      </c>
      <c r="BA281" s="6">
        <v>0</v>
      </c>
      <c r="BB281">
        <v>0</v>
      </c>
      <c r="BC281">
        <v>0</v>
      </c>
      <c r="BD281">
        <v>0</v>
      </c>
      <c r="BE281" t="s">
        <v>44</v>
      </c>
      <c r="BF281" t="s">
        <v>44</v>
      </c>
      <c r="BG281" t="s">
        <v>44</v>
      </c>
      <c r="BH281" t="s">
        <v>44</v>
      </c>
      <c r="BI281" t="s">
        <v>44</v>
      </c>
      <c r="BJ281" t="s">
        <v>44</v>
      </c>
      <c r="BK281" s="6">
        <v>0</v>
      </c>
      <c r="BL281" s="6">
        <f t="shared" si="44"/>
        <v>31</v>
      </c>
      <c r="BM281" s="6">
        <f t="shared" si="41"/>
        <v>31</v>
      </c>
      <c r="BN281">
        <v>98</v>
      </c>
      <c r="BO281">
        <f t="shared" si="36"/>
        <v>98</v>
      </c>
      <c r="BP281">
        <v>2</v>
      </c>
      <c r="BQ281">
        <f>SUM(BP281,BB281,BK281)</f>
        <v>2</v>
      </c>
      <c r="BR281">
        <f t="shared" si="39"/>
        <v>0</v>
      </c>
    </row>
    <row r="282" spans="1:70" hidden="1">
      <c r="A282" s="16" t="str">
        <f t="shared" si="40"/>
        <v>CP_2024_UPZ_1_1</v>
      </c>
      <c r="B282" t="s">
        <v>50</v>
      </c>
      <c r="C282">
        <v>42.043399999999998</v>
      </c>
      <c r="D282">
        <v>-124.2899</v>
      </c>
      <c r="E282" s="8">
        <v>45523</v>
      </c>
      <c r="F282">
        <v>2024</v>
      </c>
      <c r="G282" t="s">
        <v>66</v>
      </c>
      <c r="H282" t="s">
        <v>45</v>
      </c>
      <c r="I282">
        <v>1</v>
      </c>
      <c r="J282">
        <v>1</v>
      </c>
      <c r="K282" t="s">
        <v>47</v>
      </c>
      <c r="L282" s="23">
        <v>17</v>
      </c>
      <c r="M282" s="23">
        <v>11</v>
      </c>
      <c r="N282" s="23">
        <v>4</v>
      </c>
      <c r="O282" s="23">
        <v>2</v>
      </c>
      <c r="P282" s="23" t="s">
        <v>44</v>
      </c>
      <c r="Q282" s="23" t="s">
        <v>44</v>
      </c>
      <c r="R282" s="23" t="s">
        <v>44</v>
      </c>
      <c r="S282" s="22">
        <v>0</v>
      </c>
      <c r="T282" s="23">
        <v>1</v>
      </c>
      <c r="U282" s="23">
        <v>11</v>
      </c>
      <c r="V282" s="18">
        <v>4.1180000000000003</v>
      </c>
      <c r="W282" s="18">
        <v>4.3540000000000001</v>
      </c>
      <c r="X282" s="18">
        <v>3.9060000000000001</v>
      </c>
      <c r="Y282" s="18">
        <v>4.3109999999999999</v>
      </c>
      <c r="Z282" s="18">
        <v>4.2770000000000001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1">
        <f t="shared" si="42"/>
        <v>0</v>
      </c>
      <c r="AG282" s="32" t="s">
        <v>44</v>
      </c>
      <c r="AH282">
        <v>0</v>
      </c>
      <c r="AI282">
        <v>57</v>
      </c>
      <c r="AJ282">
        <v>0</v>
      </c>
      <c r="AK282">
        <v>1</v>
      </c>
      <c r="AL282">
        <v>22</v>
      </c>
      <c r="AM282">
        <v>7</v>
      </c>
      <c r="AN282">
        <v>3</v>
      </c>
      <c r="AO282">
        <v>0</v>
      </c>
      <c r="AP282">
        <v>10</v>
      </c>
      <c r="AQ282" s="21" t="e">
        <f t="shared" si="45"/>
        <v>#VALUE!</v>
      </c>
      <c r="AR282" s="12">
        <f t="shared" si="43"/>
        <v>100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</v>
      </c>
      <c r="BA282" s="6">
        <v>0</v>
      </c>
      <c r="BB282">
        <v>0</v>
      </c>
      <c r="BC282">
        <v>6</v>
      </c>
      <c r="BD282">
        <v>0</v>
      </c>
      <c r="BE282" t="s">
        <v>44</v>
      </c>
      <c r="BF282" t="s">
        <v>44</v>
      </c>
      <c r="BG282" t="s">
        <v>44</v>
      </c>
      <c r="BH282" t="s">
        <v>44</v>
      </c>
      <c r="BI282" t="s">
        <v>44</v>
      </c>
      <c r="BJ282" t="s">
        <v>44</v>
      </c>
      <c r="BK282" s="6">
        <v>0</v>
      </c>
      <c r="BL282" s="6">
        <f t="shared" si="44"/>
        <v>8</v>
      </c>
      <c r="BM282" s="6">
        <f t="shared" si="41"/>
        <v>8</v>
      </c>
      <c r="BN282">
        <v>57</v>
      </c>
      <c r="BO282">
        <f t="shared" si="36"/>
        <v>57</v>
      </c>
      <c r="BP282">
        <v>0</v>
      </c>
      <c r="BQ282">
        <f>SUM(BP282,BB282,BK282)</f>
        <v>0</v>
      </c>
      <c r="BR282">
        <f t="shared" si="39"/>
        <v>0</v>
      </c>
    </row>
    <row r="283" spans="1:70" hidden="1">
      <c r="A283" s="16" t="str">
        <f t="shared" si="40"/>
        <v>CP_2024_UPZ_1_2</v>
      </c>
      <c r="B283" t="s">
        <v>50</v>
      </c>
      <c r="C283">
        <v>42.043399999999998</v>
      </c>
      <c r="D283">
        <v>-124.2899</v>
      </c>
      <c r="E283" s="8">
        <v>45523</v>
      </c>
      <c r="F283">
        <v>2024</v>
      </c>
      <c r="G283" t="s">
        <v>66</v>
      </c>
      <c r="H283" t="s">
        <v>45</v>
      </c>
      <c r="I283">
        <v>1</v>
      </c>
      <c r="J283">
        <v>2</v>
      </c>
      <c r="K283" t="s">
        <v>47</v>
      </c>
      <c r="L283" s="23">
        <v>23</v>
      </c>
      <c r="M283" s="23">
        <v>23</v>
      </c>
      <c r="N283" s="23">
        <v>0</v>
      </c>
      <c r="O283" s="23">
        <v>0</v>
      </c>
      <c r="P283" s="23" t="s">
        <v>44</v>
      </c>
      <c r="Q283" s="23" t="s">
        <v>44</v>
      </c>
      <c r="R283" s="23" t="s">
        <v>44</v>
      </c>
      <c r="S283" s="22">
        <v>0</v>
      </c>
      <c r="T283" s="23">
        <v>1</v>
      </c>
      <c r="U283" s="23">
        <v>24</v>
      </c>
      <c r="V283" s="18">
        <v>3.3319999999999999</v>
      </c>
      <c r="W283" s="18">
        <v>3.4740000000000002</v>
      </c>
      <c r="X283" s="18">
        <v>2.6930000000000001</v>
      </c>
      <c r="Y283" s="18">
        <v>3.8010000000000002</v>
      </c>
      <c r="Z283" s="18">
        <v>3.9489999999999998</v>
      </c>
      <c r="AA283" s="17">
        <v>0</v>
      </c>
      <c r="AB283" s="17">
        <v>0</v>
      </c>
      <c r="AC283" s="17">
        <v>1</v>
      </c>
      <c r="AD283" s="17">
        <v>0</v>
      </c>
      <c r="AE283" s="17">
        <v>0</v>
      </c>
      <c r="AF283" s="11">
        <f t="shared" si="42"/>
        <v>1</v>
      </c>
      <c r="AG283" s="32" t="s">
        <v>44</v>
      </c>
      <c r="AH283">
        <v>0</v>
      </c>
      <c r="AI283">
        <v>74</v>
      </c>
      <c r="AJ283">
        <v>0</v>
      </c>
      <c r="AK283">
        <v>0</v>
      </c>
      <c r="AL283">
        <v>7</v>
      </c>
      <c r="AM283">
        <v>1</v>
      </c>
      <c r="AN283">
        <v>3</v>
      </c>
      <c r="AO283">
        <v>0</v>
      </c>
      <c r="AP283">
        <v>15</v>
      </c>
      <c r="AQ283" s="21" t="e">
        <f t="shared" si="45"/>
        <v>#VALUE!</v>
      </c>
      <c r="AR283" s="12">
        <f t="shared" si="43"/>
        <v>100</v>
      </c>
      <c r="AS283">
        <v>0</v>
      </c>
      <c r="AT283">
        <v>0</v>
      </c>
      <c r="AU283">
        <v>0</v>
      </c>
      <c r="AV283">
        <v>13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44</v>
      </c>
      <c r="BF283" t="s">
        <v>44</v>
      </c>
      <c r="BG283" t="s">
        <v>44</v>
      </c>
      <c r="BH283" t="s">
        <v>44</v>
      </c>
      <c r="BI283" t="s">
        <v>44</v>
      </c>
      <c r="BJ283" t="s">
        <v>44</v>
      </c>
      <c r="BK283">
        <v>0</v>
      </c>
      <c r="BL283" s="6">
        <f t="shared" si="44"/>
        <v>13</v>
      </c>
      <c r="BM283" s="6">
        <f t="shared" si="41"/>
        <v>13</v>
      </c>
      <c r="BN283">
        <v>74</v>
      </c>
      <c r="BO283">
        <f t="shared" si="36"/>
        <v>74</v>
      </c>
      <c r="BP283">
        <v>0</v>
      </c>
      <c r="BQ283">
        <f>SUM(BP283,BB283,BK283)</f>
        <v>0</v>
      </c>
      <c r="BR283">
        <f t="shared" si="39"/>
        <v>0</v>
      </c>
    </row>
    <row r="284" spans="1:70" hidden="1">
      <c r="A284" s="16" t="str">
        <f t="shared" si="40"/>
        <v>CP_2024_UPZ_1_3</v>
      </c>
      <c r="B284" t="s">
        <v>50</v>
      </c>
      <c r="C284">
        <v>42.043399999999998</v>
      </c>
      <c r="D284">
        <v>-124.2899</v>
      </c>
      <c r="E284" s="8">
        <v>45523</v>
      </c>
      <c r="F284">
        <v>2024</v>
      </c>
      <c r="G284" t="s">
        <v>66</v>
      </c>
      <c r="H284" t="s">
        <v>45</v>
      </c>
      <c r="I284">
        <v>1</v>
      </c>
      <c r="J284">
        <v>3</v>
      </c>
      <c r="K284" t="s">
        <v>47</v>
      </c>
      <c r="L284" s="23">
        <v>30</v>
      </c>
      <c r="M284" s="23">
        <v>10</v>
      </c>
      <c r="N284" s="23">
        <v>13</v>
      </c>
      <c r="O284" s="23">
        <v>7</v>
      </c>
      <c r="P284" s="23" t="s">
        <v>44</v>
      </c>
      <c r="Q284" s="23" t="s">
        <v>44</v>
      </c>
      <c r="R284" s="23" t="s">
        <v>44</v>
      </c>
      <c r="S284" s="22">
        <v>0</v>
      </c>
      <c r="T284" s="23">
        <v>1</v>
      </c>
      <c r="U284" s="23">
        <v>11</v>
      </c>
      <c r="V284" s="18">
        <v>4.0890000000000004</v>
      </c>
      <c r="W284" s="18">
        <v>3.5390000000000001</v>
      </c>
      <c r="X284" s="18">
        <v>2.92</v>
      </c>
      <c r="Y284" s="18">
        <v>4.6550000000000002</v>
      </c>
      <c r="Z284" s="18">
        <v>3.9289999999999998</v>
      </c>
      <c r="AA284" s="17">
        <v>1</v>
      </c>
      <c r="AB284" s="17">
        <v>0</v>
      </c>
      <c r="AC284" s="17">
        <v>0</v>
      </c>
      <c r="AD284" s="17">
        <v>0</v>
      </c>
      <c r="AE284" s="17">
        <v>0</v>
      </c>
      <c r="AF284" s="11">
        <f t="shared" si="42"/>
        <v>1</v>
      </c>
      <c r="AG284" s="32" t="s">
        <v>44</v>
      </c>
      <c r="AH284">
        <v>1</v>
      </c>
      <c r="AI284">
        <v>7</v>
      </c>
      <c r="AJ284">
        <v>0</v>
      </c>
      <c r="AK284">
        <v>0</v>
      </c>
      <c r="AL284">
        <v>58</v>
      </c>
      <c r="AM284">
        <v>5</v>
      </c>
      <c r="AN284">
        <v>3</v>
      </c>
      <c r="AO284">
        <v>0</v>
      </c>
      <c r="AP284">
        <v>26</v>
      </c>
      <c r="AQ284" s="21" t="e">
        <f t="shared" si="45"/>
        <v>#VALUE!</v>
      </c>
      <c r="AR284" s="12">
        <f t="shared" si="43"/>
        <v>100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t="s">
        <v>44</v>
      </c>
      <c r="BF284" t="s">
        <v>44</v>
      </c>
      <c r="BG284" t="s">
        <v>44</v>
      </c>
      <c r="BH284" t="s">
        <v>44</v>
      </c>
      <c r="BI284" t="s">
        <v>44</v>
      </c>
      <c r="BJ284" t="s">
        <v>44</v>
      </c>
      <c r="BK284">
        <v>0</v>
      </c>
      <c r="BL284" s="6">
        <f t="shared" si="44"/>
        <v>5</v>
      </c>
      <c r="BM284" s="6">
        <f t="shared" si="41"/>
        <v>5</v>
      </c>
      <c r="BN284">
        <v>7</v>
      </c>
      <c r="BO284">
        <f t="shared" si="36"/>
        <v>7</v>
      </c>
      <c r="BP284">
        <v>0</v>
      </c>
      <c r="BQ284">
        <f>SUM(BP284,BB284,BK284)</f>
        <v>0</v>
      </c>
      <c r="BR284">
        <f t="shared" si="39"/>
        <v>0</v>
      </c>
    </row>
    <row r="285" spans="1:70" hidden="1">
      <c r="A285" s="16" t="str">
        <f t="shared" si="40"/>
        <v>CP_2024_UPZ_1_4</v>
      </c>
      <c r="B285" t="s">
        <v>50</v>
      </c>
      <c r="C285">
        <v>42.043399999999998</v>
      </c>
      <c r="D285">
        <v>-124.2899</v>
      </c>
      <c r="E285" s="8">
        <v>45523</v>
      </c>
      <c r="F285">
        <v>2024</v>
      </c>
      <c r="G285" t="s">
        <v>66</v>
      </c>
      <c r="H285" t="s">
        <v>45</v>
      </c>
      <c r="I285">
        <v>1</v>
      </c>
      <c r="J285">
        <v>4</v>
      </c>
      <c r="K285" t="s">
        <v>47</v>
      </c>
      <c r="L285" s="23">
        <v>45</v>
      </c>
      <c r="M285" s="23">
        <v>34</v>
      </c>
      <c r="N285" s="23">
        <v>9</v>
      </c>
      <c r="O285" s="23">
        <v>2</v>
      </c>
      <c r="P285" s="23" t="s">
        <v>44</v>
      </c>
      <c r="Q285" s="23" t="s">
        <v>44</v>
      </c>
      <c r="R285" s="23" t="s">
        <v>44</v>
      </c>
      <c r="S285" s="22">
        <v>0</v>
      </c>
      <c r="T285" s="23">
        <v>0</v>
      </c>
      <c r="U285" s="23">
        <v>34</v>
      </c>
      <c r="V285" s="18">
        <v>5.5469999999999997</v>
      </c>
      <c r="W285" s="18">
        <v>5.6580000000000004</v>
      </c>
      <c r="X285" s="18">
        <v>5.0739999999999998</v>
      </c>
      <c r="Y285" s="18">
        <v>5.5880000000000001</v>
      </c>
      <c r="Z285" s="18">
        <v>5.1379999999999999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1">
        <f t="shared" si="42"/>
        <v>0</v>
      </c>
      <c r="AG285" s="32" t="s">
        <v>44</v>
      </c>
      <c r="AH285">
        <v>0</v>
      </c>
      <c r="AI285">
        <v>2</v>
      </c>
      <c r="AJ285">
        <v>0</v>
      </c>
      <c r="AK285">
        <v>0</v>
      </c>
      <c r="AL285">
        <v>48</v>
      </c>
      <c r="AM285">
        <v>2</v>
      </c>
      <c r="AN285">
        <v>15</v>
      </c>
      <c r="AO285">
        <v>0</v>
      </c>
      <c r="AP285">
        <v>33</v>
      </c>
      <c r="AQ285" s="21" t="e">
        <f t="shared" si="45"/>
        <v>#VALUE!</v>
      </c>
      <c r="AR285" s="12">
        <f t="shared" si="43"/>
        <v>100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 t="s">
        <v>44</v>
      </c>
      <c r="BF285" t="s">
        <v>44</v>
      </c>
      <c r="BG285" t="s">
        <v>44</v>
      </c>
      <c r="BH285" t="s">
        <v>44</v>
      </c>
      <c r="BI285" t="s">
        <v>44</v>
      </c>
      <c r="BJ285" t="s">
        <v>44</v>
      </c>
      <c r="BK285">
        <v>0</v>
      </c>
      <c r="BL285" s="6">
        <f t="shared" si="44"/>
        <v>0</v>
      </c>
      <c r="BM285" s="6">
        <f t="shared" si="41"/>
        <v>0</v>
      </c>
      <c r="BN285">
        <v>2</v>
      </c>
      <c r="BO285">
        <f t="shared" si="36"/>
        <v>2</v>
      </c>
      <c r="BP285">
        <v>0</v>
      </c>
      <c r="BQ285">
        <f>SUM(BP285,BB285,BK285)</f>
        <v>0</v>
      </c>
      <c r="BR285">
        <f t="shared" si="39"/>
        <v>0</v>
      </c>
    </row>
    <row r="286" spans="1:70" hidden="1">
      <c r="A286" s="16" t="str">
        <f t="shared" si="40"/>
        <v>CP_2024_UPZ_1_5</v>
      </c>
      <c r="B286" t="s">
        <v>50</v>
      </c>
      <c r="C286">
        <v>42.043399999999998</v>
      </c>
      <c r="D286">
        <v>-124.2899</v>
      </c>
      <c r="E286" s="8">
        <v>45523</v>
      </c>
      <c r="F286">
        <v>2024</v>
      </c>
      <c r="G286" t="s">
        <v>66</v>
      </c>
      <c r="H286" t="s">
        <v>45</v>
      </c>
      <c r="I286">
        <v>1</v>
      </c>
      <c r="J286">
        <v>5</v>
      </c>
      <c r="K286" t="s">
        <v>47</v>
      </c>
      <c r="L286" s="23">
        <v>58</v>
      </c>
      <c r="M286" s="23">
        <v>12</v>
      </c>
      <c r="N286" s="23">
        <v>28</v>
      </c>
      <c r="O286" s="23">
        <v>18</v>
      </c>
      <c r="P286" s="23" t="s">
        <v>44</v>
      </c>
      <c r="Q286" s="23" t="s">
        <v>44</v>
      </c>
      <c r="R286" s="23" t="s">
        <v>44</v>
      </c>
      <c r="S286" s="22">
        <v>0</v>
      </c>
      <c r="T286" s="23">
        <v>0</v>
      </c>
      <c r="U286" s="23">
        <v>21</v>
      </c>
      <c r="V286" s="18">
        <v>4.3860000000000001</v>
      </c>
      <c r="W286" s="18">
        <v>5.0679999999999996</v>
      </c>
      <c r="X286" s="18">
        <v>4.484</v>
      </c>
      <c r="Y286" s="18">
        <v>2.4929999999999999</v>
      </c>
      <c r="Z286" s="18">
        <v>4.9210000000000003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1">
        <f t="shared" si="42"/>
        <v>0</v>
      </c>
      <c r="AG286" s="32">
        <v>50</v>
      </c>
      <c r="AH286">
        <v>0</v>
      </c>
      <c r="AI286">
        <v>0</v>
      </c>
      <c r="AJ286">
        <v>0</v>
      </c>
      <c r="AK286">
        <v>0</v>
      </c>
      <c r="AL286">
        <v>71</v>
      </c>
      <c r="AM286">
        <v>5</v>
      </c>
      <c r="AN286">
        <v>6</v>
      </c>
      <c r="AO286">
        <v>0</v>
      </c>
      <c r="AP286">
        <v>18</v>
      </c>
      <c r="AQ286" s="21">
        <f t="shared" si="45"/>
        <v>-32</v>
      </c>
      <c r="AR286" s="12">
        <f t="shared" si="43"/>
        <v>100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t="s">
        <v>44</v>
      </c>
      <c r="BF286" t="s">
        <v>44</v>
      </c>
      <c r="BG286" t="s">
        <v>44</v>
      </c>
      <c r="BH286" t="s">
        <v>44</v>
      </c>
      <c r="BI286" t="s">
        <v>44</v>
      </c>
      <c r="BJ286" t="s">
        <v>44</v>
      </c>
      <c r="BK286">
        <v>0</v>
      </c>
      <c r="BL286" s="6">
        <f t="shared" si="44"/>
        <v>0</v>
      </c>
      <c r="BM286" s="6">
        <f t="shared" si="41"/>
        <v>0</v>
      </c>
      <c r="BN286">
        <v>0</v>
      </c>
      <c r="BO286">
        <f t="shared" si="36"/>
        <v>0</v>
      </c>
      <c r="BP286">
        <v>0</v>
      </c>
      <c r="BQ286">
        <f>SUM(BP286,BB286,BK286)</f>
        <v>0</v>
      </c>
      <c r="BR286">
        <f t="shared" si="39"/>
        <v>0</v>
      </c>
    </row>
    <row r="287" spans="1:70" hidden="1">
      <c r="A287" s="16" t="str">
        <f t="shared" si="40"/>
        <v>CP_2024_UPZ_2_1</v>
      </c>
      <c r="B287" t="s">
        <v>50</v>
      </c>
      <c r="C287">
        <v>42.043399999999998</v>
      </c>
      <c r="D287">
        <v>-124.2899</v>
      </c>
      <c r="E287" s="8">
        <v>45523</v>
      </c>
      <c r="F287">
        <v>2024</v>
      </c>
      <c r="G287" t="s">
        <v>66</v>
      </c>
      <c r="H287" t="s">
        <v>45</v>
      </c>
      <c r="I287">
        <v>2</v>
      </c>
      <c r="J287">
        <v>1</v>
      </c>
      <c r="K287" t="s">
        <v>47</v>
      </c>
      <c r="L287" s="23">
        <v>21</v>
      </c>
      <c r="M287" s="23">
        <v>3</v>
      </c>
      <c r="N287" s="23">
        <v>14</v>
      </c>
      <c r="O287" s="23">
        <v>4</v>
      </c>
      <c r="P287" s="23" t="s">
        <v>44</v>
      </c>
      <c r="Q287" s="23" t="s">
        <v>44</v>
      </c>
      <c r="R287" s="23" t="s">
        <v>44</v>
      </c>
      <c r="S287" s="22">
        <v>0</v>
      </c>
      <c r="T287" s="23">
        <v>0</v>
      </c>
      <c r="U287" s="23">
        <v>3</v>
      </c>
      <c r="V287" s="18">
        <v>4.1920000000000002</v>
      </c>
      <c r="W287" s="18">
        <v>4.766</v>
      </c>
      <c r="X287" s="18">
        <v>3.74</v>
      </c>
      <c r="Y287" s="18">
        <v>6.0620000000000003</v>
      </c>
      <c r="Z287" s="18">
        <v>5.3360000000000003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1">
        <f t="shared" si="42"/>
        <v>0</v>
      </c>
      <c r="AG287" s="32">
        <v>15</v>
      </c>
      <c r="AH287">
        <v>1</v>
      </c>
      <c r="AI287">
        <v>58</v>
      </c>
      <c r="AJ287">
        <v>0</v>
      </c>
      <c r="AK287">
        <v>0</v>
      </c>
      <c r="AL287">
        <v>22</v>
      </c>
      <c r="AM287">
        <v>2</v>
      </c>
      <c r="AN287">
        <v>2</v>
      </c>
      <c r="AO287">
        <v>0</v>
      </c>
      <c r="AP287">
        <v>15</v>
      </c>
      <c r="AQ287" s="21">
        <f t="shared" si="45"/>
        <v>0</v>
      </c>
      <c r="AR287" s="12">
        <f t="shared" si="43"/>
        <v>100</v>
      </c>
      <c r="AS287">
        <v>0</v>
      </c>
      <c r="AT287">
        <v>0</v>
      </c>
      <c r="AU287">
        <v>5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t="s">
        <v>44</v>
      </c>
      <c r="BF287" t="s">
        <v>44</v>
      </c>
      <c r="BG287" t="s">
        <v>44</v>
      </c>
      <c r="BH287" t="s">
        <v>44</v>
      </c>
      <c r="BI287" t="s">
        <v>44</v>
      </c>
      <c r="BJ287" t="s">
        <v>44</v>
      </c>
      <c r="BK287">
        <v>0</v>
      </c>
      <c r="BL287" s="6">
        <f t="shared" si="44"/>
        <v>3</v>
      </c>
      <c r="BM287" s="6">
        <f t="shared" si="41"/>
        <v>8</v>
      </c>
    </row>
    <row r="288" spans="1:70" hidden="1">
      <c r="A288" s="16" t="str">
        <f t="shared" si="40"/>
        <v>CP_2024_UPZ_2_2</v>
      </c>
      <c r="B288" t="s">
        <v>50</v>
      </c>
      <c r="C288">
        <v>42.043399999999998</v>
      </c>
      <c r="D288">
        <v>-124.2899</v>
      </c>
      <c r="E288" s="8">
        <v>45523</v>
      </c>
      <c r="F288">
        <v>2024</v>
      </c>
      <c r="G288" t="s">
        <v>66</v>
      </c>
      <c r="H288" t="s">
        <v>45</v>
      </c>
      <c r="I288">
        <v>2</v>
      </c>
      <c r="J288">
        <v>2</v>
      </c>
      <c r="K288" t="s">
        <v>57</v>
      </c>
      <c r="L288" s="23">
        <v>25</v>
      </c>
      <c r="M288" s="23">
        <v>4</v>
      </c>
      <c r="N288" s="23">
        <v>6</v>
      </c>
      <c r="O288" s="23">
        <v>15</v>
      </c>
      <c r="P288" s="23" t="s">
        <v>44</v>
      </c>
      <c r="Q288" s="23" t="s">
        <v>44</v>
      </c>
      <c r="R288" s="23" t="s">
        <v>44</v>
      </c>
      <c r="S288" s="22">
        <v>0</v>
      </c>
      <c r="T288" s="23">
        <v>0</v>
      </c>
      <c r="U288" s="23">
        <v>4</v>
      </c>
      <c r="V288" s="18">
        <v>6.5570000000000004</v>
      </c>
      <c r="W288" s="18">
        <v>6.7859999999999996</v>
      </c>
      <c r="X288" s="18">
        <v>5.4690000000000003</v>
      </c>
      <c r="Y288" s="18">
        <v>5.8090000000000002</v>
      </c>
      <c r="Z288" s="18">
        <v>6.0449999999999999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1">
        <f t="shared" si="42"/>
        <v>0</v>
      </c>
      <c r="AG288" s="32" t="s">
        <v>44</v>
      </c>
      <c r="AH288">
        <v>0</v>
      </c>
      <c r="AI288">
        <v>0</v>
      </c>
      <c r="AJ288">
        <v>0</v>
      </c>
      <c r="AK288">
        <v>0</v>
      </c>
      <c r="AL288">
        <v>62</v>
      </c>
      <c r="AM288">
        <v>1</v>
      </c>
      <c r="AN288">
        <v>15</v>
      </c>
      <c r="AO288">
        <v>1</v>
      </c>
      <c r="AP288">
        <v>21</v>
      </c>
      <c r="AQ288" s="21" t="e">
        <f t="shared" si="45"/>
        <v>#VALUE!</v>
      </c>
      <c r="AR288" s="12">
        <f t="shared" si="43"/>
        <v>100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t="s">
        <v>44</v>
      </c>
      <c r="BF288" t="s">
        <v>44</v>
      </c>
      <c r="BG288" t="s">
        <v>44</v>
      </c>
      <c r="BH288" t="s">
        <v>44</v>
      </c>
      <c r="BI288" t="s">
        <v>44</v>
      </c>
      <c r="BJ288" t="s">
        <v>44</v>
      </c>
      <c r="BK288">
        <v>0</v>
      </c>
      <c r="BL288" s="6">
        <f t="shared" si="44"/>
        <v>0</v>
      </c>
      <c r="BM288" s="6">
        <f t="shared" si="41"/>
        <v>0</v>
      </c>
      <c r="BN288">
        <v>0</v>
      </c>
      <c r="BO288">
        <f t="shared" ref="BO288:BO351" si="46">SUM(BN288,AU288,BG288,BH288,BI288)</f>
        <v>0</v>
      </c>
      <c r="BP288">
        <v>0</v>
      </c>
      <c r="BQ288">
        <f>SUM(BP288,BB288,BK288)</f>
        <v>0</v>
      </c>
      <c r="BR288">
        <f t="shared" si="39"/>
        <v>0</v>
      </c>
    </row>
    <row r="289" spans="1:70" hidden="1">
      <c r="A289" s="16" t="str">
        <f t="shared" si="40"/>
        <v>CP_2024_UPZ_2_3</v>
      </c>
      <c r="B289" t="s">
        <v>50</v>
      </c>
      <c r="C289">
        <v>42.043399999999998</v>
      </c>
      <c r="D289">
        <v>-124.2899</v>
      </c>
      <c r="E289" s="8">
        <v>45523</v>
      </c>
      <c r="F289">
        <v>2024</v>
      </c>
      <c r="G289" t="s">
        <v>66</v>
      </c>
      <c r="H289" t="s">
        <v>45</v>
      </c>
      <c r="I289">
        <v>2</v>
      </c>
      <c r="J289">
        <v>3</v>
      </c>
      <c r="K289" t="s">
        <v>47</v>
      </c>
      <c r="L289" s="23">
        <v>30</v>
      </c>
      <c r="M289" s="23">
        <v>2</v>
      </c>
      <c r="N289" s="23">
        <v>8</v>
      </c>
      <c r="O289" s="23">
        <v>20</v>
      </c>
      <c r="P289" s="23" t="s">
        <v>44</v>
      </c>
      <c r="Q289" s="23" t="s">
        <v>44</v>
      </c>
      <c r="R289" s="23" t="s">
        <v>44</v>
      </c>
      <c r="S289" s="22">
        <v>0</v>
      </c>
      <c r="T289" s="23">
        <v>0</v>
      </c>
      <c r="U289" s="23">
        <v>2</v>
      </c>
      <c r="V289" s="18">
        <v>4.3769999999999998</v>
      </c>
      <c r="W289" s="18">
        <v>4.3490000000000002</v>
      </c>
      <c r="X289" s="18">
        <v>5.0430000000000001</v>
      </c>
      <c r="Y289" s="18">
        <v>6.14</v>
      </c>
      <c r="Z289" s="18">
        <v>3.593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1">
        <f t="shared" si="42"/>
        <v>0</v>
      </c>
      <c r="AG289" s="32" t="s">
        <v>44</v>
      </c>
      <c r="AH289">
        <v>0</v>
      </c>
      <c r="AI289">
        <v>0</v>
      </c>
      <c r="AJ289">
        <v>0</v>
      </c>
      <c r="AK289">
        <v>0</v>
      </c>
      <c r="AL289">
        <v>44</v>
      </c>
      <c r="AM289">
        <v>1</v>
      </c>
      <c r="AN289">
        <v>0</v>
      </c>
      <c r="AO289">
        <v>0</v>
      </c>
      <c r="AP289">
        <v>55</v>
      </c>
      <c r="AQ289" s="21" t="e">
        <f t="shared" si="45"/>
        <v>#VALUE!</v>
      </c>
      <c r="AR289" s="12">
        <f t="shared" si="43"/>
        <v>100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 t="s">
        <v>44</v>
      </c>
      <c r="BF289" t="s">
        <v>44</v>
      </c>
      <c r="BG289" t="s">
        <v>44</v>
      </c>
      <c r="BH289" t="s">
        <v>44</v>
      </c>
      <c r="BI289" t="s">
        <v>44</v>
      </c>
      <c r="BJ289" t="s">
        <v>44</v>
      </c>
      <c r="BK289">
        <v>0</v>
      </c>
      <c r="BL289" s="6">
        <f t="shared" si="44"/>
        <v>0</v>
      </c>
      <c r="BM289" s="6">
        <f t="shared" si="41"/>
        <v>0</v>
      </c>
      <c r="BN289">
        <v>0</v>
      </c>
      <c r="BO289">
        <f t="shared" si="46"/>
        <v>0</v>
      </c>
      <c r="BP289">
        <v>0</v>
      </c>
      <c r="BQ289">
        <f>SUM(BP289,BB289,BK289)</f>
        <v>0</v>
      </c>
      <c r="BR289">
        <f t="shared" si="39"/>
        <v>0</v>
      </c>
    </row>
    <row r="290" spans="1:70" hidden="1">
      <c r="A290" s="16" t="str">
        <f t="shared" si="40"/>
        <v>CP_2024_UPZ_2_4</v>
      </c>
      <c r="B290" t="s">
        <v>50</v>
      </c>
      <c r="C290">
        <v>42.043399999999998</v>
      </c>
      <c r="D290">
        <v>-124.2899</v>
      </c>
      <c r="E290" s="8">
        <v>45523</v>
      </c>
      <c r="F290">
        <v>2024</v>
      </c>
      <c r="G290" t="s">
        <v>66</v>
      </c>
      <c r="H290" t="s">
        <v>45</v>
      </c>
      <c r="I290">
        <v>2</v>
      </c>
      <c r="J290">
        <v>4</v>
      </c>
      <c r="K290" t="s">
        <v>47</v>
      </c>
      <c r="L290" s="23">
        <v>19</v>
      </c>
      <c r="M290" s="23">
        <v>1</v>
      </c>
      <c r="N290" s="23">
        <v>10</v>
      </c>
      <c r="O290" s="23">
        <v>8</v>
      </c>
      <c r="P290" s="23" t="s">
        <v>44</v>
      </c>
      <c r="Q290" s="23" t="s">
        <v>44</v>
      </c>
      <c r="R290" s="23" t="s">
        <v>44</v>
      </c>
      <c r="S290" s="22">
        <v>0</v>
      </c>
      <c r="T290" s="23">
        <v>0</v>
      </c>
      <c r="U290" s="23">
        <v>1</v>
      </c>
      <c r="V290" s="18">
        <v>5.0629999999999997</v>
      </c>
      <c r="W290" s="18">
        <v>5.9690000000000003</v>
      </c>
      <c r="X290" s="18">
        <v>5.0839999999999996</v>
      </c>
      <c r="Y290" s="18">
        <v>6.4160000000000004</v>
      </c>
      <c r="Z290" s="18">
        <v>5.9939999999999998</v>
      </c>
      <c r="AA290" s="17">
        <v>0</v>
      </c>
      <c r="AB290" s="17">
        <v>1</v>
      </c>
      <c r="AC290" s="17">
        <v>0</v>
      </c>
      <c r="AD290" s="17">
        <v>0</v>
      </c>
      <c r="AE290" s="17">
        <v>0</v>
      </c>
      <c r="AF290" s="11">
        <f t="shared" si="42"/>
        <v>1</v>
      </c>
      <c r="AG290" s="32" t="s">
        <v>44</v>
      </c>
      <c r="AH290">
        <v>0</v>
      </c>
      <c r="AI290">
        <v>0</v>
      </c>
      <c r="AJ290">
        <v>0</v>
      </c>
      <c r="AK290">
        <v>0</v>
      </c>
      <c r="AL290">
        <v>34</v>
      </c>
      <c r="AM290">
        <v>12</v>
      </c>
      <c r="AN290">
        <v>5</v>
      </c>
      <c r="AO290">
        <v>7</v>
      </c>
      <c r="AP290">
        <v>42</v>
      </c>
      <c r="AQ290" s="21" t="e">
        <f t="shared" si="45"/>
        <v>#VALUE!</v>
      </c>
      <c r="AR290" s="12">
        <f t="shared" si="43"/>
        <v>100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44</v>
      </c>
      <c r="BF290" t="s">
        <v>44</v>
      </c>
      <c r="BG290" t="s">
        <v>44</v>
      </c>
      <c r="BH290" t="s">
        <v>44</v>
      </c>
      <c r="BI290" t="s">
        <v>44</v>
      </c>
      <c r="BJ290" t="s">
        <v>44</v>
      </c>
      <c r="BK290">
        <v>0</v>
      </c>
      <c r="BL290" s="6">
        <f t="shared" si="44"/>
        <v>0</v>
      </c>
      <c r="BM290" s="6">
        <f t="shared" si="41"/>
        <v>0</v>
      </c>
      <c r="BN290">
        <v>0</v>
      </c>
      <c r="BO290">
        <f t="shared" si="46"/>
        <v>0</v>
      </c>
      <c r="BP290">
        <v>0</v>
      </c>
      <c r="BQ290">
        <f>SUM(BP290,BB290,BK290)</f>
        <v>0</v>
      </c>
      <c r="BR290">
        <f t="shared" si="39"/>
        <v>0</v>
      </c>
    </row>
    <row r="291" spans="1:70" hidden="1">
      <c r="A291" s="16" t="str">
        <f t="shared" si="40"/>
        <v>CP_2024_UPZ_2_5</v>
      </c>
      <c r="B291" t="s">
        <v>50</v>
      </c>
      <c r="C291">
        <v>42.043399999999998</v>
      </c>
      <c r="D291">
        <v>-124.2899</v>
      </c>
      <c r="E291" s="8">
        <v>45523</v>
      </c>
      <c r="F291">
        <v>2024</v>
      </c>
      <c r="G291" t="s">
        <v>66</v>
      </c>
      <c r="H291" t="s">
        <v>45</v>
      </c>
      <c r="I291">
        <v>2</v>
      </c>
      <c r="J291">
        <v>5</v>
      </c>
      <c r="K291" t="s">
        <v>47</v>
      </c>
      <c r="L291" s="23">
        <v>18</v>
      </c>
      <c r="M291" s="23">
        <v>3</v>
      </c>
      <c r="N291" s="23">
        <v>8</v>
      </c>
      <c r="O291" s="23">
        <v>7</v>
      </c>
      <c r="P291" s="23" t="s">
        <v>44</v>
      </c>
      <c r="Q291" s="23" t="s">
        <v>44</v>
      </c>
      <c r="R291" s="23" t="s">
        <v>44</v>
      </c>
      <c r="S291" s="22">
        <v>0</v>
      </c>
      <c r="T291" s="23">
        <v>0</v>
      </c>
      <c r="U291" s="23">
        <v>3</v>
      </c>
      <c r="V291" s="18">
        <v>5.5940000000000003</v>
      </c>
      <c r="W291" s="18">
        <v>7.04</v>
      </c>
      <c r="X291" s="18">
        <v>6.8049999999999997</v>
      </c>
      <c r="Y291" s="18">
        <v>7.1639999999999997</v>
      </c>
      <c r="Z291" s="18">
        <v>3.129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1">
        <f t="shared" si="42"/>
        <v>0</v>
      </c>
      <c r="AG291" s="32" t="s">
        <v>44</v>
      </c>
      <c r="AH291">
        <v>0</v>
      </c>
      <c r="AI291">
        <v>0</v>
      </c>
      <c r="AJ291">
        <v>0</v>
      </c>
      <c r="AK291">
        <v>0</v>
      </c>
      <c r="AL291">
        <v>75</v>
      </c>
      <c r="AM291">
        <v>10</v>
      </c>
      <c r="AN291">
        <v>1</v>
      </c>
      <c r="AO291">
        <v>1</v>
      </c>
      <c r="AP291">
        <v>13</v>
      </c>
      <c r="AQ291" s="21" t="e">
        <f t="shared" si="45"/>
        <v>#VALUE!</v>
      </c>
      <c r="AR291" s="12">
        <f t="shared" si="43"/>
        <v>100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t="s">
        <v>44</v>
      </c>
      <c r="BF291" t="s">
        <v>44</v>
      </c>
      <c r="BG291" t="s">
        <v>44</v>
      </c>
      <c r="BH291" t="s">
        <v>44</v>
      </c>
      <c r="BI291" t="s">
        <v>44</v>
      </c>
      <c r="BJ291" t="s">
        <v>44</v>
      </c>
      <c r="BK291">
        <v>0</v>
      </c>
      <c r="BL291" s="6">
        <f t="shared" si="44"/>
        <v>0</v>
      </c>
      <c r="BM291" s="6">
        <f t="shared" si="41"/>
        <v>0</v>
      </c>
      <c r="BN291">
        <v>0</v>
      </c>
      <c r="BO291">
        <f t="shared" si="46"/>
        <v>0</v>
      </c>
      <c r="BP291">
        <v>0</v>
      </c>
      <c r="BQ291">
        <f>SUM(BP291,BB291,BK291)</f>
        <v>0</v>
      </c>
      <c r="BR291">
        <f t="shared" si="39"/>
        <v>0</v>
      </c>
    </row>
    <row r="292" spans="1:70" hidden="1">
      <c r="A292" s="16" t="str">
        <f t="shared" si="40"/>
        <v>CP_2024_NPZ_1_1</v>
      </c>
      <c r="B292" t="s">
        <v>50</v>
      </c>
      <c r="C292">
        <v>42.043399999999998</v>
      </c>
      <c r="D292">
        <v>-124.2899</v>
      </c>
      <c r="E292" s="8">
        <v>45523</v>
      </c>
      <c r="F292">
        <v>2024</v>
      </c>
      <c r="G292" t="s">
        <v>66</v>
      </c>
      <c r="H292" t="s">
        <v>48</v>
      </c>
      <c r="I292">
        <v>1</v>
      </c>
      <c r="J292">
        <v>1</v>
      </c>
      <c r="K292" t="s">
        <v>47</v>
      </c>
      <c r="L292" s="23">
        <v>23</v>
      </c>
      <c r="M292" s="23">
        <v>7</v>
      </c>
      <c r="N292" s="23">
        <v>10</v>
      </c>
      <c r="O292" s="23">
        <v>6</v>
      </c>
      <c r="P292" s="23" t="s">
        <v>44</v>
      </c>
      <c r="Q292" s="23" t="s">
        <v>44</v>
      </c>
      <c r="R292" s="23" t="s">
        <v>44</v>
      </c>
      <c r="S292" s="22">
        <v>0</v>
      </c>
      <c r="T292" s="23">
        <v>16</v>
      </c>
      <c r="U292" s="23">
        <f t="shared" ref="U292:U313" si="47">M292+T292</f>
        <v>23</v>
      </c>
      <c r="V292" s="18">
        <v>4.0739999999999998</v>
      </c>
      <c r="W292" s="18">
        <v>4.1779999999999999</v>
      </c>
      <c r="X292" s="18">
        <v>5.4370000000000003</v>
      </c>
      <c r="Y292" s="18">
        <v>4.0609999999999999</v>
      </c>
      <c r="Z292" s="18">
        <v>5.8639999999999999</v>
      </c>
      <c r="AA292" s="17">
        <v>0</v>
      </c>
      <c r="AB292" s="17">
        <v>1</v>
      </c>
      <c r="AC292" s="17">
        <v>0</v>
      </c>
      <c r="AD292" s="17">
        <v>0</v>
      </c>
      <c r="AE292" s="17">
        <v>0</v>
      </c>
      <c r="AF292" s="11">
        <f t="shared" si="42"/>
        <v>1</v>
      </c>
      <c r="AG292" s="32" t="s">
        <v>44</v>
      </c>
      <c r="AH292">
        <v>0</v>
      </c>
      <c r="AI292">
        <v>0</v>
      </c>
      <c r="AJ292">
        <v>0</v>
      </c>
      <c r="AK292">
        <v>0</v>
      </c>
      <c r="AL292">
        <v>19</v>
      </c>
      <c r="AM292">
        <v>2</v>
      </c>
      <c r="AN292">
        <v>3</v>
      </c>
      <c r="AO292">
        <v>0</v>
      </c>
      <c r="AP292">
        <v>76</v>
      </c>
      <c r="AQ292" s="21" t="e">
        <f t="shared" si="45"/>
        <v>#VALUE!</v>
      </c>
      <c r="AR292" s="12">
        <f t="shared" si="43"/>
        <v>100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t="s">
        <v>44</v>
      </c>
      <c r="BF292" t="s">
        <v>44</v>
      </c>
      <c r="BG292" t="s">
        <v>44</v>
      </c>
      <c r="BH292" t="s">
        <v>44</v>
      </c>
      <c r="BI292" t="s">
        <v>44</v>
      </c>
      <c r="BJ292" t="s">
        <v>44</v>
      </c>
      <c r="BK292">
        <v>0</v>
      </c>
      <c r="BL292" s="6">
        <f t="shared" si="44"/>
        <v>0</v>
      </c>
      <c r="BM292" s="6">
        <f t="shared" si="41"/>
        <v>0</v>
      </c>
      <c r="BN292">
        <v>0</v>
      </c>
      <c r="BO292">
        <f t="shared" si="46"/>
        <v>0</v>
      </c>
      <c r="BP292">
        <v>0</v>
      </c>
      <c r="BQ292">
        <f>SUM(BP292,BB292,BK292)</f>
        <v>0</v>
      </c>
      <c r="BR292">
        <f t="shared" si="39"/>
        <v>0</v>
      </c>
    </row>
    <row r="293" spans="1:70" hidden="1">
      <c r="A293" s="16" t="str">
        <f t="shared" si="40"/>
        <v>CP_2024_NPZ_1_2</v>
      </c>
      <c r="B293" t="s">
        <v>50</v>
      </c>
      <c r="C293">
        <v>42.043399999999998</v>
      </c>
      <c r="D293">
        <v>-124.2899</v>
      </c>
      <c r="E293" s="8">
        <v>45523</v>
      </c>
      <c r="F293">
        <v>2024</v>
      </c>
      <c r="G293" t="s">
        <v>66</v>
      </c>
      <c r="H293" t="s">
        <v>48</v>
      </c>
      <c r="I293">
        <v>1</v>
      </c>
      <c r="J293">
        <v>2</v>
      </c>
      <c r="K293" t="s">
        <v>47</v>
      </c>
      <c r="L293" s="23">
        <v>7</v>
      </c>
      <c r="M293" s="23">
        <v>0</v>
      </c>
      <c r="N293" s="23">
        <v>7</v>
      </c>
      <c r="O293" s="23">
        <v>0</v>
      </c>
      <c r="P293" s="23" t="s">
        <v>44</v>
      </c>
      <c r="Q293" s="23" t="s">
        <v>44</v>
      </c>
      <c r="R293" s="23" t="s">
        <v>44</v>
      </c>
      <c r="S293" s="22">
        <v>0</v>
      </c>
      <c r="T293" s="23">
        <v>2</v>
      </c>
      <c r="U293" s="23">
        <f t="shared" si="47"/>
        <v>2</v>
      </c>
      <c r="V293" s="18">
        <v>3.9119999999999999</v>
      </c>
      <c r="W293" s="18">
        <v>3.3730000000000002</v>
      </c>
      <c r="X293" s="18">
        <v>3.097</v>
      </c>
      <c r="Y293" s="18">
        <v>3.01</v>
      </c>
      <c r="Z293" s="18">
        <v>2.976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1">
        <f t="shared" si="42"/>
        <v>0</v>
      </c>
      <c r="AG293" s="32" t="s">
        <v>44</v>
      </c>
      <c r="AH293">
        <v>0</v>
      </c>
      <c r="AI293">
        <v>19</v>
      </c>
      <c r="AJ293">
        <v>0</v>
      </c>
      <c r="AK293">
        <v>0</v>
      </c>
      <c r="AL293">
        <v>2</v>
      </c>
      <c r="AM293">
        <v>0</v>
      </c>
      <c r="AN293">
        <v>9</v>
      </c>
      <c r="AO293">
        <v>0</v>
      </c>
      <c r="AP293">
        <v>70</v>
      </c>
      <c r="AQ293" s="21" t="e">
        <f t="shared" si="45"/>
        <v>#VALUE!</v>
      </c>
      <c r="AR293" s="12">
        <f t="shared" si="43"/>
        <v>100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t="s">
        <v>44</v>
      </c>
      <c r="BF293" t="s">
        <v>44</v>
      </c>
      <c r="BG293" t="s">
        <v>44</v>
      </c>
      <c r="BH293" t="s">
        <v>44</v>
      </c>
      <c r="BI293" t="s">
        <v>44</v>
      </c>
      <c r="BJ293" t="s">
        <v>44</v>
      </c>
      <c r="BK293">
        <v>0</v>
      </c>
      <c r="BL293" s="6">
        <f t="shared" si="44"/>
        <v>0</v>
      </c>
      <c r="BM293" s="6">
        <f t="shared" si="41"/>
        <v>0</v>
      </c>
      <c r="BN293">
        <v>19</v>
      </c>
      <c r="BO293">
        <f t="shared" si="46"/>
        <v>19</v>
      </c>
      <c r="BP293">
        <v>0</v>
      </c>
      <c r="BQ293">
        <f>SUM(BP293,BB293,BK293)</f>
        <v>0</v>
      </c>
      <c r="BR293">
        <f t="shared" si="39"/>
        <v>0</v>
      </c>
    </row>
    <row r="294" spans="1:70" hidden="1">
      <c r="A294" s="16" t="str">
        <f t="shared" si="40"/>
        <v>CP_2024_NPZ_1_3</v>
      </c>
      <c r="B294" t="s">
        <v>50</v>
      </c>
      <c r="C294">
        <v>42.043399999999998</v>
      </c>
      <c r="D294">
        <v>-124.2899</v>
      </c>
      <c r="E294" s="8">
        <v>45523</v>
      </c>
      <c r="F294">
        <v>2024</v>
      </c>
      <c r="G294" t="s">
        <v>66</v>
      </c>
      <c r="H294" t="s">
        <v>48</v>
      </c>
      <c r="I294">
        <v>1</v>
      </c>
      <c r="J294">
        <v>3</v>
      </c>
      <c r="K294" t="s">
        <v>47</v>
      </c>
      <c r="L294" s="23">
        <v>6</v>
      </c>
      <c r="M294" s="23">
        <v>0</v>
      </c>
      <c r="N294" s="23">
        <v>6</v>
      </c>
      <c r="O294" s="23">
        <v>0</v>
      </c>
      <c r="P294" s="23" t="s">
        <v>44</v>
      </c>
      <c r="Q294" s="23" t="s">
        <v>44</v>
      </c>
      <c r="R294" s="23" t="s">
        <v>44</v>
      </c>
      <c r="S294" s="22">
        <v>0</v>
      </c>
      <c r="T294" s="23">
        <v>0</v>
      </c>
      <c r="U294" s="23">
        <f t="shared" si="47"/>
        <v>0</v>
      </c>
      <c r="V294" s="18">
        <v>4.5439999999999996</v>
      </c>
      <c r="W294" s="18">
        <v>4.9710000000000001</v>
      </c>
      <c r="X294" s="18" t="s">
        <v>44</v>
      </c>
      <c r="Y294" s="18" t="s">
        <v>44</v>
      </c>
      <c r="Z294" s="18" t="s">
        <v>44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1">
        <f t="shared" si="42"/>
        <v>0</v>
      </c>
      <c r="AG294" s="32" t="s">
        <v>44</v>
      </c>
      <c r="AH294">
        <v>0</v>
      </c>
      <c r="AI294">
        <v>85</v>
      </c>
      <c r="AJ294">
        <v>0</v>
      </c>
      <c r="AK294">
        <v>0</v>
      </c>
      <c r="AL294">
        <v>7</v>
      </c>
      <c r="AM294">
        <v>0</v>
      </c>
      <c r="AN294">
        <v>0</v>
      </c>
      <c r="AO294">
        <v>0</v>
      </c>
      <c r="AP294">
        <v>8</v>
      </c>
      <c r="AQ294" s="21" t="e">
        <f t="shared" si="45"/>
        <v>#VALUE!</v>
      </c>
      <c r="AR294" s="12">
        <f t="shared" si="43"/>
        <v>100</v>
      </c>
      <c r="AS294">
        <v>0</v>
      </c>
      <c r="AT294">
        <v>0</v>
      </c>
      <c r="AU294">
        <v>0</v>
      </c>
      <c r="AV294">
        <v>64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 t="s">
        <v>44</v>
      </c>
      <c r="BF294" t="s">
        <v>44</v>
      </c>
      <c r="BG294" t="s">
        <v>44</v>
      </c>
      <c r="BH294" t="s">
        <v>44</v>
      </c>
      <c r="BI294" t="s">
        <v>44</v>
      </c>
      <c r="BJ294" t="s">
        <v>44</v>
      </c>
      <c r="BK294">
        <v>0</v>
      </c>
      <c r="BL294" s="6">
        <f t="shared" si="44"/>
        <v>65</v>
      </c>
      <c r="BM294" s="6">
        <f t="shared" si="41"/>
        <v>65</v>
      </c>
      <c r="BN294">
        <v>85</v>
      </c>
      <c r="BO294">
        <f t="shared" si="46"/>
        <v>85</v>
      </c>
      <c r="BP294">
        <v>0</v>
      </c>
      <c r="BQ294">
        <f>SUM(BP294,BB294,BK294)</f>
        <v>0</v>
      </c>
      <c r="BR294">
        <f t="shared" si="39"/>
        <v>0</v>
      </c>
    </row>
    <row r="295" spans="1:70">
      <c r="A295" s="16" t="str">
        <f t="shared" si="40"/>
        <v>CP_2024_NPZ_1_4</v>
      </c>
      <c r="B295" t="s">
        <v>50</v>
      </c>
      <c r="C295">
        <v>42.043399999999998</v>
      </c>
      <c r="D295">
        <v>-124.2899</v>
      </c>
      <c r="E295" s="8">
        <v>45523</v>
      </c>
      <c r="F295">
        <v>2024</v>
      </c>
      <c r="G295" t="s">
        <v>66</v>
      </c>
      <c r="H295" t="s">
        <v>48</v>
      </c>
      <c r="I295">
        <v>1</v>
      </c>
      <c r="J295">
        <v>4</v>
      </c>
      <c r="K295" t="s">
        <v>47</v>
      </c>
      <c r="L295" s="23">
        <v>6</v>
      </c>
      <c r="M295" s="23">
        <v>0</v>
      </c>
      <c r="N295" s="23">
        <v>6</v>
      </c>
      <c r="O295" s="23">
        <v>0</v>
      </c>
      <c r="P295" s="23" t="s">
        <v>44</v>
      </c>
      <c r="Q295" s="23" t="s">
        <v>44</v>
      </c>
      <c r="R295" s="23" t="s">
        <v>44</v>
      </c>
      <c r="S295" s="22">
        <v>0</v>
      </c>
      <c r="T295" s="23">
        <v>0</v>
      </c>
      <c r="U295" s="23">
        <f t="shared" si="47"/>
        <v>0</v>
      </c>
      <c r="V295" s="18">
        <v>6.1790000000000003</v>
      </c>
      <c r="W295" s="18" t="s">
        <v>44</v>
      </c>
      <c r="X295" s="18" t="s">
        <v>44</v>
      </c>
      <c r="Y295" s="18" t="s">
        <v>44</v>
      </c>
      <c r="Z295" s="18" t="s">
        <v>44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1">
        <f t="shared" si="42"/>
        <v>0</v>
      </c>
      <c r="AG295" s="32"/>
      <c r="AH295">
        <v>6</v>
      </c>
      <c r="AI295">
        <v>76</v>
      </c>
      <c r="AJ295">
        <v>0</v>
      </c>
      <c r="AK295">
        <v>0</v>
      </c>
      <c r="AL295">
        <v>13</v>
      </c>
      <c r="AM295">
        <v>1</v>
      </c>
      <c r="AN295">
        <v>1</v>
      </c>
      <c r="AO295">
        <v>0</v>
      </c>
      <c r="AP295">
        <v>3</v>
      </c>
      <c r="AQ295" s="21">
        <f t="shared" si="45"/>
        <v>3</v>
      </c>
      <c r="AR295" s="12">
        <f t="shared" si="43"/>
        <v>100</v>
      </c>
      <c r="AS295">
        <v>0</v>
      </c>
      <c r="AT295">
        <v>0</v>
      </c>
      <c r="AU295">
        <v>0</v>
      </c>
      <c r="AV295">
        <v>60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</v>
      </c>
      <c r="BC295">
        <v>0</v>
      </c>
      <c r="BD295">
        <v>0</v>
      </c>
      <c r="BE295" t="s">
        <v>44</v>
      </c>
      <c r="BF295" t="s">
        <v>44</v>
      </c>
      <c r="BG295" t="s">
        <v>44</v>
      </c>
      <c r="BH295" t="s">
        <v>44</v>
      </c>
      <c r="BI295" t="s">
        <v>44</v>
      </c>
      <c r="BJ295" t="s">
        <v>44</v>
      </c>
      <c r="BK295">
        <v>0</v>
      </c>
      <c r="BL295" s="6">
        <f t="shared" si="44"/>
        <v>60</v>
      </c>
      <c r="BM295" s="6">
        <f t="shared" si="41"/>
        <v>63</v>
      </c>
      <c r="BN295">
        <v>82</v>
      </c>
      <c r="BO295">
        <f t="shared" si="46"/>
        <v>82</v>
      </c>
      <c r="BP295">
        <v>0</v>
      </c>
    </row>
    <row r="296" spans="1:70" hidden="1">
      <c r="A296" s="16" t="str">
        <f t="shared" si="40"/>
        <v>CP_2024_NPZ_1_5</v>
      </c>
      <c r="B296" t="s">
        <v>50</v>
      </c>
      <c r="C296">
        <v>42.043399999999998</v>
      </c>
      <c r="D296">
        <v>-124.2899</v>
      </c>
      <c r="E296" s="8">
        <v>45523</v>
      </c>
      <c r="F296">
        <v>2024</v>
      </c>
      <c r="G296" t="s">
        <v>66</v>
      </c>
      <c r="H296" t="s">
        <v>48</v>
      </c>
      <c r="I296">
        <v>1</v>
      </c>
      <c r="J296">
        <v>5</v>
      </c>
      <c r="K296" t="s">
        <v>47</v>
      </c>
      <c r="L296" s="23">
        <v>37</v>
      </c>
      <c r="M296" s="23">
        <v>0</v>
      </c>
      <c r="N296" s="23">
        <v>37</v>
      </c>
      <c r="O296" s="23">
        <v>0</v>
      </c>
      <c r="P296" s="23" t="s">
        <v>44</v>
      </c>
      <c r="Q296" s="23" t="s">
        <v>44</v>
      </c>
      <c r="R296" s="23" t="s">
        <v>44</v>
      </c>
      <c r="S296" s="22">
        <v>0</v>
      </c>
      <c r="T296" s="23">
        <v>0</v>
      </c>
      <c r="U296" s="23">
        <f t="shared" si="47"/>
        <v>0</v>
      </c>
      <c r="V296" s="18">
        <v>3.2519999999999998</v>
      </c>
      <c r="W296" s="18">
        <v>2.9510000000000001</v>
      </c>
      <c r="X296" s="18">
        <v>3.4380000000000002</v>
      </c>
      <c r="Y296" s="18">
        <v>3.9020000000000001</v>
      </c>
      <c r="Z296" s="18">
        <v>3.915</v>
      </c>
      <c r="AA296" s="17">
        <v>0</v>
      </c>
      <c r="AB296" s="17">
        <v>1</v>
      </c>
      <c r="AC296" s="17">
        <v>0</v>
      </c>
      <c r="AD296" s="17">
        <v>1</v>
      </c>
      <c r="AE296" s="17">
        <v>0</v>
      </c>
      <c r="AF296" s="11">
        <f t="shared" si="42"/>
        <v>2</v>
      </c>
      <c r="AG296" s="32" t="s">
        <v>44</v>
      </c>
      <c r="AH296">
        <v>0</v>
      </c>
      <c r="AI296">
        <v>78</v>
      </c>
      <c r="AJ296">
        <v>0</v>
      </c>
      <c r="AK296">
        <v>0</v>
      </c>
      <c r="AL296">
        <v>6</v>
      </c>
      <c r="AM296">
        <v>1</v>
      </c>
      <c r="AN296">
        <v>2</v>
      </c>
      <c r="AO296">
        <v>0</v>
      </c>
      <c r="AP296">
        <v>13</v>
      </c>
      <c r="AQ296" s="21" t="e">
        <f t="shared" si="45"/>
        <v>#VALUE!</v>
      </c>
      <c r="AR296" s="12">
        <f t="shared" si="43"/>
        <v>100</v>
      </c>
      <c r="AS296">
        <v>0</v>
      </c>
      <c r="AT296">
        <v>0</v>
      </c>
      <c r="AU296">
        <v>0</v>
      </c>
      <c r="AV296">
        <v>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s">
        <v>44</v>
      </c>
      <c r="BF296" t="s">
        <v>44</v>
      </c>
      <c r="BG296" t="s">
        <v>44</v>
      </c>
      <c r="BH296" t="s">
        <v>44</v>
      </c>
      <c r="BI296" t="s">
        <v>44</v>
      </c>
      <c r="BJ296" t="s">
        <v>44</v>
      </c>
      <c r="BK296">
        <v>0</v>
      </c>
      <c r="BL296" s="6">
        <f t="shared" si="44"/>
        <v>55</v>
      </c>
      <c r="BM296" s="6">
        <f t="shared" si="41"/>
        <v>55</v>
      </c>
      <c r="BN296">
        <v>78</v>
      </c>
      <c r="BO296">
        <f t="shared" si="46"/>
        <v>78</v>
      </c>
      <c r="BP296">
        <v>0</v>
      </c>
      <c r="BQ296">
        <f>SUM(BP296,BB296,BK296)</f>
        <v>0</v>
      </c>
      <c r="BR296">
        <f t="shared" si="39"/>
        <v>0</v>
      </c>
    </row>
    <row r="297" spans="1:70" hidden="1">
      <c r="A297" s="16" t="str">
        <f t="shared" si="40"/>
        <v>CP_2024_NPZ_2_1</v>
      </c>
      <c r="B297" t="s">
        <v>50</v>
      </c>
      <c r="C297">
        <v>42.043399999999998</v>
      </c>
      <c r="D297">
        <v>-124.2899</v>
      </c>
      <c r="E297" s="8">
        <v>45523</v>
      </c>
      <c r="F297">
        <v>2024</v>
      </c>
      <c r="G297" t="s">
        <v>66</v>
      </c>
      <c r="H297" t="s">
        <v>48</v>
      </c>
      <c r="I297">
        <v>2</v>
      </c>
      <c r="J297">
        <v>1</v>
      </c>
      <c r="K297" t="s">
        <v>47</v>
      </c>
      <c r="L297" s="23">
        <v>6</v>
      </c>
      <c r="M297" s="23">
        <v>0</v>
      </c>
      <c r="N297" s="23">
        <v>5</v>
      </c>
      <c r="O297" s="23">
        <v>1</v>
      </c>
      <c r="P297" s="23" t="s">
        <v>44</v>
      </c>
      <c r="Q297" s="23" t="s">
        <v>44</v>
      </c>
      <c r="R297" s="23" t="s">
        <v>44</v>
      </c>
      <c r="S297" s="22">
        <v>0</v>
      </c>
      <c r="T297" s="23">
        <v>0</v>
      </c>
      <c r="U297" s="23">
        <f t="shared" si="47"/>
        <v>0</v>
      </c>
      <c r="V297" s="18">
        <v>6.7160000000000002</v>
      </c>
      <c r="W297" s="18">
        <v>5.9</v>
      </c>
      <c r="X297" s="18">
        <v>5.9889999999999999</v>
      </c>
      <c r="Y297" s="18">
        <v>5.37</v>
      </c>
      <c r="Z297" s="18">
        <v>3.77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1">
        <f t="shared" si="42"/>
        <v>0</v>
      </c>
      <c r="AG297" s="32" t="s">
        <v>44</v>
      </c>
      <c r="AH297">
        <v>0</v>
      </c>
      <c r="AI297">
        <v>27</v>
      </c>
      <c r="AJ297">
        <v>0</v>
      </c>
      <c r="AK297">
        <v>0</v>
      </c>
      <c r="AL297">
        <v>32</v>
      </c>
      <c r="AM297">
        <v>19</v>
      </c>
      <c r="AN297">
        <v>4</v>
      </c>
      <c r="AO297">
        <v>0</v>
      </c>
      <c r="AP297">
        <v>18</v>
      </c>
      <c r="AQ297" s="21" t="e">
        <f t="shared" si="45"/>
        <v>#VALUE!</v>
      </c>
      <c r="AR297" s="12">
        <f t="shared" si="43"/>
        <v>100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 t="s">
        <v>44</v>
      </c>
      <c r="BF297" t="s">
        <v>44</v>
      </c>
      <c r="BG297" t="s">
        <v>44</v>
      </c>
      <c r="BH297" t="s">
        <v>44</v>
      </c>
      <c r="BI297" t="s">
        <v>44</v>
      </c>
      <c r="BJ297" t="s">
        <v>44</v>
      </c>
      <c r="BK297">
        <v>0</v>
      </c>
      <c r="BL297" s="6">
        <f t="shared" si="44"/>
        <v>12</v>
      </c>
      <c r="BM297" s="6">
        <f t="shared" si="41"/>
        <v>12</v>
      </c>
      <c r="BN297">
        <v>27</v>
      </c>
      <c r="BO297">
        <f t="shared" si="46"/>
        <v>27</v>
      </c>
      <c r="BP297">
        <v>0</v>
      </c>
      <c r="BQ297">
        <f>SUM(BP297,BB297,BK297)</f>
        <v>0</v>
      </c>
      <c r="BR297">
        <f t="shared" si="39"/>
        <v>0</v>
      </c>
    </row>
    <row r="298" spans="1:70" hidden="1">
      <c r="A298" s="16" t="str">
        <f t="shared" si="40"/>
        <v>CP_2024_NPZ_2_2</v>
      </c>
      <c r="B298" t="s">
        <v>50</v>
      </c>
      <c r="C298">
        <v>42.043399999999998</v>
      </c>
      <c r="D298">
        <v>-124.2899</v>
      </c>
      <c r="E298" s="8">
        <v>45523</v>
      </c>
      <c r="F298">
        <v>2024</v>
      </c>
      <c r="G298" t="s">
        <v>66</v>
      </c>
      <c r="H298" t="s">
        <v>48</v>
      </c>
      <c r="I298">
        <v>2</v>
      </c>
      <c r="J298">
        <v>2</v>
      </c>
      <c r="K298" t="s">
        <v>47</v>
      </c>
      <c r="L298" s="23">
        <v>25</v>
      </c>
      <c r="M298" s="23">
        <v>0</v>
      </c>
      <c r="N298" s="23">
        <v>16</v>
      </c>
      <c r="O298" s="23">
        <v>9</v>
      </c>
      <c r="P298" s="23" t="s">
        <v>44</v>
      </c>
      <c r="Q298" s="23" t="s">
        <v>44</v>
      </c>
      <c r="R298" s="23" t="s">
        <v>44</v>
      </c>
      <c r="S298" s="22">
        <v>0</v>
      </c>
      <c r="T298" s="23">
        <v>0</v>
      </c>
      <c r="U298" s="23">
        <f t="shared" si="47"/>
        <v>0</v>
      </c>
      <c r="V298" s="18">
        <v>4.0999999999999996</v>
      </c>
      <c r="W298" s="18">
        <v>4.2</v>
      </c>
      <c r="X298" s="18">
        <v>5</v>
      </c>
      <c r="Y298" s="18">
        <v>6.3</v>
      </c>
      <c r="Z298" s="18">
        <v>5.8</v>
      </c>
      <c r="AA298" s="17">
        <v>1</v>
      </c>
      <c r="AB298" s="17">
        <v>0</v>
      </c>
      <c r="AC298" s="17">
        <v>0</v>
      </c>
      <c r="AD298" s="17">
        <v>0</v>
      </c>
      <c r="AE298" s="17">
        <v>0</v>
      </c>
      <c r="AF298" s="11">
        <f t="shared" si="42"/>
        <v>1</v>
      </c>
      <c r="AG298" s="32" t="s">
        <v>44</v>
      </c>
      <c r="AH298">
        <v>0</v>
      </c>
      <c r="AI298">
        <v>0</v>
      </c>
      <c r="AJ298">
        <v>0</v>
      </c>
      <c r="AK298">
        <v>0</v>
      </c>
      <c r="AL298">
        <v>20</v>
      </c>
      <c r="AM298">
        <v>5</v>
      </c>
      <c r="AN298">
        <v>5</v>
      </c>
      <c r="AO298">
        <v>0</v>
      </c>
      <c r="AP298">
        <v>70</v>
      </c>
      <c r="AQ298" s="21" t="e">
        <f t="shared" si="45"/>
        <v>#VALUE!</v>
      </c>
      <c r="AR298" s="12">
        <f t="shared" si="43"/>
        <v>100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t="s">
        <v>44</v>
      </c>
      <c r="BF298" t="s">
        <v>44</v>
      </c>
      <c r="BG298" t="s">
        <v>44</v>
      </c>
      <c r="BH298" t="s">
        <v>44</v>
      </c>
      <c r="BI298" t="s">
        <v>44</v>
      </c>
      <c r="BJ298" t="s">
        <v>44</v>
      </c>
      <c r="BK298">
        <v>0</v>
      </c>
      <c r="BL298" s="6">
        <f t="shared" si="44"/>
        <v>0</v>
      </c>
      <c r="BM298" s="6">
        <f t="shared" si="41"/>
        <v>0</v>
      </c>
      <c r="BN298">
        <v>0</v>
      </c>
      <c r="BO298">
        <f t="shared" si="46"/>
        <v>0</v>
      </c>
      <c r="BP298">
        <v>0</v>
      </c>
      <c r="BQ298">
        <f>SUM(BP298,BB298,BK298)</f>
        <v>0</v>
      </c>
      <c r="BR298">
        <f t="shared" si="39"/>
        <v>0</v>
      </c>
    </row>
    <row r="299" spans="1:70" hidden="1">
      <c r="A299" s="16" t="str">
        <f t="shared" si="40"/>
        <v>CP_2024_NPZ_2_3</v>
      </c>
      <c r="B299" t="s">
        <v>50</v>
      </c>
      <c r="C299">
        <v>42.043399999999998</v>
      </c>
      <c r="D299">
        <v>-124.2899</v>
      </c>
      <c r="E299" s="8">
        <v>45523</v>
      </c>
      <c r="F299">
        <v>2024</v>
      </c>
      <c r="G299" t="s">
        <v>66</v>
      </c>
      <c r="H299" t="s">
        <v>48</v>
      </c>
      <c r="I299">
        <v>2</v>
      </c>
      <c r="J299">
        <v>3</v>
      </c>
      <c r="K299" t="s">
        <v>47</v>
      </c>
      <c r="L299" s="23">
        <v>12</v>
      </c>
      <c r="M299" s="23">
        <v>0</v>
      </c>
      <c r="N299" s="23">
        <v>12</v>
      </c>
      <c r="O299" s="23">
        <v>0</v>
      </c>
      <c r="P299" s="23" t="s">
        <v>44</v>
      </c>
      <c r="Q299" s="23" t="s">
        <v>44</v>
      </c>
      <c r="R299" s="23" t="s">
        <v>44</v>
      </c>
      <c r="S299" s="22">
        <v>0</v>
      </c>
      <c r="T299" s="23">
        <v>0</v>
      </c>
      <c r="U299" s="23">
        <f t="shared" si="47"/>
        <v>0</v>
      </c>
      <c r="V299" s="18">
        <v>4.665</v>
      </c>
      <c r="W299" s="18">
        <v>3.8140000000000001</v>
      </c>
      <c r="X299" s="18">
        <v>2.5960000000000001</v>
      </c>
      <c r="Y299" s="18">
        <v>3.113</v>
      </c>
      <c r="Z299" s="18">
        <v>4.2610000000000001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1">
        <f t="shared" si="42"/>
        <v>0</v>
      </c>
      <c r="AG299" s="32" t="s">
        <v>44</v>
      </c>
      <c r="AH299">
        <v>1</v>
      </c>
      <c r="AI299">
        <v>65</v>
      </c>
      <c r="AJ299">
        <v>0</v>
      </c>
      <c r="AK299">
        <v>0</v>
      </c>
      <c r="AL299">
        <v>17</v>
      </c>
      <c r="AM299">
        <v>3</v>
      </c>
      <c r="AN299">
        <v>2</v>
      </c>
      <c r="AO299">
        <v>0</v>
      </c>
      <c r="AP299">
        <v>12</v>
      </c>
      <c r="AQ299" s="21" t="e">
        <f t="shared" si="45"/>
        <v>#VALUE!</v>
      </c>
      <c r="AR299" s="12">
        <f t="shared" si="43"/>
        <v>100</v>
      </c>
      <c r="AS299">
        <v>1</v>
      </c>
      <c r="AT299">
        <v>2</v>
      </c>
      <c r="AU299">
        <v>0</v>
      </c>
      <c r="AV299">
        <v>0</v>
      </c>
      <c r="AW299">
        <v>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44</v>
      </c>
      <c r="BF299" t="s">
        <v>44</v>
      </c>
      <c r="BG299" t="s">
        <v>44</v>
      </c>
      <c r="BH299" t="s">
        <v>44</v>
      </c>
      <c r="BI299" t="s">
        <v>44</v>
      </c>
      <c r="BJ299" t="s">
        <v>44</v>
      </c>
      <c r="BK299">
        <v>0</v>
      </c>
      <c r="BL299" s="6">
        <f t="shared" si="44"/>
        <v>12</v>
      </c>
      <c r="BM299" s="6">
        <f t="shared" si="41"/>
        <v>12</v>
      </c>
      <c r="BN299">
        <v>65</v>
      </c>
      <c r="BO299">
        <f t="shared" si="46"/>
        <v>65</v>
      </c>
      <c r="BP299">
        <v>0</v>
      </c>
      <c r="BQ299">
        <f>SUM(BP299,BB299,BK299)</f>
        <v>0</v>
      </c>
      <c r="BR299">
        <f t="shared" si="39"/>
        <v>0</v>
      </c>
    </row>
    <row r="300" spans="1:70" hidden="1">
      <c r="A300" s="16" t="str">
        <f t="shared" si="40"/>
        <v>CP_2024_NPZ_2_4</v>
      </c>
      <c r="B300" t="s">
        <v>50</v>
      </c>
      <c r="C300">
        <v>42.043399999999998</v>
      </c>
      <c r="D300">
        <v>-124.2899</v>
      </c>
      <c r="E300" s="8">
        <v>45523</v>
      </c>
      <c r="F300">
        <v>2024</v>
      </c>
      <c r="G300" t="s">
        <v>66</v>
      </c>
      <c r="H300" t="s">
        <v>48</v>
      </c>
      <c r="I300">
        <v>2</v>
      </c>
      <c r="J300">
        <v>4</v>
      </c>
      <c r="K300" t="s">
        <v>47</v>
      </c>
      <c r="L300" s="23">
        <v>7</v>
      </c>
      <c r="M300" s="23">
        <v>0</v>
      </c>
      <c r="N300" s="23">
        <v>6</v>
      </c>
      <c r="O300" s="23">
        <v>1</v>
      </c>
      <c r="P300" s="23" t="s">
        <v>44</v>
      </c>
      <c r="Q300" s="23" t="s">
        <v>44</v>
      </c>
      <c r="R300" s="23" t="s">
        <v>44</v>
      </c>
      <c r="S300" s="22">
        <v>0</v>
      </c>
      <c r="T300" s="23">
        <v>0</v>
      </c>
      <c r="U300" s="23">
        <f t="shared" si="47"/>
        <v>0</v>
      </c>
      <c r="V300" s="18">
        <v>3.2850000000000001</v>
      </c>
      <c r="W300" s="18">
        <v>3.472</v>
      </c>
      <c r="X300" s="18">
        <v>2.7639999999999998</v>
      </c>
      <c r="Y300" s="18" t="s">
        <v>44</v>
      </c>
      <c r="Z300" s="18" t="s">
        <v>44</v>
      </c>
      <c r="AA300" s="17">
        <v>0</v>
      </c>
      <c r="AB300" s="17">
        <v>1</v>
      </c>
      <c r="AC300" s="17">
        <v>0</v>
      </c>
      <c r="AD300" s="17">
        <v>0</v>
      </c>
      <c r="AE300" s="17">
        <v>0</v>
      </c>
      <c r="AF300" s="11">
        <f t="shared" si="42"/>
        <v>1</v>
      </c>
      <c r="AG300" s="32" t="s">
        <v>44</v>
      </c>
      <c r="AH300">
        <v>0</v>
      </c>
      <c r="AI300">
        <v>0</v>
      </c>
      <c r="AJ300">
        <v>0</v>
      </c>
      <c r="AK300">
        <v>0</v>
      </c>
      <c r="AL300">
        <v>27</v>
      </c>
      <c r="AM300">
        <v>15</v>
      </c>
      <c r="AN300">
        <v>5</v>
      </c>
      <c r="AO300">
        <v>0</v>
      </c>
      <c r="AP300">
        <v>53</v>
      </c>
      <c r="AQ300" s="21" t="e">
        <f t="shared" si="45"/>
        <v>#VALUE!</v>
      </c>
      <c r="AR300" s="12">
        <f t="shared" si="43"/>
        <v>100</v>
      </c>
      <c r="AS300">
        <v>0</v>
      </c>
      <c r="AT300">
        <v>17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t="s">
        <v>44</v>
      </c>
      <c r="BF300" t="s">
        <v>44</v>
      </c>
      <c r="BG300" t="s">
        <v>44</v>
      </c>
      <c r="BH300" t="s">
        <v>44</v>
      </c>
      <c r="BI300" t="s">
        <v>44</v>
      </c>
      <c r="BJ300" t="s">
        <v>44</v>
      </c>
      <c r="BK300">
        <v>0</v>
      </c>
      <c r="BL300" s="6">
        <f t="shared" si="44"/>
        <v>17</v>
      </c>
      <c r="BM300" s="6">
        <f t="shared" si="41"/>
        <v>17</v>
      </c>
      <c r="BN300">
        <v>0</v>
      </c>
      <c r="BO300">
        <f t="shared" si="46"/>
        <v>0</v>
      </c>
      <c r="BP300">
        <v>0</v>
      </c>
      <c r="BQ300">
        <f>SUM(BP300,BB300,BK300)</f>
        <v>0</v>
      </c>
      <c r="BR300">
        <f t="shared" si="39"/>
        <v>0</v>
      </c>
    </row>
    <row r="301" spans="1:70" hidden="1">
      <c r="A301" s="16" t="str">
        <f t="shared" si="40"/>
        <v>CP_2024_NPZ_2_5</v>
      </c>
      <c r="B301" t="s">
        <v>50</v>
      </c>
      <c r="C301">
        <v>42.043399999999998</v>
      </c>
      <c r="D301">
        <v>-124.2899</v>
      </c>
      <c r="E301" s="8">
        <v>45523</v>
      </c>
      <c r="F301">
        <v>2024</v>
      </c>
      <c r="G301" t="s">
        <v>66</v>
      </c>
      <c r="H301" t="s">
        <v>48</v>
      </c>
      <c r="I301">
        <v>2</v>
      </c>
      <c r="J301">
        <v>5</v>
      </c>
      <c r="K301" t="s">
        <v>47</v>
      </c>
      <c r="L301" s="23">
        <v>2</v>
      </c>
      <c r="M301" s="23">
        <v>0</v>
      </c>
      <c r="N301" s="23">
        <v>1</v>
      </c>
      <c r="O301" s="23">
        <v>1</v>
      </c>
      <c r="P301" s="23" t="s">
        <v>44</v>
      </c>
      <c r="Q301" s="23" t="s">
        <v>44</v>
      </c>
      <c r="R301" s="23" t="s">
        <v>44</v>
      </c>
      <c r="S301" s="22">
        <v>0</v>
      </c>
      <c r="T301" s="23">
        <v>0</v>
      </c>
      <c r="U301" s="23">
        <f t="shared" si="47"/>
        <v>0</v>
      </c>
      <c r="V301" s="18">
        <v>5.4349999999999996</v>
      </c>
      <c r="W301" s="18" t="s">
        <v>44</v>
      </c>
      <c r="X301" s="18" t="s">
        <v>44</v>
      </c>
      <c r="Y301" s="18" t="s">
        <v>44</v>
      </c>
      <c r="Z301" s="18" t="s">
        <v>44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1">
        <f t="shared" si="42"/>
        <v>0</v>
      </c>
      <c r="AG301" s="32" t="s">
        <v>44</v>
      </c>
      <c r="AH301">
        <v>2</v>
      </c>
      <c r="AI301">
        <v>31</v>
      </c>
      <c r="AJ301">
        <v>0</v>
      </c>
      <c r="AK301">
        <v>0</v>
      </c>
      <c r="AL301">
        <v>32</v>
      </c>
      <c r="AM301">
        <v>6</v>
      </c>
      <c r="AN301">
        <v>0</v>
      </c>
      <c r="AO301">
        <v>0</v>
      </c>
      <c r="AP301">
        <v>29</v>
      </c>
      <c r="AQ301" s="21" t="e">
        <f t="shared" si="45"/>
        <v>#VALUE!</v>
      </c>
      <c r="AR301" s="12">
        <f t="shared" si="43"/>
        <v>100</v>
      </c>
      <c r="AS301">
        <v>0</v>
      </c>
      <c r="AT301">
        <v>18</v>
      </c>
      <c r="AU301">
        <v>0</v>
      </c>
      <c r="AV301">
        <v>0</v>
      </c>
      <c r="AW301">
        <v>0</v>
      </c>
      <c r="AX301">
        <v>16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t="s">
        <v>44</v>
      </c>
      <c r="BF301" t="s">
        <v>44</v>
      </c>
      <c r="BG301" t="s">
        <v>44</v>
      </c>
      <c r="BH301" t="s">
        <v>44</v>
      </c>
      <c r="BI301" t="s">
        <v>44</v>
      </c>
      <c r="BJ301" t="s">
        <v>44</v>
      </c>
      <c r="BK301">
        <v>0</v>
      </c>
      <c r="BL301" s="6">
        <f t="shared" si="44"/>
        <v>34</v>
      </c>
      <c r="BM301" s="6">
        <f t="shared" si="41"/>
        <v>34</v>
      </c>
      <c r="BN301">
        <v>31</v>
      </c>
      <c r="BO301">
        <f t="shared" si="46"/>
        <v>31</v>
      </c>
      <c r="BP301">
        <v>0</v>
      </c>
      <c r="BQ301">
        <f>SUM(BP301,BB301,BK301)</f>
        <v>0</v>
      </c>
      <c r="BR301">
        <f t="shared" si="39"/>
        <v>0</v>
      </c>
    </row>
    <row r="302" spans="1:70" hidden="1">
      <c r="A302" s="16" t="str">
        <f t="shared" si="40"/>
        <v>BB_2024_AZ_1_1</v>
      </c>
      <c r="B302" t="s">
        <v>67</v>
      </c>
      <c r="C302">
        <v>44.830300000000001</v>
      </c>
      <c r="D302">
        <v>-124.0607</v>
      </c>
      <c r="E302" s="8">
        <v>45481</v>
      </c>
      <c r="F302">
        <v>2024</v>
      </c>
      <c r="G302" t="s">
        <v>64</v>
      </c>
      <c r="H302" t="s">
        <v>42</v>
      </c>
      <c r="I302">
        <v>1</v>
      </c>
      <c r="J302">
        <v>1</v>
      </c>
      <c r="K302" t="s">
        <v>43</v>
      </c>
      <c r="L302" s="23">
        <v>0</v>
      </c>
      <c r="M302" s="23">
        <v>0</v>
      </c>
      <c r="N302" s="23">
        <v>0</v>
      </c>
      <c r="O302" s="23">
        <v>0</v>
      </c>
      <c r="P302" s="23">
        <v>1</v>
      </c>
      <c r="Q302" s="23" t="s">
        <v>44</v>
      </c>
      <c r="R302" s="23" t="s">
        <v>44</v>
      </c>
      <c r="S302" s="22">
        <v>0</v>
      </c>
      <c r="T302" s="23">
        <v>0</v>
      </c>
      <c r="U302" s="23">
        <f t="shared" si="47"/>
        <v>0</v>
      </c>
      <c r="V302" s="18" t="s">
        <v>44</v>
      </c>
      <c r="W302" s="18" t="s">
        <v>44</v>
      </c>
      <c r="X302" s="18" t="s">
        <v>44</v>
      </c>
      <c r="Y302" s="18" t="s">
        <v>44</v>
      </c>
      <c r="Z302" s="18" t="s">
        <v>44</v>
      </c>
      <c r="AA302" s="11" t="s">
        <v>44</v>
      </c>
      <c r="AB302" s="11" t="s">
        <v>44</v>
      </c>
      <c r="AC302" s="11" t="s">
        <v>44</v>
      </c>
      <c r="AD302" s="11" t="s">
        <v>44</v>
      </c>
      <c r="AE302" s="11" t="s">
        <v>44</v>
      </c>
      <c r="AF302" s="11" t="s">
        <v>44</v>
      </c>
      <c r="AG302" s="32">
        <v>0</v>
      </c>
      <c r="AH302">
        <v>15</v>
      </c>
      <c r="AI302">
        <v>20</v>
      </c>
      <c r="AJ302">
        <v>0</v>
      </c>
      <c r="AK302">
        <v>1</v>
      </c>
      <c r="AL302">
        <v>60</v>
      </c>
      <c r="AM302">
        <v>2</v>
      </c>
      <c r="AN302">
        <v>1</v>
      </c>
      <c r="AO302">
        <v>0</v>
      </c>
      <c r="AP302">
        <v>1</v>
      </c>
      <c r="AQ302" s="21">
        <f t="shared" si="45"/>
        <v>1</v>
      </c>
      <c r="AR302" s="12">
        <f t="shared" si="43"/>
        <v>100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26</v>
      </c>
      <c r="BA302">
        <v>0</v>
      </c>
      <c r="BB302">
        <v>0</v>
      </c>
      <c r="BC302">
        <v>78</v>
      </c>
      <c r="BD302">
        <v>0</v>
      </c>
      <c r="BE302" t="s">
        <v>44</v>
      </c>
      <c r="BF302" t="s">
        <v>44</v>
      </c>
      <c r="BG302" t="s">
        <v>44</v>
      </c>
      <c r="BH302" t="s">
        <v>44</v>
      </c>
      <c r="BI302" t="s">
        <v>44</v>
      </c>
      <c r="BJ302" t="s">
        <v>44</v>
      </c>
      <c r="BK302">
        <v>0</v>
      </c>
      <c r="BL302" s="6">
        <f t="shared" si="44"/>
        <v>104</v>
      </c>
      <c r="BM302" s="6">
        <f t="shared" si="41"/>
        <v>104</v>
      </c>
      <c r="BN302">
        <v>20</v>
      </c>
      <c r="BO302">
        <f t="shared" si="46"/>
        <v>20</v>
      </c>
      <c r="BP302">
        <v>0</v>
      </c>
      <c r="BQ302">
        <f>SUM(BP302,BB302,BK302)</f>
        <v>0</v>
      </c>
      <c r="BR302">
        <f t="shared" si="39"/>
        <v>0</v>
      </c>
    </row>
    <row r="303" spans="1:70" hidden="1">
      <c r="A303" s="16" t="str">
        <f t="shared" si="40"/>
        <v>BB_2024_AZ_1_2</v>
      </c>
      <c r="B303" t="s">
        <v>67</v>
      </c>
      <c r="C303">
        <v>44.830300000000001</v>
      </c>
      <c r="D303">
        <v>-124.0607</v>
      </c>
      <c r="E303" s="8">
        <v>45481</v>
      </c>
      <c r="F303">
        <v>2024</v>
      </c>
      <c r="G303" t="s">
        <v>64</v>
      </c>
      <c r="H303" t="s">
        <v>42</v>
      </c>
      <c r="I303">
        <v>1</v>
      </c>
      <c r="J303">
        <v>2</v>
      </c>
      <c r="K303" t="s">
        <v>43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 t="s">
        <v>44</v>
      </c>
      <c r="S303" s="22">
        <v>0</v>
      </c>
      <c r="T303" s="23">
        <v>0</v>
      </c>
      <c r="U303" s="23">
        <f t="shared" si="47"/>
        <v>0</v>
      </c>
      <c r="V303" s="18" t="s">
        <v>44</v>
      </c>
      <c r="W303" s="18" t="s">
        <v>44</v>
      </c>
      <c r="X303" s="18" t="s">
        <v>44</v>
      </c>
      <c r="Y303" s="18" t="s">
        <v>44</v>
      </c>
      <c r="Z303" s="18" t="s">
        <v>44</v>
      </c>
      <c r="AA303" s="11" t="s">
        <v>44</v>
      </c>
      <c r="AB303" s="11" t="s">
        <v>44</v>
      </c>
      <c r="AC303" s="11" t="s">
        <v>44</v>
      </c>
      <c r="AD303" s="11" t="s">
        <v>44</v>
      </c>
      <c r="AE303" s="11" t="s">
        <v>44</v>
      </c>
      <c r="AF303" s="11" t="s">
        <v>44</v>
      </c>
      <c r="AG303" s="32">
        <v>0</v>
      </c>
      <c r="AH303">
        <v>19</v>
      </c>
      <c r="AI303">
        <v>29</v>
      </c>
      <c r="AJ303">
        <v>0</v>
      </c>
      <c r="AK303">
        <v>8</v>
      </c>
      <c r="AL303">
        <v>3</v>
      </c>
      <c r="AM303">
        <v>2</v>
      </c>
      <c r="AN303">
        <v>1</v>
      </c>
      <c r="AO303">
        <v>0</v>
      </c>
      <c r="AP303">
        <v>38</v>
      </c>
      <c r="AQ303" s="21">
        <f t="shared" si="45"/>
        <v>38</v>
      </c>
      <c r="AR303" s="12">
        <f t="shared" si="43"/>
        <v>100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16</v>
      </c>
      <c r="BA303">
        <v>0</v>
      </c>
      <c r="BB303">
        <v>0</v>
      </c>
      <c r="BC303">
        <v>37</v>
      </c>
      <c r="BD303">
        <v>0</v>
      </c>
      <c r="BE303" t="s">
        <v>44</v>
      </c>
      <c r="BF303" t="s">
        <v>44</v>
      </c>
      <c r="BG303" t="s">
        <v>44</v>
      </c>
      <c r="BH303" t="s">
        <v>44</v>
      </c>
      <c r="BI303" t="s">
        <v>44</v>
      </c>
      <c r="BJ303" t="s">
        <v>44</v>
      </c>
      <c r="BK303">
        <v>0</v>
      </c>
      <c r="BL303" s="6">
        <f t="shared" si="44"/>
        <v>53</v>
      </c>
      <c r="BM303" s="6">
        <f t="shared" si="41"/>
        <v>53</v>
      </c>
      <c r="BN303">
        <v>29</v>
      </c>
      <c r="BO303">
        <f t="shared" si="46"/>
        <v>29</v>
      </c>
      <c r="BP303">
        <v>0</v>
      </c>
      <c r="BQ303">
        <f>SUM(BP303,BB303,BK303)</f>
        <v>0</v>
      </c>
      <c r="BR303">
        <f t="shared" si="39"/>
        <v>0</v>
      </c>
    </row>
    <row r="304" spans="1:70" hidden="1">
      <c r="A304" s="16" t="str">
        <f t="shared" si="40"/>
        <v>BB_2024_AZ_1_3</v>
      </c>
      <c r="B304" t="s">
        <v>67</v>
      </c>
      <c r="C304">
        <v>44.830300000000001</v>
      </c>
      <c r="D304">
        <v>-124.0607</v>
      </c>
      <c r="E304" s="8">
        <v>45481</v>
      </c>
      <c r="F304">
        <v>2024</v>
      </c>
      <c r="G304" t="s">
        <v>64</v>
      </c>
      <c r="H304" t="s">
        <v>42</v>
      </c>
      <c r="I304">
        <v>1</v>
      </c>
      <c r="J304">
        <v>3</v>
      </c>
      <c r="K304" t="s">
        <v>43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 t="s">
        <v>44</v>
      </c>
      <c r="S304" s="22">
        <v>0</v>
      </c>
      <c r="T304" s="23">
        <v>0</v>
      </c>
      <c r="U304" s="23">
        <f t="shared" si="47"/>
        <v>0</v>
      </c>
      <c r="V304" s="18" t="s">
        <v>44</v>
      </c>
      <c r="W304" s="18" t="s">
        <v>44</v>
      </c>
      <c r="X304" s="18" t="s">
        <v>44</v>
      </c>
      <c r="Y304" s="18" t="s">
        <v>44</v>
      </c>
      <c r="Z304" s="18" t="s">
        <v>44</v>
      </c>
      <c r="AA304" s="11" t="s">
        <v>44</v>
      </c>
      <c r="AB304" s="11" t="s">
        <v>44</v>
      </c>
      <c r="AC304" s="11" t="s">
        <v>44</v>
      </c>
      <c r="AD304" s="11" t="s">
        <v>44</v>
      </c>
      <c r="AE304" s="11" t="s">
        <v>44</v>
      </c>
      <c r="AF304" s="11" t="s">
        <v>44</v>
      </c>
      <c r="AG304" s="32">
        <v>0</v>
      </c>
      <c r="AH304">
        <v>5</v>
      </c>
      <c r="AI304">
        <v>78</v>
      </c>
      <c r="AJ304">
        <v>0</v>
      </c>
      <c r="AK304">
        <v>7</v>
      </c>
      <c r="AL304">
        <v>4</v>
      </c>
      <c r="AM304">
        <v>3</v>
      </c>
      <c r="AN304">
        <v>0.1</v>
      </c>
      <c r="AO304">
        <v>0</v>
      </c>
      <c r="AP304">
        <v>3</v>
      </c>
      <c r="AQ304" s="21">
        <f t="shared" si="45"/>
        <v>3</v>
      </c>
      <c r="AR304" s="12">
        <f t="shared" si="43"/>
        <v>100.1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68</v>
      </c>
      <c r="BA304">
        <v>0</v>
      </c>
      <c r="BB304">
        <v>0</v>
      </c>
      <c r="BC304">
        <v>36</v>
      </c>
      <c r="BD304">
        <v>0</v>
      </c>
      <c r="BE304" t="s">
        <v>44</v>
      </c>
      <c r="BF304" t="s">
        <v>44</v>
      </c>
      <c r="BG304" t="s">
        <v>44</v>
      </c>
      <c r="BH304" t="s">
        <v>44</v>
      </c>
      <c r="BI304" t="s">
        <v>44</v>
      </c>
      <c r="BJ304" t="s">
        <v>44</v>
      </c>
      <c r="BK304">
        <v>0</v>
      </c>
      <c r="BL304" s="6">
        <f t="shared" si="44"/>
        <v>104</v>
      </c>
      <c r="BM304" s="6">
        <f t="shared" si="41"/>
        <v>104</v>
      </c>
      <c r="BN304">
        <v>78</v>
      </c>
      <c r="BO304">
        <f t="shared" si="46"/>
        <v>78</v>
      </c>
      <c r="BP304">
        <v>0</v>
      </c>
      <c r="BQ304">
        <f>SUM(BP304,BB304,BK304)</f>
        <v>0</v>
      </c>
      <c r="BR304">
        <f t="shared" si="39"/>
        <v>0</v>
      </c>
    </row>
    <row r="305" spans="1:70" hidden="1">
      <c r="A305" s="16" t="str">
        <f t="shared" si="40"/>
        <v>BB_2024_AZ_1_4</v>
      </c>
      <c r="B305" t="s">
        <v>67</v>
      </c>
      <c r="C305">
        <v>44.830300000000001</v>
      </c>
      <c r="D305">
        <v>-124.0607</v>
      </c>
      <c r="E305" s="8">
        <v>45481</v>
      </c>
      <c r="F305">
        <v>2024</v>
      </c>
      <c r="G305" t="s">
        <v>64</v>
      </c>
      <c r="H305" t="s">
        <v>42</v>
      </c>
      <c r="I305">
        <v>1</v>
      </c>
      <c r="J305">
        <v>4</v>
      </c>
      <c r="K305" t="s">
        <v>46</v>
      </c>
      <c r="L305" s="23">
        <v>15</v>
      </c>
      <c r="M305" s="23">
        <v>2</v>
      </c>
      <c r="N305" s="23">
        <v>12</v>
      </c>
      <c r="O305" s="23">
        <v>1</v>
      </c>
      <c r="P305" s="23">
        <v>2</v>
      </c>
      <c r="Q305" s="23">
        <v>1</v>
      </c>
      <c r="R305" s="23" t="s">
        <v>44</v>
      </c>
      <c r="S305" s="22">
        <v>0</v>
      </c>
      <c r="T305" s="23">
        <v>1</v>
      </c>
      <c r="U305" s="23">
        <f t="shared" si="47"/>
        <v>3</v>
      </c>
      <c r="V305" s="18" t="s">
        <v>44</v>
      </c>
      <c r="W305" s="18" t="s">
        <v>44</v>
      </c>
      <c r="X305" s="18" t="s">
        <v>44</v>
      </c>
      <c r="Y305" s="18" t="s">
        <v>44</v>
      </c>
      <c r="Z305" s="18" t="s">
        <v>44</v>
      </c>
      <c r="AA305" s="11" t="s">
        <v>44</v>
      </c>
      <c r="AB305" s="11" t="s">
        <v>44</v>
      </c>
      <c r="AC305" s="11" t="s">
        <v>44</v>
      </c>
      <c r="AD305" s="11" t="s">
        <v>44</v>
      </c>
      <c r="AE305" s="11" t="s">
        <v>44</v>
      </c>
      <c r="AF305" s="11" t="s">
        <v>44</v>
      </c>
      <c r="AG305" s="32" t="s">
        <v>44</v>
      </c>
      <c r="AH305">
        <v>6</v>
      </c>
      <c r="AI305">
        <v>26</v>
      </c>
      <c r="AJ305">
        <v>0</v>
      </c>
      <c r="AK305">
        <v>9</v>
      </c>
      <c r="AL305">
        <v>53</v>
      </c>
      <c r="AM305">
        <v>2</v>
      </c>
      <c r="AN305">
        <v>4</v>
      </c>
      <c r="AO305">
        <v>0</v>
      </c>
      <c r="AP305">
        <v>0</v>
      </c>
      <c r="AQ305" s="21" t="e">
        <f>AP305-AG305</f>
        <v>#VALUE!</v>
      </c>
      <c r="AR305" s="12">
        <f>SUM(AH305:AP305)</f>
        <v>100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20</v>
      </c>
      <c r="BA305">
        <v>0</v>
      </c>
      <c r="BB305">
        <v>0</v>
      </c>
      <c r="BC305">
        <v>28</v>
      </c>
      <c r="BD305">
        <v>0</v>
      </c>
      <c r="BE305" t="s">
        <v>44</v>
      </c>
      <c r="BF305" t="s">
        <v>44</v>
      </c>
      <c r="BG305" t="s">
        <v>44</v>
      </c>
      <c r="BH305" t="s">
        <v>44</v>
      </c>
      <c r="BI305" t="s">
        <v>44</v>
      </c>
      <c r="BJ305" t="s">
        <v>44</v>
      </c>
      <c r="BK305">
        <v>0</v>
      </c>
      <c r="BL305" s="6">
        <f t="shared" si="44"/>
        <v>48</v>
      </c>
      <c r="BM305" s="6">
        <f t="shared" si="41"/>
        <v>48</v>
      </c>
      <c r="BN305">
        <v>26</v>
      </c>
      <c r="BO305">
        <f t="shared" si="46"/>
        <v>26</v>
      </c>
      <c r="BP305">
        <v>0</v>
      </c>
      <c r="BQ305">
        <f>SUM(BP305,BB305,BK305)</f>
        <v>0</v>
      </c>
      <c r="BR305">
        <f t="shared" si="39"/>
        <v>0</v>
      </c>
    </row>
    <row r="306" spans="1:70" hidden="1">
      <c r="A306" s="16" t="str">
        <f t="shared" si="40"/>
        <v>BB_2024_AZ_1_5</v>
      </c>
      <c r="B306" t="s">
        <v>67</v>
      </c>
      <c r="C306">
        <v>44.830300000000001</v>
      </c>
      <c r="D306">
        <v>-124.0607</v>
      </c>
      <c r="E306" s="8">
        <v>45481</v>
      </c>
      <c r="F306">
        <v>2024</v>
      </c>
      <c r="G306" t="s">
        <v>64</v>
      </c>
      <c r="H306" t="s">
        <v>42</v>
      </c>
      <c r="I306">
        <v>1</v>
      </c>
      <c r="J306">
        <v>5</v>
      </c>
      <c r="K306" t="s">
        <v>43</v>
      </c>
      <c r="L306" s="23">
        <v>2</v>
      </c>
      <c r="M306" s="23">
        <v>1</v>
      </c>
      <c r="N306" s="23">
        <v>1</v>
      </c>
      <c r="O306" s="23">
        <v>0</v>
      </c>
      <c r="P306" s="23">
        <v>1</v>
      </c>
      <c r="Q306" s="23">
        <v>1</v>
      </c>
      <c r="R306" s="23" t="s">
        <v>44</v>
      </c>
      <c r="S306" s="22">
        <v>0</v>
      </c>
      <c r="T306" s="23">
        <v>0</v>
      </c>
      <c r="U306" s="23">
        <f t="shared" si="47"/>
        <v>1</v>
      </c>
      <c r="V306" s="18" t="s">
        <v>44</v>
      </c>
      <c r="W306" s="18" t="s">
        <v>44</v>
      </c>
      <c r="X306" s="18" t="s">
        <v>44</v>
      </c>
      <c r="Y306" s="18" t="s">
        <v>44</v>
      </c>
      <c r="Z306" s="18" t="s">
        <v>44</v>
      </c>
      <c r="AA306" s="11" t="s">
        <v>44</v>
      </c>
      <c r="AB306" s="11" t="s">
        <v>44</v>
      </c>
      <c r="AC306" s="11" t="s">
        <v>44</v>
      </c>
      <c r="AD306" s="11" t="s">
        <v>44</v>
      </c>
      <c r="AE306" s="11" t="s">
        <v>44</v>
      </c>
      <c r="AF306" s="11" t="s">
        <v>44</v>
      </c>
      <c r="AG306" s="32" t="s">
        <v>44</v>
      </c>
      <c r="AH306">
        <v>0</v>
      </c>
      <c r="AI306">
        <v>64</v>
      </c>
      <c r="AJ306">
        <v>0</v>
      </c>
      <c r="AK306">
        <v>17</v>
      </c>
      <c r="AL306">
        <v>9</v>
      </c>
      <c r="AM306">
        <v>2</v>
      </c>
      <c r="AN306">
        <v>4</v>
      </c>
      <c r="AO306">
        <v>0</v>
      </c>
      <c r="AP306">
        <v>4</v>
      </c>
      <c r="AQ306" s="21" t="e">
        <f t="shared" si="45"/>
        <v>#VALUE!</v>
      </c>
      <c r="AR306" s="12">
        <f t="shared" si="43"/>
        <v>100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42</v>
      </c>
      <c r="BA306">
        <v>0</v>
      </c>
      <c r="BB306">
        <v>0</v>
      </c>
      <c r="BC306">
        <v>90</v>
      </c>
      <c r="BD306">
        <v>0</v>
      </c>
      <c r="BE306" t="s">
        <v>44</v>
      </c>
      <c r="BF306" t="s">
        <v>44</v>
      </c>
      <c r="BG306" t="s">
        <v>44</v>
      </c>
      <c r="BH306" t="s">
        <v>44</v>
      </c>
      <c r="BI306" t="s">
        <v>44</v>
      </c>
      <c r="BJ306" t="s">
        <v>44</v>
      </c>
      <c r="BK306">
        <v>0</v>
      </c>
      <c r="BL306" s="6">
        <f t="shared" si="44"/>
        <v>132</v>
      </c>
      <c r="BM306" s="6">
        <f t="shared" si="41"/>
        <v>132</v>
      </c>
      <c r="BN306">
        <v>64</v>
      </c>
      <c r="BO306">
        <f t="shared" si="46"/>
        <v>64</v>
      </c>
      <c r="BP306">
        <v>0</v>
      </c>
      <c r="BQ306">
        <f>SUM(BP306,BB306,BK306)</f>
        <v>0</v>
      </c>
      <c r="BR306">
        <f t="shared" si="39"/>
        <v>0</v>
      </c>
    </row>
    <row r="307" spans="1:70" hidden="1">
      <c r="A307" s="16" t="str">
        <f t="shared" si="40"/>
        <v>BB_2024_AZ_2_1</v>
      </c>
      <c r="B307" t="s">
        <v>67</v>
      </c>
      <c r="C307">
        <v>44.830300000000001</v>
      </c>
      <c r="D307">
        <v>-124.0607</v>
      </c>
      <c r="E307" s="8">
        <v>45481</v>
      </c>
      <c r="F307">
        <v>2024</v>
      </c>
      <c r="G307" t="s">
        <v>64</v>
      </c>
      <c r="H307" t="s">
        <v>42</v>
      </c>
      <c r="I307">
        <v>2</v>
      </c>
      <c r="J307">
        <v>1</v>
      </c>
      <c r="K307" t="s">
        <v>43</v>
      </c>
      <c r="L307" s="23">
        <v>5</v>
      </c>
      <c r="M307" s="23">
        <v>5</v>
      </c>
      <c r="N307" s="23">
        <v>0</v>
      </c>
      <c r="O307" s="23">
        <v>0</v>
      </c>
      <c r="P307" s="23">
        <v>0</v>
      </c>
      <c r="Q307" s="23" t="s">
        <v>44</v>
      </c>
      <c r="R307" s="23" t="s">
        <v>44</v>
      </c>
      <c r="S307" s="22">
        <v>0</v>
      </c>
      <c r="T307" s="23">
        <v>6</v>
      </c>
      <c r="U307" s="23">
        <f t="shared" si="47"/>
        <v>11</v>
      </c>
      <c r="V307" s="18" t="s">
        <v>44</v>
      </c>
      <c r="W307" s="18" t="s">
        <v>44</v>
      </c>
      <c r="X307" s="18" t="s">
        <v>44</v>
      </c>
      <c r="Y307" s="18" t="s">
        <v>44</v>
      </c>
      <c r="Z307" s="18" t="s">
        <v>44</v>
      </c>
      <c r="AA307" s="11" t="s">
        <v>44</v>
      </c>
      <c r="AB307" s="11" t="s">
        <v>44</v>
      </c>
      <c r="AC307" s="11" t="s">
        <v>44</v>
      </c>
      <c r="AD307" s="11" t="s">
        <v>44</v>
      </c>
      <c r="AE307" s="11" t="s">
        <v>44</v>
      </c>
      <c r="AF307" s="11" t="s">
        <v>44</v>
      </c>
      <c r="AG307" s="32" t="s">
        <v>44</v>
      </c>
      <c r="AH307">
        <v>0.1</v>
      </c>
      <c r="AI307">
        <v>78</v>
      </c>
      <c r="AJ307">
        <v>17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5</v>
      </c>
      <c r="AQ307" s="21" t="e">
        <f t="shared" si="45"/>
        <v>#VALUE!</v>
      </c>
      <c r="AR307" s="12">
        <f t="shared" si="43"/>
        <v>100.1</v>
      </c>
      <c r="AS307">
        <v>14</v>
      </c>
      <c r="AT307">
        <v>3</v>
      </c>
      <c r="AU307">
        <v>0</v>
      </c>
      <c r="AV307">
        <v>0</v>
      </c>
      <c r="AW307">
        <v>3</v>
      </c>
      <c r="AX307">
        <v>36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t="s">
        <v>44</v>
      </c>
      <c r="BF307" t="s">
        <v>44</v>
      </c>
      <c r="BG307" t="s">
        <v>44</v>
      </c>
      <c r="BH307" t="s">
        <v>44</v>
      </c>
      <c r="BI307" t="s">
        <v>44</v>
      </c>
      <c r="BJ307" t="s">
        <v>44</v>
      </c>
      <c r="BK307">
        <v>0</v>
      </c>
      <c r="BL307" s="6">
        <f t="shared" si="44"/>
        <v>56</v>
      </c>
      <c r="BM307" s="6">
        <f t="shared" si="41"/>
        <v>56</v>
      </c>
      <c r="BN307">
        <v>78</v>
      </c>
      <c r="BO307">
        <f t="shared" si="46"/>
        <v>78</v>
      </c>
      <c r="BP307">
        <v>17</v>
      </c>
      <c r="BQ307">
        <f>SUM(BP307,BB307,BK307)</f>
        <v>17</v>
      </c>
      <c r="BR307">
        <f t="shared" si="39"/>
        <v>0</v>
      </c>
    </row>
    <row r="308" spans="1:70" hidden="1">
      <c r="A308" s="16" t="str">
        <f t="shared" si="40"/>
        <v>BB_2024_AZ_2_2</v>
      </c>
      <c r="B308" t="s">
        <v>67</v>
      </c>
      <c r="C308">
        <v>44.830300000000001</v>
      </c>
      <c r="D308">
        <v>-124.0607</v>
      </c>
      <c r="E308" s="8">
        <v>45481</v>
      </c>
      <c r="F308">
        <v>2024</v>
      </c>
      <c r="G308" t="s">
        <v>64</v>
      </c>
      <c r="H308" t="s">
        <v>42</v>
      </c>
      <c r="I308">
        <v>2</v>
      </c>
      <c r="J308">
        <v>2</v>
      </c>
      <c r="K308" t="s">
        <v>43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 t="s">
        <v>44</v>
      </c>
      <c r="R308" s="23" t="s">
        <v>44</v>
      </c>
      <c r="S308" s="22">
        <v>0</v>
      </c>
      <c r="T308" s="23">
        <v>1</v>
      </c>
      <c r="U308" s="23">
        <f t="shared" si="47"/>
        <v>1</v>
      </c>
      <c r="V308" s="18" t="s">
        <v>44</v>
      </c>
      <c r="W308" s="18" t="s">
        <v>44</v>
      </c>
      <c r="X308" s="18" t="s">
        <v>44</v>
      </c>
      <c r="Y308" s="18" t="s">
        <v>44</v>
      </c>
      <c r="Z308" s="18" t="s">
        <v>44</v>
      </c>
      <c r="AA308" s="11" t="s">
        <v>44</v>
      </c>
      <c r="AB308" s="11" t="s">
        <v>44</v>
      </c>
      <c r="AC308" s="11" t="s">
        <v>44</v>
      </c>
      <c r="AD308" s="11" t="s">
        <v>44</v>
      </c>
      <c r="AE308" s="11" t="s">
        <v>44</v>
      </c>
      <c r="AF308" s="11" t="s">
        <v>44</v>
      </c>
      <c r="AG308" s="32">
        <v>0</v>
      </c>
      <c r="AH308">
        <v>2</v>
      </c>
      <c r="AI308">
        <v>19</v>
      </c>
      <c r="AJ308">
        <v>71</v>
      </c>
      <c r="AK308">
        <v>0</v>
      </c>
      <c r="AL308">
        <v>0.1</v>
      </c>
      <c r="AM308">
        <v>0</v>
      </c>
      <c r="AN308">
        <v>0</v>
      </c>
      <c r="AO308">
        <v>0</v>
      </c>
      <c r="AP308">
        <v>8</v>
      </c>
      <c r="AQ308" s="21">
        <f t="shared" si="45"/>
        <v>8</v>
      </c>
      <c r="AR308" s="12">
        <f t="shared" si="43"/>
        <v>100.1</v>
      </c>
      <c r="AS308">
        <v>0</v>
      </c>
      <c r="AT308">
        <v>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t="s">
        <v>44</v>
      </c>
      <c r="BF308" t="s">
        <v>44</v>
      </c>
      <c r="BG308" t="s">
        <v>44</v>
      </c>
      <c r="BH308" t="s">
        <v>44</v>
      </c>
      <c r="BI308" t="s">
        <v>44</v>
      </c>
      <c r="BJ308" t="s">
        <v>44</v>
      </c>
      <c r="BK308">
        <v>0</v>
      </c>
      <c r="BL308" s="6">
        <f t="shared" si="44"/>
        <v>7</v>
      </c>
      <c r="BM308" s="6">
        <f t="shared" si="41"/>
        <v>7</v>
      </c>
      <c r="BN308">
        <v>19</v>
      </c>
      <c r="BO308">
        <f t="shared" si="46"/>
        <v>19</v>
      </c>
      <c r="BP308">
        <v>71</v>
      </c>
      <c r="BQ308">
        <f>SUM(BP308,BB308,BK308)</f>
        <v>71</v>
      </c>
      <c r="BR308">
        <f t="shared" si="39"/>
        <v>0</v>
      </c>
    </row>
    <row r="309" spans="1:70" hidden="1">
      <c r="A309" s="16" t="str">
        <f t="shared" si="40"/>
        <v>BB_2024_AZ_2_3</v>
      </c>
      <c r="B309" t="s">
        <v>67</v>
      </c>
      <c r="C309">
        <v>44.830300000000001</v>
      </c>
      <c r="D309">
        <v>-124.0607</v>
      </c>
      <c r="E309" s="8">
        <v>45481</v>
      </c>
      <c r="F309">
        <v>2024</v>
      </c>
      <c r="G309" t="s">
        <v>64</v>
      </c>
      <c r="H309" t="s">
        <v>42</v>
      </c>
      <c r="I309">
        <v>2</v>
      </c>
      <c r="J309">
        <v>3</v>
      </c>
      <c r="K309" t="s">
        <v>46</v>
      </c>
      <c r="L309" s="23">
        <v>1</v>
      </c>
      <c r="M309" s="23">
        <v>1</v>
      </c>
      <c r="N309" s="23">
        <v>0</v>
      </c>
      <c r="O309" s="23">
        <v>0</v>
      </c>
      <c r="P309" s="23">
        <v>0</v>
      </c>
      <c r="Q309" s="23" t="s">
        <v>44</v>
      </c>
      <c r="R309" s="23" t="s">
        <v>44</v>
      </c>
      <c r="S309" s="22">
        <v>0</v>
      </c>
      <c r="T309" s="23">
        <v>3</v>
      </c>
      <c r="U309" s="23">
        <f t="shared" si="47"/>
        <v>4</v>
      </c>
      <c r="V309" s="18" t="s">
        <v>44</v>
      </c>
      <c r="W309" s="18" t="s">
        <v>44</v>
      </c>
      <c r="X309" s="18" t="s">
        <v>44</v>
      </c>
      <c r="Y309" s="18" t="s">
        <v>44</v>
      </c>
      <c r="Z309" s="18" t="s">
        <v>44</v>
      </c>
      <c r="AA309" s="11" t="s">
        <v>44</v>
      </c>
      <c r="AB309" s="11" t="s">
        <v>44</v>
      </c>
      <c r="AC309" s="11" t="s">
        <v>44</v>
      </c>
      <c r="AD309" s="11" t="s">
        <v>44</v>
      </c>
      <c r="AE309" s="11" t="s">
        <v>44</v>
      </c>
      <c r="AF309" s="11" t="s">
        <v>44</v>
      </c>
      <c r="AG309" s="32" t="s">
        <v>44</v>
      </c>
      <c r="AH309">
        <v>2</v>
      </c>
      <c r="AI309">
        <v>5</v>
      </c>
      <c r="AJ309">
        <v>60</v>
      </c>
      <c r="AK309">
        <v>0</v>
      </c>
      <c r="AL309">
        <v>3</v>
      </c>
      <c r="AM309">
        <v>0</v>
      </c>
      <c r="AN309">
        <v>0</v>
      </c>
      <c r="AO309">
        <v>0</v>
      </c>
      <c r="AP309">
        <v>30</v>
      </c>
      <c r="AQ309" s="21" t="e">
        <f t="shared" si="45"/>
        <v>#VALUE!</v>
      </c>
      <c r="AR309" s="12">
        <f t="shared" si="43"/>
        <v>100</v>
      </c>
      <c r="AS309">
        <v>0</v>
      </c>
      <c r="AT309">
        <v>6</v>
      </c>
      <c r="AU309">
        <v>0</v>
      </c>
      <c r="AV309">
        <v>0</v>
      </c>
      <c r="AW309">
        <v>0</v>
      </c>
      <c r="AX309">
        <v>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 t="s">
        <v>44</v>
      </c>
      <c r="BF309" t="s">
        <v>44</v>
      </c>
      <c r="BG309" t="s">
        <v>44</v>
      </c>
      <c r="BH309" t="s">
        <v>44</v>
      </c>
      <c r="BI309" t="s">
        <v>44</v>
      </c>
      <c r="BJ309" t="s">
        <v>44</v>
      </c>
      <c r="BK309">
        <v>0</v>
      </c>
      <c r="BL309" s="6">
        <f t="shared" si="44"/>
        <v>8</v>
      </c>
      <c r="BM309" s="6">
        <f t="shared" si="41"/>
        <v>8</v>
      </c>
      <c r="BN309">
        <v>5</v>
      </c>
      <c r="BO309">
        <f t="shared" si="46"/>
        <v>5</v>
      </c>
      <c r="BP309">
        <v>60</v>
      </c>
      <c r="BQ309">
        <f>SUM(BP309,BB309,BK309)</f>
        <v>60</v>
      </c>
      <c r="BR309">
        <f t="shared" si="39"/>
        <v>0</v>
      </c>
    </row>
    <row r="310" spans="1:70" hidden="1">
      <c r="A310" s="16" t="str">
        <f t="shared" si="40"/>
        <v>BB_2024_AZ_2_4</v>
      </c>
      <c r="B310" t="s">
        <v>67</v>
      </c>
      <c r="C310">
        <v>44.830300000000001</v>
      </c>
      <c r="D310">
        <v>-124.0607</v>
      </c>
      <c r="E310" s="8">
        <v>45481</v>
      </c>
      <c r="F310">
        <v>2024</v>
      </c>
      <c r="G310" t="s">
        <v>64</v>
      </c>
      <c r="H310" t="s">
        <v>42</v>
      </c>
      <c r="I310">
        <v>2</v>
      </c>
      <c r="J310">
        <v>4</v>
      </c>
      <c r="K310" t="s">
        <v>46</v>
      </c>
      <c r="L310" s="23">
        <v>6</v>
      </c>
      <c r="M310" s="23">
        <v>6</v>
      </c>
      <c r="N310" s="23">
        <v>0</v>
      </c>
      <c r="O310" s="23">
        <v>0</v>
      </c>
      <c r="P310" s="23">
        <v>0</v>
      </c>
      <c r="Q310" s="23" t="s">
        <v>44</v>
      </c>
      <c r="R310" s="23" t="s">
        <v>44</v>
      </c>
      <c r="S310" s="22">
        <v>0</v>
      </c>
      <c r="T310" s="23">
        <v>7</v>
      </c>
      <c r="U310" s="23">
        <f t="shared" si="47"/>
        <v>13</v>
      </c>
      <c r="V310" s="18" t="s">
        <v>44</v>
      </c>
      <c r="W310" s="18" t="s">
        <v>44</v>
      </c>
      <c r="X310" s="18" t="s">
        <v>44</v>
      </c>
      <c r="Y310" s="18" t="s">
        <v>44</v>
      </c>
      <c r="Z310" s="18" t="s">
        <v>44</v>
      </c>
      <c r="AA310" s="11" t="s">
        <v>44</v>
      </c>
      <c r="AB310" s="11" t="s">
        <v>44</v>
      </c>
      <c r="AC310" s="11" t="s">
        <v>44</v>
      </c>
      <c r="AD310" s="11" t="s">
        <v>44</v>
      </c>
      <c r="AE310" s="11" t="s">
        <v>44</v>
      </c>
      <c r="AF310" s="11" t="s">
        <v>44</v>
      </c>
      <c r="AG310" s="32" t="s">
        <v>44</v>
      </c>
      <c r="AH310">
        <v>0</v>
      </c>
      <c r="AI310">
        <v>17</v>
      </c>
      <c r="AJ310">
        <v>26</v>
      </c>
      <c r="AK310">
        <v>0</v>
      </c>
      <c r="AL310">
        <v>5</v>
      </c>
      <c r="AM310">
        <v>0</v>
      </c>
      <c r="AN310">
        <v>0</v>
      </c>
      <c r="AO310">
        <v>4</v>
      </c>
      <c r="AP310">
        <v>48</v>
      </c>
      <c r="AQ310" s="21" t="e">
        <f t="shared" si="45"/>
        <v>#VALUE!</v>
      </c>
      <c r="AR310" s="12">
        <f t="shared" si="43"/>
        <v>100</v>
      </c>
      <c r="AS310">
        <v>0</v>
      </c>
      <c r="AT310">
        <v>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t="s">
        <v>44</v>
      </c>
      <c r="BF310" t="s">
        <v>44</v>
      </c>
      <c r="BG310" t="s">
        <v>44</v>
      </c>
      <c r="BH310" t="s">
        <v>44</v>
      </c>
      <c r="BI310" t="s">
        <v>44</v>
      </c>
      <c r="BJ310" t="s">
        <v>44</v>
      </c>
      <c r="BK310">
        <v>0</v>
      </c>
      <c r="BL310" s="6">
        <f t="shared" si="44"/>
        <v>5</v>
      </c>
      <c r="BM310" s="6">
        <f t="shared" si="41"/>
        <v>5</v>
      </c>
      <c r="BN310">
        <v>17</v>
      </c>
      <c r="BO310">
        <f t="shared" si="46"/>
        <v>17</v>
      </c>
      <c r="BP310">
        <v>26</v>
      </c>
      <c r="BQ310">
        <f>SUM(BP310,BB310,BK310)</f>
        <v>26</v>
      </c>
      <c r="BR310">
        <f t="shared" si="39"/>
        <v>0</v>
      </c>
    </row>
    <row r="311" spans="1:70" hidden="1">
      <c r="A311" s="16" t="str">
        <f t="shared" si="40"/>
        <v>BB_2024_AZ_2_5</v>
      </c>
      <c r="B311" t="s">
        <v>67</v>
      </c>
      <c r="C311">
        <v>44.830300000000001</v>
      </c>
      <c r="D311">
        <v>-124.0607</v>
      </c>
      <c r="E311" s="8">
        <v>45481</v>
      </c>
      <c r="F311">
        <v>2024</v>
      </c>
      <c r="G311" t="s">
        <v>64</v>
      </c>
      <c r="H311" t="s">
        <v>42</v>
      </c>
      <c r="I311">
        <v>2</v>
      </c>
      <c r="J311">
        <v>5</v>
      </c>
      <c r="K311" t="s">
        <v>46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 t="s">
        <v>44</v>
      </c>
      <c r="R311" s="23" t="s">
        <v>44</v>
      </c>
      <c r="S311" s="22">
        <v>0</v>
      </c>
      <c r="T311" s="23">
        <v>0</v>
      </c>
      <c r="U311" s="23">
        <f t="shared" si="47"/>
        <v>0</v>
      </c>
      <c r="V311" s="18" t="s">
        <v>44</v>
      </c>
      <c r="W311" s="18" t="s">
        <v>44</v>
      </c>
      <c r="X311" s="18" t="s">
        <v>44</v>
      </c>
      <c r="Y311" s="18" t="s">
        <v>44</v>
      </c>
      <c r="Z311" s="18" t="s">
        <v>44</v>
      </c>
      <c r="AA311" s="11" t="s">
        <v>44</v>
      </c>
      <c r="AB311" s="11" t="s">
        <v>44</v>
      </c>
      <c r="AC311" s="11" t="s">
        <v>44</v>
      </c>
      <c r="AD311" s="11" t="s">
        <v>44</v>
      </c>
      <c r="AE311" s="11" t="s">
        <v>44</v>
      </c>
      <c r="AF311" s="11" t="s">
        <v>44</v>
      </c>
      <c r="AG311" s="32">
        <v>0</v>
      </c>
      <c r="AH311">
        <v>1</v>
      </c>
      <c r="AI311">
        <v>81</v>
      </c>
      <c r="AJ311">
        <v>6</v>
      </c>
      <c r="AK311">
        <v>0</v>
      </c>
      <c r="AL311">
        <v>6</v>
      </c>
      <c r="AM311">
        <v>0.1</v>
      </c>
      <c r="AN311">
        <v>0</v>
      </c>
      <c r="AO311">
        <v>0</v>
      </c>
      <c r="AP311">
        <v>6</v>
      </c>
      <c r="AQ311" s="21">
        <f t="shared" si="45"/>
        <v>6</v>
      </c>
      <c r="AR311" s="12">
        <f t="shared" si="43"/>
        <v>100.1</v>
      </c>
      <c r="AS311">
        <v>0</v>
      </c>
      <c r="AT311">
        <v>22</v>
      </c>
      <c r="AU311">
        <v>0</v>
      </c>
      <c r="AV311">
        <v>0</v>
      </c>
      <c r="AW311">
        <v>7</v>
      </c>
      <c r="AX311">
        <v>30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 t="s">
        <v>44</v>
      </c>
      <c r="BF311" t="s">
        <v>44</v>
      </c>
      <c r="BG311" t="s">
        <v>44</v>
      </c>
      <c r="BH311" t="s">
        <v>44</v>
      </c>
      <c r="BI311" t="s">
        <v>44</v>
      </c>
      <c r="BJ311" t="s">
        <v>44</v>
      </c>
      <c r="BK311">
        <v>0</v>
      </c>
      <c r="BL311" s="6">
        <f t="shared" si="44"/>
        <v>59</v>
      </c>
      <c r="BM311" s="6">
        <f t="shared" si="41"/>
        <v>59</v>
      </c>
      <c r="BN311">
        <v>81</v>
      </c>
      <c r="BO311">
        <f t="shared" si="46"/>
        <v>81</v>
      </c>
      <c r="BP311">
        <v>6</v>
      </c>
      <c r="BQ311">
        <f>SUM(BP311,BB311,BK311)</f>
        <v>6</v>
      </c>
      <c r="BR311">
        <f t="shared" si="39"/>
        <v>0</v>
      </c>
    </row>
    <row r="312" spans="1:70" hidden="1">
      <c r="A312" s="16" t="str">
        <f t="shared" si="40"/>
        <v>BB_2024_UPZ_1_1</v>
      </c>
      <c r="B312" t="s">
        <v>67</v>
      </c>
      <c r="C312">
        <v>44.830300000000001</v>
      </c>
      <c r="D312">
        <v>-124.0607</v>
      </c>
      <c r="E312" s="8">
        <v>45420</v>
      </c>
      <c r="F312">
        <v>2024</v>
      </c>
      <c r="G312" t="s">
        <v>64</v>
      </c>
      <c r="H312" t="s">
        <v>45</v>
      </c>
      <c r="I312">
        <v>1</v>
      </c>
      <c r="J312">
        <v>1</v>
      </c>
      <c r="K312" t="s">
        <v>43</v>
      </c>
      <c r="L312" s="23">
        <v>47</v>
      </c>
      <c r="M312" s="23">
        <v>44</v>
      </c>
      <c r="N312" s="23">
        <v>0</v>
      </c>
      <c r="O312" s="23">
        <v>3</v>
      </c>
      <c r="P312" s="23" t="s">
        <v>44</v>
      </c>
      <c r="Q312" s="23" t="s">
        <v>44</v>
      </c>
      <c r="R312" s="23" t="s">
        <v>44</v>
      </c>
      <c r="S312" s="22">
        <v>0</v>
      </c>
      <c r="T312" s="23">
        <v>1</v>
      </c>
      <c r="U312" s="23">
        <f t="shared" si="47"/>
        <v>45</v>
      </c>
      <c r="V312" s="18" t="s">
        <v>44</v>
      </c>
      <c r="W312" s="18" t="s">
        <v>44</v>
      </c>
      <c r="X312" s="18" t="s">
        <v>44</v>
      </c>
      <c r="Y312" s="18" t="s">
        <v>44</v>
      </c>
      <c r="Z312" s="18" t="s">
        <v>44</v>
      </c>
      <c r="AA312" s="11" t="s">
        <v>44</v>
      </c>
      <c r="AB312" s="11" t="s">
        <v>44</v>
      </c>
      <c r="AC312" s="11" t="s">
        <v>44</v>
      </c>
      <c r="AD312" s="11" t="s">
        <v>44</v>
      </c>
      <c r="AE312" s="11" t="s">
        <v>44</v>
      </c>
      <c r="AF312" s="11" t="s">
        <v>44</v>
      </c>
      <c r="AG312" s="32" t="s">
        <v>44</v>
      </c>
      <c r="AH312">
        <v>0</v>
      </c>
      <c r="AI312">
        <v>16</v>
      </c>
      <c r="AJ312">
        <v>0</v>
      </c>
      <c r="AK312">
        <v>0</v>
      </c>
      <c r="AL312">
        <v>25</v>
      </c>
      <c r="AM312">
        <v>1</v>
      </c>
      <c r="AN312">
        <v>0</v>
      </c>
      <c r="AO312">
        <v>0</v>
      </c>
      <c r="AP312">
        <v>58</v>
      </c>
      <c r="AQ312" s="21" t="e">
        <f t="shared" si="45"/>
        <v>#VALUE!</v>
      </c>
      <c r="AR312" s="12">
        <f t="shared" si="43"/>
        <v>100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 t="s">
        <v>44</v>
      </c>
      <c r="BF312" t="s">
        <v>44</v>
      </c>
      <c r="BG312" t="s">
        <v>44</v>
      </c>
      <c r="BH312" t="s">
        <v>44</v>
      </c>
      <c r="BI312" t="s">
        <v>44</v>
      </c>
      <c r="BJ312" t="s">
        <v>44</v>
      </c>
      <c r="BK312">
        <v>0</v>
      </c>
      <c r="BL312" s="6">
        <f t="shared" si="44"/>
        <v>0</v>
      </c>
      <c r="BM312" s="6">
        <f t="shared" si="41"/>
        <v>0</v>
      </c>
      <c r="BN312">
        <v>16</v>
      </c>
      <c r="BO312">
        <f t="shared" si="46"/>
        <v>16</v>
      </c>
      <c r="BP312">
        <v>0</v>
      </c>
      <c r="BQ312">
        <f>SUM(BP312,BB312,BK312)</f>
        <v>0</v>
      </c>
      <c r="BR312">
        <f t="shared" si="39"/>
        <v>0</v>
      </c>
    </row>
    <row r="313" spans="1:70" hidden="1">
      <c r="A313" s="16" t="str">
        <f t="shared" si="40"/>
        <v>BB_2024_UPZ_1_2</v>
      </c>
      <c r="B313" t="s">
        <v>67</v>
      </c>
      <c r="C313">
        <v>44.830300000000001</v>
      </c>
      <c r="D313">
        <v>-124.0607</v>
      </c>
      <c r="E313" s="8">
        <v>45420</v>
      </c>
      <c r="F313">
        <v>2024</v>
      </c>
      <c r="G313" t="s">
        <v>64</v>
      </c>
      <c r="H313" t="s">
        <v>45</v>
      </c>
      <c r="I313">
        <v>1</v>
      </c>
      <c r="J313">
        <v>2</v>
      </c>
      <c r="K313" t="s">
        <v>43</v>
      </c>
      <c r="L313" s="23">
        <v>26</v>
      </c>
      <c r="M313" s="23">
        <v>26</v>
      </c>
      <c r="N313" s="23">
        <v>0</v>
      </c>
      <c r="O313" s="23">
        <v>0</v>
      </c>
      <c r="P313" s="23" t="s">
        <v>44</v>
      </c>
      <c r="Q313" s="23" t="s">
        <v>44</v>
      </c>
      <c r="R313" s="23" t="s">
        <v>44</v>
      </c>
      <c r="S313" s="22">
        <v>0</v>
      </c>
      <c r="T313" s="23">
        <v>0</v>
      </c>
      <c r="U313" s="23">
        <f t="shared" si="47"/>
        <v>26</v>
      </c>
      <c r="V313" s="18" t="s">
        <v>44</v>
      </c>
      <c r="W313" s="18" t="s">
        <v>44</v>
      </c>
      <c r="X313" s="18" t="s">
        <v>44</v>
      </c>
      <c r="Y313" s="18" t="s">
        <v>44</v>
      </c>
      <c r="Z313" s="18" t="s">
        <v>44</v>
      </c>
      <c r="AA313" s="11" t="s">
        <v>44</v>
      </c>
      <c r="AB313" s="11" t="s">
        <v>44</v>
      </c>
      <c r="AC313" s="11" t="s">
        <v>44</v>
      </c>
      <c r="AD313" s="11" t="s">
        <v>44</v>
      </c>
      <c r="AE313" s="11" t="s">
        <v>44</v>
      </c>
      <c r="AF313" s="11" t="s">
        <v>44</v>
      </c>
      <c r="AG313" s="32" t="s">
        <v>44</v>
      </c>
      <c r="AH313">
        <v>0</v>
      </c>
      <c r="AI313">
        <v>72</v>
      </c>
      <c r="AJ313">
        <v>0</v>
      </c>
      <c r="AK313">
        <v>0</v>
      </c>
      <c r="AL313">
        <v>9</v>
      </c>
      <c r="AM313">
        <v>1</v>
      </c>
      <c r="AN313">
        <v>0</v>
      </c>
      <c r="AO313">
        <v>0</v>
      </c>
      <c r="AP313">
        <v>18</v>
      </c>
      <c r="AQ313" s="21" t="e">
        <f t="shared" si="45"/>
        <v>#VALUE!</v>
      </c>
      <c r="AR313" s="12">
        <f t="shared" si="43"/>
        <v>100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 t="s">
        <v>44</v>
      </c>
      <c r="BF313" t="s">
        <v>44</v>
      </c>
      <c r="BG313" t="s">
        <v>44</v>
      </c>
      <c r="BH313" t="s">
        <v>44</v>
      </c>
      <c r="BI313" t="s">
        <v>44</v>
      </c>
      <c r="BJ313" t="s">
        <v>44</v>
      </c>
      <c r="BK313">
        <v>0</v>
      </c>
      <c r="BL313" s="6">
        <f t="shared" si="44"/>
        <v>0</v>
      </c>
      <c r="BM313" s="6">
        <f t="shared" si="41"/>
        <v>0</v>
      </c>
      <c r="BN313">
        <v>72</v>
      </c>
      <c r="BO313">
        <f t="shared" si="46"/>
        <v>72</v>
      </c>
      <c r="BP313">
        <v>0</v>
      </c>
      <c r="BQ313">
        <f>SUM(BP313,BB313,BK313)</f>
        <v>0</v>
      </c>
      <c r="BR313">
        <f t="shared" si="39"/>
        <v>0</v>
      </c>
    </row>
    <row r="314" spans="1:70" hidden="1">
      <c r="A314" s="16" t="str">
        <f t="shared" si="40"/>
        <v>BB_2024_UPZ_1_3</v>
      </c>
      <c r="B314" t="s">
        <v>67</v>
      </c>
      <c r="C314">
        <v>44.830300000000001</v>
      </c>
      <c r="D314">
        <v>-124.0607</v>
      </c>
      <c r="E314" s="8">
        <v>45420</v>
      </c>
      <c r="F314">
        <v>2024</v>
      </c>
      <c r="G314" t="s">
        <v>64</v>
      </c>
      <c r="H314" t="s">
        <v>45</v>
      </c>
      <c r="I314">
        <v>1</v>
      </c>
      <c r="J314">
        <v>3</v>
      </c>
      <c r="K314" t="s">
        <v>43</v>
      </c>
      <c r="L314" s="23">
        <v>46</v>
      </c>
      <c r="M314" s="23">
        <v>46</v>
      </c>
      <c r="N314" s="23">
        <v>0</v>
      </c>
      <c r="O314" s="23">
        <v>0</v>
      </c>
      <c r="P314" s="23" t="s">
        <v>44</v>
      </c>
      <c r="Q314" s="23" t="s">
        <v>44</v>
      </c>
      <c r="R314" s="23" t="s">
        <v>44</v>
      </c>
      <c r="S314" s="22">
        <v>0</v>
      </c>
      <c r="T314" s="23">
        <v>2</v>
      </c>
      <c r="U314" s="23">
        <v>47</v>
      </c>
      <c r="V314" s="18" t="s">
        <v>44</v>
      </c>
      <c r="W314" s="18" t="s">
        <v>44</v>
      </c>
      <c r="X314" s="18" t="s">
        <v>44</v>
      </c>
      <c r="Y314" s="18" t="s">
        <v>44</v>
      </c>
      <c r="Z314" s="18" t="s">
        <v>44</v>
      </c>
      <c r="AA314" s="11" t="s">
        <v>44</v>
      </c>
      <c r="AB314" s="11" t="s">
        <v>44</v>
      </c>
      <c r="AC314" s="11" t="s">
        <v>44</v>
      </c>
      <c r="AD314" s="11" t="s">
        <v>44</v>
      </c>
      <c r="AE314" s="11" t="s">
        <v>44</v>
      </c>
      <c r="AF314" s="11" t="s">
        <v>44</v>
      </c>
      <c r="AG314" s="32" t="s">
        <v>44</v>
      </c>
      <c r="AH314">
        <v>0</v>
      </c>
      <c r="AI314">
        <v>36</v>
      </c>
      <c r="AJ314">
        <v>0</v>
      </c>
      <c r="AK314">
        <v>0</v>
      </c>
      <c r="AL314">
        <v>8</v>
      </c>
      <c r="AM314">
        <v>2</v>
      </c>
      <c r="AN314">
        <v>0</v>
      </c>
      <c r="AO314">
        <v>0</v>
      </c>
      <c r="AP314">
        <v>54</v>
      </c>
      <c r="AQ314" s="21" t="e">
        <f t="shared" si="45"/>
        <v>#VALUE!</v>
      </c>
      <c r="AR314" s="12">
        <f t="shared" si="43"/>
        <v>100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44</v>
      </c>
      <c r="BF314" t="s">
        <v>44</v>
      </c>
      <c r="BG314" t="s">
        <v>44</v>
      </c>
      <c r="BH314" t="s">
        <v>44</v>
      </c>
      <c r="BI314" t="s">
        <v>44</v>
      </c>
      <c r="BJ314" t="s">
        <v>44</v>
      </c>
      <c r="BK314">
        <v>0</v>
      </c>
      <c r="BL314" s="6">
        <f t="shared" si="44"/>
        <v>0</v>
      </c>
      <c r="BM314" s="6">
        <f t="shared" si="41"/>
        <v>0</v>
      </c>
      <c r="BN314">
        <v>36</v>
      </c>
      <c r="BO314">
        <f t="shared" si="46"/>
        <v>36</v>
      </c>
      <c r="BP314">
        <v>0</v>
      </c>
      <c r="BQ314">
        <f>SUM(BP314,BB314,BK314)</f>
        <v>0</v>
      </c>
      <c r="BR314">
        <f t="shared" si="39"/>
        <v>0</v>
      </c>
    </row>
    <row r="315" spans="1:70" hidden="1">
      <c r="A315" s="16" t="str">
        <f t="shared" si="40"/>
        <v>BB_2024_UPZ_1_4</v>
      </c>
      <c r="B315" t="s">
        <v>67</v>
      </c>
      <c r="C315">
        <v>44.830300000000001</v>
      </c>
      <c r="D315">
        <v>-124.0607</v>
      </c>
      <c r="E315" s="8">
        <v>45420</v>
      </c>
      <c r="F315">
        <v>2024</v>
      </c>
      <c r="G315" t="s">
        <v>64</v>
      </c>
      <c r="H315" t="s">
        <v>45</v>
      </c>
      <c r="I315">
        <v>1</v>
      </c>
      <c r="J315">
        <v>4</v>
      </c>
      <c r="K315" t="s">
        <v>43</v>
      </c>
      <c r="L315" s="23">
        <v>27</v>
      </c>
      <c r="M315" s="23">
        <v>27</v>
      </c>
      <c r="N315" s="23">
        <v>0</v>
      </c>
      <c r="O315" s="23">
        <v>0</v>
      </c>
      <c r="P315" s="23" t="s">
        <v>44</v>
      </c>
      <c r="Q315" s="23" t="s">
        <v>44</v>
      </c>
      <c r="R315" s="23" t="s">
        <v>44</v>
      </c>
      <c r="S315" s="22">
        <v>0</v>
      </c>
      <c r="T315" s="23">
        <v>1</v>
      </c>
      <c r="U315" s="23">
        <v>28</v>
      </c>
      <c r="V315" s="18" t="s">
        <v>44</v>
      </c>
      <c r="W315" s="18" t="s">
        <v>44</v>
      </c>
      <c r="X315" s="18" t="s">
        <v>44</v>
      </c>
      <c r="Y315" s="18" t="s">
        <v>44</v>
      </c>
      <c r="Z315" s="18" t="s">
        <v>44</v>
      </c>
      <c r="AA315" s="11" t="s">
        <v>44</v>
      </c>
      <c r="AB315" s="11" t="s">
        <v>44</v>
      </c>
      <c r="AC315" s="11" t="s">
        <v>44</v>
      </c>
      <c r="AD315" s="11" t="s">
        <v>44</v>
      </c>
      <c r="AE315" s="11" t="s">
        <v>44</v>
      </c>
      <c r="AF315" s="11" t="s">
        <v>44</v>
      </c>
      <c r="AG315" s="32" t="s">
        <v>44</v>
      </c>
      <c r="AH315">
        <v>1</v>
      </c>
      <c r="AI315">
        <v>52</v>
      </c>
      <c r="AJ315">
        <v>0</v>
      </c>
      <c r="AK315">
        <v>0</v>
      </c>
      <c r="AL315">
        <v>3</v>
      </c>
      <c r="AM315">
        <v>1</v>
      </c>
      <c r="AN315">
        <v>0</v>
      </c>
      <c r="AO315">
        <v>0</v>
      </c>
      <c r="AP315">
        <v>43</v>
      </c>
      <c r="AQ315" s="21" t="e">
        <f t="shared" si="45"/>
        <v>#VALUE!</v>
      </c>
      <c r="AR315" s="12">
        <f t="shared" si="43"/>
        <v>100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 t="s">
        <v>44</v>
      </c>
      <c r="BF315" t="s">
        <v>44</v>
      </c>
      <c r="BG315" t="s">
        <v>44</v>
      </c>
      <c r="BH315" t="s">
        <v>44</v>
      </c>
      <c r="BI315" t="s">
        <v>44</v>
      </c>
      <c r="BJ315" t="s">
        <v>44</v>
      </c>
      <c r="BK315">
        <v>0</v>
      </c>
      <c r="BL315" s="6">
        <f t="shared" si="44"/>
        <v>2</v>
      </c>
      <c r="BM315" s="6">
        <f t="shared" si="41"/>
        <v>2</v>
      </c>
      <c r="BN315">
        <v>52</v>
      </c>
      <c r="BO315">
        <f t="shared" si="46"/>
        <v>52</v>
      </c>
      <c r="BP315">
        <v>0</v>
      </c>
      <c r="BQ315">
        <f>SUM(BP315,BB315,BK315)</f>
        <v>0</v>
      </c>
      <c r="BR315">
        <f t="shared" si="39"/>
        <v>0</v>
      </c>
    </row>
    <row r="316" spans="1:70" hidden="1">
      <c r="A316" s="16" t="str">
        <f t="shared" si="40"/>
        <v>BB_2024_UPZ_1_5</v>
      </c>
      <c r="B316" t="s">
        <v>67</v>
      </c>
      <c r="C316">
        <v>44.830300000000001</v>
      </c>
      <c r="D316">
        <v>-124.0607</v>
      </c>
      <c r="E316" s="8">
        <v>45420</v>
      </c>
      <c r="F316">
        <v>2024</v>
      </c>
      <c r="G316" t="s">
        <v>64</v>
      </c>
      <c r="H316" t="s">
        <v>45</v>
      </c>
      <c r="I316">
        <v>1</v>
      </c>
      <c r="J316">
        <v>5</v>
      </c>
      <c r="K316" t="s">
        <v>43</v>
      </c>
      <c r="L316" s="23">
        <v>50</v>
      </c>
      <c r="M316" s="23">
        <v>49</v>
      </c>
      <c r="N316" s="23">
        <v>0</v>
      </c>
      <c r="O316" s="23">
        <v>1</v>
      </c>
      <c r="P316" s="23" t="s">
        <v>44</v>
      </c>
      <c r="Q316" s="23" t="s">
        <v>44</v>
      </c>
      <c r="R316" s="23" t="s">
        <v>44</v>
      </c>
      <c r="S316" s="22">
        <v>0</v>
      </c>
      <c r="T316" s="23">
        <v>0</v>
      </c>
      <c r="U316" s="23">
        <v>49</v>
      </c>
      <c r="V316" s="18" t="s">
        <v>44</v>
      </c>
      <c r="W316" s="18" t="s">
        <v>44</v>
      </c>
      <c r="X316" s="18" t="s">
        <v>44</v>
      </c>
      <c r="Y316" s="18" t="s">
        <v>44</v>
      </c>
      <c r="Z316" s="18" t="s">
        <v>44</v>
      </c>
      <c r="AA316" s="11" t="s">
        <v>44</v>
      </c>
      <c r="AB316" s="11" t="s">
        <v>44</v>
      </c>
      <c r="AC316" s="11" t="s">
        <v>44</v>
      </c>
      <c r="AD316" s="11" t="s">
        <v>44</v>
      </c>
      <c r="AE316" s="11" t="s">
        <v>44</v>
      </c>
      <c r="AF316" s="11" t="s">
        <v>44</v>
      </c>
      <c r="AG316" s="32"/>
      <c r="AH316">
        <v>0</v>
      </c>
      <c r="AI316">
        <v>53</v>
      </c>
      <c r="AJ316">
        <v>0</v>
      </c>
      <c r="AK316">
        <v>0</v>
      </c>
      <c r="AL316">
        <v>6</v>
      </c>
      <c r="AM316">
        <v>0.1</v>
      </c>
      <c r="AN316">
        <v>0</v>
      </c>
      <c r="AO316">
        <v>0</v>
      </c>
      <c r="AP316">
        <v>41</v>
      </c>
      <c r="AQ316" s="21">
        <f t="shared" si="45"/>
        <v>41</v>
      </c>
      <c r="AR316" s="12">
        <f t="shared" si="43"/>
        <v>100.1</v>
      </c>
      <c r="AS316">
        <v>0</v>
      </c>
      <c r="AT316">
        <v>4</v>
      </c>
      <c r="AU316">
        <v>1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 t="s">
        <v>44</v>
      </c>
      <c r="BF316" t="s">
        <v>44</v>
      </c>
      <c r="BG316" t="s">
        <v>44</v>
      </c>
      <c r="BH316" t="s">
        <v>44</v>
      </c>
      <c r="BI316" t="s">
        <v>44</v>
      </c>
      <c r="BJ316" t="s">
        <v>44</v>
      </c>
      <c r="BK316">
        <v>0</v>
      </c>
      <c r="BL316" s="6">
        <f t="shared" si="44"/>
        <v>6</v>
      </c>
      <c r="BM316" s="6">
        <f t="shared" si="41"/>
        <v>7</v>
      </c>
    </row>
    <row r="317" spans="1:70" hidden="1">
      <c r="A317" s="16" t="str">
        <f t="shared" si="40"/>
        <v>BB_2024_UPZ_2_1</v>
      </c>
      <c r="B317" t="s">
        <v>67</v>
      </c>
      <c r="C317">
        <v>44.830300000000001</v>
      </c>
      <c r="D317">
        <v>-124.0607</v>
      </c>
      <c r="E317" s="8">
        <v>45481</v>
      </c>
      <c r="F317">
        <v>2024</v>
      </c>
      <c r="G317" t="s">
        <v>64</v>
      </c>
      <c r="H317" t="s">
        <v>45</v>
      </c>
      <c r="I317">
        <v>2</v>
      </c>
      <c r="J317">
        <v>1</v>
      </c>
      <c r="K317" t="s">
        <v>43</v>
      </c>
      <c r="L317" s="23">
        <v>41</v>
      </c>
      <c r="M317" s="23">
        <v>32</v>
      </c>
      <c r="N317" s="23">
        <v>0</v>
      </c>
      <c r="O317" s="23">
        <v>9</v>
      </c>
      <c r="P317" s="23">
        <v>1</v>
      </c>
      <c r="Q317" s="23">
        <v>1</v>
      </c>
      <c r="R317" s="23" t="s">
        <v>44</v>
      </c>
      <c r="S317" s="22">
        <v>0</v>
      </c>
      <c r="T317" s="23">
        <v>3</v>
      </c>
      <c r="U317" s="23">
        <v>35</v>
      </c>
      <c r="V317" s="18">
        <v>5.0999999999999996</v>
      </c>
      <c r="W317" s="18">
        <v>5.8</v>
      </c>
      <c r="X317" s="18">
        <v>4.3</v>
      </c>
      <c r="Y317" s="18">
        <v>5.7</v>
      </c>
      <c r="Z317" s="18">
        <v>6.4</v>
      </c>
      <c r="AA317" s="17">
        <v>0</v>
      </c>
      <c r="AB317" s="17">
        <v>0</v>
      </c>
      <c r="AC317" s="17">
        <v>0</v>
      </c>
      <c r="AD317" s="17">
        <v>1</v>
      </c>
      <c r="AE317" s="17">
        <v>0</v>
      </c>
      <c r="AF317" s="11">
        <f t="shared" si="42"/>
        <v>1</v>
      </c>
      <c r="AG317" s="32" t="s">
        <v>44</v>
      </c>
      <c r="AH317">
        <v>0</v>
      </c>
      <c r="AI317">
        <v>4</v>
      </c>
      <c r="AJ317">
        <v>1</v>
      </c>
      <c r="AK317">
        <v>0</v>
      </c>
      <c r="AL317">
        <v>6</v>
      </c>
      <c r="AM317">
        <v>0</v>
      </c>
      <c r="AN317">
        <v>3</v>
      </c>
      <c r="AO317">
        <v>5</v>
      </c>
      <c r="AP317">
        <v>81</v>
      </c>
      <c r="AQ317" s="21" t="e">
        <f t="shared" si="45"/>
        <v>#VALUE!</v>
      </c>
      <c r="AR317" s="12">
        <f t="shared" si="43"/>
        <v>100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 t="s">
        <v>44</v>
      </c>
      <c r="BF317" t="s">
        <v>44</v>
      </c>
      <c r="BG317" t="s">
        <v>44</v>
      </c>
      <c r="BH317" t="s">
        <v>44</v>
      </c>
      <c r="BI317" t="s">
        <v>44</v>
      </c>
      <c r="BJ317" t="s">
        <v>44</v>
      </c>
      <c r="BK317">
        <v>0</v>
      </c>
      <c r="BL317" s="6">
        <f t="shared" si="44"/>
        <v>1</v>
      </c>
      <c r="BM317" s="6">
        <f t="shared" si="41"/>
        <v>1</v>
      </c>
      <c r="BN317">
        <v>4</v>
      </c>
      <c r="BO317">
        <f t="shared" si="46"/>
        <v>4</v>
      </c>
      <c r="BP317">
        <v>1</v>
      </c>
      <c r="BQ317">
        <f>SUM(BP317,BB317,BK317)</f>
        <v>1</v>
      </c>
      <c r="BR317">
        <f t="shared" ref="BR316:BR379" si="48">BQ317-BP317</f>
        <v>0</v>
      </c>
    </row>
    <row r="318" spans="1:70" hidden="1">
      <c r="A318" s="16" t="str">
        <f t="shared" si="40"/>
        <v>BB_2024_UPZ_2_2</v>
      </c>
      <c r="B318" t="s">
        <v>67</v>
      </c>
      <c r="C318">
        <v>44.830300000000001</v>
      </c>
      <c r="D318">
        <v>-124.0607</v>
      </c>
      <c r="E318" s="8">
        <v>45481</v>
      </c>
      <c r="F318">
        <v>2024</v>
      </c>
      <c r="G318" t="s">
        <v>64</v>
      </c>
      <c r="H318" t="s">
        <v>45</v>
      </c>
      <c r="I318">
        <v>2</v>
      </c>
      <c r="J318">
        <v>2</v>
      </c>
      <c r="K318" t="s">
        <v>46</v>
      </c>
      <c r="L318" s="23">
        <v>29</v>
      </c>
      <c r="M318" s="23">
        <v>29</v>
      </c>
      <c r="N318" s="23">
        <v>0</v>
      </c>
      <c r="O318" s="23">
        <v>0</v>
      </c>
      <c r="P318" s="23">
        <v>0</v>
      </c>
      <c r="Q318" s="23">
        <v>0</v>
      </c>
      <c r="R318" s="23" t="s">
        <v>44</v>
      </c>
      <c r="S318" s="22">
        <v>0</v>
      </c>
      <c r="T318" s="23">
        <v>5</v>
      </c>
      <c r="U318" s="23">
        <v>34</v>
      </c>
      <c r="V318" s="18">
        <v>4.4000000000000004</v>
      </c>
      <c r="W318" s="18">
        <v>5.9</v>
      </c>
      <c r="X318" s="18">
        <v>5.5</v>
      </c>
      <c r="Y318" s="18">
        <v>2.2000000000000002</v>
      </c>
      <c r="Z318" s="18">
        <v>5.4</v>
      </c>
      <c r="AA318" s="17">
        <v>2</v>
      </c>
      <c r="AB318" s="17">
        <v>1</v>
      </c>
      <c r="AC318" s="17">
        <v>0</v>
      </c>
      <c r="AD318" s="17">
        <v>0</v>
      </c>
      <c r="AE318" s="17">
        <v>0</v>
      </c>
      <c r="AF318" s="11">
        <f t="shared" si="42"/>
        <v>3</v>
      </c>
      <c r="AG318" s="32" t="s">
        <v>44</v>
      </c>
      <c r="AH318">
        <v>0</v>
      </c>
      <c r="AI318">
        <v>24</v>
      </c>
      <c r="AJ318">
        <v>0</v>
      </c>
      <c r="AK318">
        <v>0</v>
      </c>
      <c r="AL318">
        <v>8</v>
      </c>
      <c r="AM318">
        <v>3</v>
      </c>
      <c r="AN318">
        <v>0</v>
      </c>
      <c r="AO318">
        <v>0</v>
      </c>
      <c r="AP318">
        <v>65</v>
      </c>
      <c r="AQ318" s="21" t="e">
        <f t="shared" si="45"/>
        <v>#VALUE!</v>
      </c>
      <c r="AR318" s="12">
        <f t="shared" si="43"/>
        <v>100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44</v>
      </c>
      <c r="BF318" t="s">
        <v>44</v>
      </c>
      <c r="BG318" t="s">
        <v>44</v>
      </c>
      <c r="BH318" t="s">
        <v>44</v>
      </c>
      <c r="BI318" t="s">
        <v>44</v>
      </c>
      <c r="BJ318" t="s">
        <v>44</v>
      </c>
      <c r="BK318">
        <v>0</v>
      </c>
      <c r="BL318" s="6">
        <f t="shared" si="44"/>
        <v>0</v>
      </c>
      <c r="BM318" s="6">
        <f t="shared" si="41"/>
        <v>0</v>
      </c>
      <c r="BN318">
        <v>24</v>
      </c>
      <c r="BO318">
        <f t="shared" si="46"/>
        <v>24</v>
      </c>
      <c r="BP318">
        <v>0</v>
      </c>
      <c r="BQ318">
        <f>SUM(BP318,BB318,BK318)</f>
        <v>0</v>
      </c>
      <c r="BR318">
        <f t="shared" si="48"/>
        <v>0</v>
      </c>
    </row>
    <row r="319" spans="1:70" hidden="1">
      <c r="A319" s="16" t="str">
        <f t="shared" si="40"/>
        <v>BB_2024_UPZ_2_3</v>
      </c>
      <c r="B319" t="s">
        <v>67</v>
      </c>
      <c r="C319">
        <v>44.830300000000001</v>
      </c>
      <c r="D319">
        <v>-124.0607</v>
      </c>
      <c r="E319" s="8">
        <v>45481</v>
      </c>
      <c r="F319">
        <v>2024</v>
      </c>
      <c r="G319" t="s">
        <v>64</v>
      </c>
      <c r="H319" t="s">
        <v>45</v>
      </c>
      <c r="I319">
        <v>2</v>
      </c>
      <c r="J319">
        <v>3</v>
      </c>
      <c r="K319" t="s">
        <v>46</v>
      </c>
      <c r="L319" s="23">
        <v>29</v>
      </c>
      <c r="M319" s="23">
        <v>29</v>
      </c>
      <c r="N319" s="23">
        <v>0</v>
      </c>
      <c r="O319" s="23">
        <v>0</v>
      </c>
      <c r="P319" s="23">
        <v>0</v>
      </c>
      <c r="Q319" s="23">
        <v>0</v>
      </c>
      <c r="R319" s="23" t="s">
        <v>44</v>
      </c>
      <c r="S319" s="22">
        <v>0</v>
      </c>
      <c r="T319" s="23">
        <v>2</v>
      </c>
      <c r="U319" s="23">
        <v>31</v>
      </c>
      <c r="V319" s="18">
        <v>4.5999999999999996</v>
      </c>
      <c r="W319" s="18">
        <v>5</v>
      </c>
      <c r="X319" s="18">
        <v>4.7</v>
      </c>
      <c r="Y319" s="18">
        <v>4.5999999999999996</v>
      </c>
      <c r="Z319" s="18">
        <v>5.2</v>
      </c>
      <c r="AA319" s="17">
        <v>1</v>
      </c>
      <c r="AB319" s="17">
        <v>0</v>
      </c>
      <c r="AC319" s="17">
        <v>0</v>
      </c>
      <c r="AD319" s="17">
        <v>0</v>
      </c>
      <c r="AE319" s="17">
        <v>0</v>
      </c>
      <c r="AF319" s="11">
        <f t="shared" si="42"/>
        <v>1</v>
      </c>
      <c r="AG319" s="32" t="s">
        <v>44</v>
      </c>
      <c r="AH319">
        <v>0</v>
      </c>
      <c r="AI319">
        <v>26</v>
      </c>
      <c r="AJ319">
        <v>7</v>
      </c>
      <c r="AK319">
        <v>0</v>
      </c>
      <c r="AL319">
        <v>3</v>
      </c>
      <c r="AM319">
        <v>0</v>
      </c>
      <c r="AN319">
        <v>6</v>
      </c>
      <c r="AO319">
        <v>4</v>
      </c>
      <c r="AP319">
        <v>54</v>
      </c>
      <c r="AQ319" s="21" t="e">
        <f t="shared" si="45"/>
        <v>#VALUE!</v>
      </c>
      <c r="AR319" s="12">
        <f t="shared" si="43"/>
        <v>100</v>
      </c>
      <c r="AS319">
        <v>0</v>
      </c>
      <c r="AT319">
        <v>0</v>
      </c>
      <c r="AU319">
        <v>0</v>
      </c>
      <c r="AV319">
        <v>0</v>
      </c>
      <c r="AW319">
        <v>2</v>
      </c>
      <c r="AX319">
        <v>2</v>
      </c>
      <c r="AY319">
        <v>5</v>
      </c>
      <c r="AZ319">
        <v>0</v>
      </c>
      <c r="BA319">
        <v>0</v>
      </c>
      <c r="BB319">
        <v>0</v>
      </c>
      <c r="BC319">
        <v>0</v>
      </c>
      <c r="BD319">
        <v>0</v>
      </c>
      <c r="BE319" t="s">
        <v>44</v>
      </c>
      <c r="BF319" t="s">
        <v>44</v>
      </c>
      <c r="BG319" t="s">
        <v>44</v>
      </c>
      <c r="BH319" t="s">
        <v>44</v>
      </c>
      <c r="BI319" t="s">
        <v>44</v>
      </c>
      <c r="BJ319" t="s">
        <v>44</v>
      </c>
      <c r="BK319">
        <v>0</v>
      </c>
      <c r="BL319" s="6">
        <f t="shared" si="44"/>
        <v>9</v>
      </c>
      <c r="BM319" s="6">
        <f t="shared" si="41"/>
        <v>9</v>
      </c>
      <c r="BN319">
        <v>26</v>
      </c>
      <c r="BO319">
        <f t="shared" si="46"/>
        <v>26</v>
      </c>
      <c r="BP319">
        <v>7</v>
      </c>
      <c r="BQ319">
        <f>SUM(BP319,BB319,BK319)</f>
        <v>7</v>
      </c>
      <c r="BR319">
        <f t="shared" si="48"/>
        <v>0</v>
      </c>
    </row>
    <row r="320" spans="1:70" hidden="1">
      <c r="A320" s="16" t="str">
        <f t="shared" si="40"/>
        <v>BB_2024_UPZ_2_4</v>
      </c>
      <c r="B320" t="s">
        <v>67</v>
      </c>
      <c r="C320">
        <v>44.830300000000001</v>
      </c>
      <c r="D320">
        <v>-124.0607</v>
      </c>
      <c r="E320" s="8">
        <v>45481</v>
      </c>
      <c r="F320">
        <v>2024</v>
      </c>
      <c r="G320" t="s">
        <v>64</v>
      </c>
      <c r="H320" t="s">
        <v>45</v>
      </c>
      <c r="I320">
        <v>2</v>
      </c>
      <c r="J320">
        <v>4</v>
      </c>
      <c r="K320" t="s">
        <v>43</v>
      </c>
      <c r="L320" s="23">
        <v>30</v>
      </c>
      <c r="M320" s="23">
        <v>28</v>
      </c>
      <c r="N320" s="23">
        <v>0</v>
      </c>
      <c r="O320" s="23">
        <v>2</v>
      </c>
      <c r="P320" s="23">
        <v>0</v>
      </c>
      <c r="Q320" s="23">
        <v>0</v>
      </c>
      <c r="R320" s="23" t="s">
        <v>44</v>
      </c>
      <c r="S320" s="22">
        <v>0</v>
      </c>
      <c r="T320" s="23">
        <v>3</v>
      </c>
      <c r="U320" s="23">
        <v>34</v>
      </c>
      <c r="V320" s="18" t="s">
        <v>44</v>
      </c>
      <c r="W320" s="18" t="s">
        <v>44</v>
      </c>
      <c r="X320" s="18" t="s">
        <v>44</v>
      </c>
      <c r="Y320" s="18" t="s">
        <v>44</v>
      </c>
      <c r="Z320" s="18" t="s">
        <v>44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1">
        <f t="shared" si="42"/>
        <v>0</v>
      </c>
      <c r="AG320" s="32" t="s">
        <v>44</v>
      </c>
      <c r="AH320">
        <v>0</v>
      </c>
      <c r="AI320">
        <v>17</v>
      </c>
      <c r="AJ320">
        <v>0</v>
      </c>
      <c r="AK320">
        <v>0</v>
      </c>
      <c r="AL320">
        <v>6</v>
      </c>
      <c r="AM320">
        <v>0</v>
      </c>
      <c r="AN320">
        <v>1</v>
      </c>
      <c r="AO320">
        <v>6</v>
      </c>
      <c r="AP320">
        <v>70</v>
      </c>
      <c r="AQ320" s="21" t="e">
        <f t="shared" si="45"/>
        <v>#VALUE!</v>
      </c>
      <c r="AR320" s="12">
        <f t="shared" si="43"/>
        <v>100</v>
      </c>
      <c r="AS320">
        <v>0</v>
      </c>
      <c r="AT320">
        <v>0</v>
      </c>
      <c r="AU320">
        <v>0</v>
      </c>
      <c r="AV320">
        <v>0</v>
      </c>
      <c r="AW320">
        <v>9</v>
      </c>
      <c r="AX320">
        <v>16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 t="s">
        <v>44</v>
      </c>
      <c r="BF320" t="s">
        <v>44</v>
      </c>
      <c r="BG320" t="s">
        <v>44</v>
      </c>
      <c r="BH320" t="s">
        <v>44</v>
      </c>
      <c r="BI320" t="s">
        <v>44</v>
      </c>
      <c r="BJ320" t="s">
        <v>44</v>
      </c>
      <c r="BK320">
        <v>0</v>
      </c>
      <c r="BL320" s="6">
        <f t="shared" si="44"/>
        <v>27</v>
      </c>
      <c r="BM320" s="6">
        <f t="shared" si="41"/>
        <v>27</v>
      </c>
      <c r="BN320">
        <v>17</v>
      </c>
      <c r="BO320">
        <f t="shared" si="46"/>
        <v>17</v>
      </c>
      <c r="BP320">
        <v>0</v>
      </c>
      <c r="BQ320">
        <f>SUM(BP320,BB320,BK320)</f>
        <v>0</v>
      </c>
      <c r="BR320">
        <f t="shared" si="48"/>
        <v>0</v>
      </c>
    </row>
    <row r="321" spans="1:70" hidden="1">
      <c r="A321" s="16" t="str">
        <f t="shared" si="40"/>
        <v>BB_2024_UPZ_2_5</v>
      </c>
      <c r="B321" t="s">
        <v>67</v>
      </c>
      <c r="C321">
        <v>44.830300000000001</v>
      </c>
      <c r="D321">
        <v>-124.0607</v>
      </c>
      <c r="E321" s="8">
        <v>45481</v>
      </c>
      <c r="F321">
        <v>2024</v>
      </c>
      <c r="G321" t="s">
        <v>64</v>
      </c>
      <c r="H321" t="s">
        <v>45</v>
      </c>
      <c r="I321">
        <v>2</v>
      </c>
      <c r="J321">
        <v>5</v>
      </c>
      <c r="K321" t="s">
        <v>43</v>
      </c>
      <c r="L321" s="23">
        <v>8</v>
      </c>
      <c r="M321" s="23">
        <v>7</v>
      </c>
      <c r="N321" s="23">
        <v>1</v>
      </c>
      <c r="O321" s="23">
        <v>0</v>
      </c>
      <c r="P321" s="23">
        <v>0</v>
      </c>
      <c r="Q321" s="23">
        <v>0</v>
      </c>
      <c r="R321" s="23" t="s">
        <v>44</v>
      </c>
      <c r="S321" s="22">
        <v>0</v>
      </c>
      <c r="T321" s="23">
        <v>5</v>
      </c>
      <c r="U321" s="23">
        <v>12</v>
      </c>
      <c r="V321" s="18">
        <v>6</v>
      </c>
      <c r="W321" s="18">
        <v>6.2</v>
      </c>
      <c r="X321" s="18">
        <v>5.5</v>
      </c>
      <c r="Y321" s="18">
        <v>4.8</v>
      </c>
      <c r="Z321" s="18">
        <v>4.5</v>
      </c>
      <c r="AA321" s="17">
        <v>0</v>
      </c>
      <c r="AB321" s="17">
        <v>1</v>
      </c>
      <c r="AC321" s="17">
        <v>1</v>
      </c>
      <c r="AD321" s="17">
        <v>1</v>
      </c>
      <c r="AE321" s="17">
        <v>0</v>
      </c>
      <c r="AF321" s="11">
        <f t="shared" si="42"/>
        <v>3</v>
      </c>
      <c r="AG321" s="32" t="s">
        <v>44</v>
      </c>
      <c r="AH321">
        <v>1</v>
      </c>
      <c r="AI321">
        <v>69</v>
      </c>
      <c r="AJ321">
        <v>4</v>
      </c>
      <c r="AK321">
        <v>0</v>
      </c>
      <c r="AL321">
        <v>10</v>
      </c>
      <c r="AM321">
        <v>0</v>
      </c>
      <c r="AN321">
        <v>0</v>
      </c>
      <c r="AO321">
        <v>0</v>
      </c>
      <c r="AP321">
        <v>16</v>
      </c>
      <c r="AQ321" s="21" t="e">
        <f t="shared" si="45"/>
        <v>#VALUE!</v>
      </c>
      <c r="AR321" s="12">
        <f t="shared" si="43"/>
        <v>100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s">
        <v>44</v>
      </c>
      <c r="BF321" t="s">
        <v>44</v>
      </c>
      <c r="BG321" t="s">
        <v>44</v>
      </c>
      <c r="BH321" t="s">
        <v>44</v>
      </c>
      <c r="BI321" t="s">
        <v>44</v>
      </c>
      <c r="BJ321" t="s">
        <v>44</v>
      </c>
      <c r="BK321">
        <v>0</v>
      </c>
      <c r="BL321" s="6">
        <f t="shared" si="44"/>
        <v>0</v>
      </c>
      <c r="BM321" s="6">
        <f t="shared" si="41"/>
        <v>0</v>
      </c>
      <c r="BN321">
        <v>69</v>
      </c>
      <c r="BO321">
        <f t="shared" si="46"/>
        <v>69</v>
      </c>
      <c r="BP321">
        <v>4</v>
      </c>
      <c r="BQ321">
        <f>SUM(BP321,BB321,BK321)</f>
        <v>4</v>
      </c>
      <c r="BR321">
        <f t="shared" si="48"/>
        <v>0</v>
      </c>
    </row>
    <row r="322" spans="1:70" hidden="1">
      <c r="A322" s="16" t="str">
        <f t="shared" ref="A322:A385" si="49">_xlfn.CONCAT(B322,"_",F322, "_",H322, "_",I322,"_",J322)</f>
        <v>BB_2024_NPZ_1_1</v>
      </c>
      <c r="B322" t="s">
        <v>67</v>
      </c>
      <c r="C322">
        <v>44.830300000000001</v>
      </c>
      <c r="D322">
        <v>-124.0607</v>
      </c>
      <c r="E322" s="8">
        <v>45481</v>
      </c>
      <c r="F322">
        <v>2024</v>
      </c>
      <c r="G322" t="s">
        <v>64</v>
      </c>
      <c r="H322" t="s">
        <v>48</v>
      </c>
      <c r="I322">
        <v>1</v>
      </c>
      <c r="J322">
        <v>1</v>
      </c>
      <c r="K322" t="s">
        <v>47</v>
      </c>
      <c r="L322" s="23">
        <v>24</v>
      </c>
      <c r="M322" s="23">
        <v>0</v>
      </c>
      <c r="N322" s="23">
        <v>4</v>
      </c>
      <c r="O322" s="23">
        <v>20</v>
      </c>
      <c r="P322" s="23">
        <v>6</v>
      </c>
      <c r="Q322" s="23">
        <v>0</v>
      </c>
      <c r="R322" s="23" t="s">
        <v>44</v>
      </c>
      <c r="S322" s="22">
        <v>0</v>
      </c>
      <c r="T322" s="23">
        <v>0</v>
      </c>
      <c r="U322" s="23">
        <v>0</v>
      </c>
      <c r="V322" s="18">
        <v>2.7759999999999998</v>
      </c>
      <c r="W322" s="18" t="s">
        <v>44</v>
      </c>
      <c r="X322" s="18" t="s">
        <v>44</v>
      </c>
      <c r="Y322" s="18" t="s">
        <v>44</v>
      </c>
      <c r="Z322" s="18" t="s">
        <v>44</v>
      </c>
      <c r="AA322" s="17">
        <v>0</v>
      </c>
      <c r="AB322" s="17">
        <v>0</v>
      </c>
      <c r="AC322" s="17">
        <v>2</v>
      </c>
      <c r="AD322" s="17">
        <v>2</v>
      </c>
      <c r="AE322" s="17">
        <v>0</v>
      </c>
      <c r="AF322" s="11">
        <f t="shared" si="42"/>
        <v>4</v>
      </c>
      <c r="AG322" s="32" t="s">
        <v>44</v>
      </c>
      <c r="AH322">
        <v>0</v>
      </c>
      <c r="AI322">
        <v>6</v>
      </c>
      <c r="AJ322">
        <v>0</v>
      </c>
      <c r="AK322">
        <v>0</v>
      </c>
      <c r="AL322">
        <v>17</v>
      </c>
      <c r="AM322">
        <v>2</v>
      </c>
      <c r="AN322">
        <v>1</v>
      </c>
      <c r="AO322">
        <v>0</v>
      </c>
      <c r="AP322">
        <v>74</v>
      </c>
      <c r="AQ322" s="21" t="e">
        <f t="shared" si="45"/>
        <v>#VALUE!</v>
      </c>
      <c r="AR322" s="12">
        <f t="shared" si="43"/>
        <v>100</v>
      </c>
      <c r="AS322">
        <v>0</v>
      </c>
      <c r="AT322">
        <v>8</v>
      </c>
      <c r="AU322">
        <v>0</v>
      </c>
      <c r="AV322">
        <v>0</v>
      </c>
      <c r="AW322">
        <v>10</v>
      </c>
      <c r="AX322">
        <v>0</v>
      </c>
      <c r="AY322">
        <v>0</v>
      </c>
      <c r="AZ322">
        <v>17</v>
      </c>
      <c r="BA322">
        <v>0</v>
      </c>
      <c r="BB322">
        <v>0</v>
      </c>
      <c r="BC322">
        <v>0</v>
      </c>
      <c r="BD322">
        <v>0</v>
      </c>
      <c r="BE322" t="s">
        <v>44</v>
      </c>
      <c r="BF322" t="s">
        <v>44</v>
      </c>
      <c r="BG322" t="s">
        <v>44</v>
      </c>
      <c r="BH322" t="s">
        <v>44</v>
      </c>
      <c r="BI322" t="s">
        <v>44</v>
      </c>
      <c r="BJ322" t="s">
        <v>44</v>
      </c>
      <c r="BK322">
        <v>0</v>
      </c>
      <c r="BL322" s="6">
        <f t="shared" si="44"/>
        <v>35</v>
      </c>
      <c r="BM322" s="6">
        <f t="shared" ref="BM322:BM385" si="50">SUM(AS322:BJ322)</f>
        <v>35</v>
      </c>
      <c r="BN322">
        <v>6</v>
      </c>
      <c r="BO322">
        <f t="shared" si="46"/>
        <v>6</v>
      </c>
      <c r="BP322">
        <v>0</v>
      </c>
      <c r="BQ322">
        <f>SUM(BP322,BB322,BK322)</f>
        <v>0</v>
      </c>
      <c r="BR322">
        <f t="shared" si="48"/>
        <v>0</v>
      </c>
    </row>
    <row r="323" spans="1:70" hidden="1">
      <c r="A323" s="16" t="str">
        <f t="shared" si="49"/>
        <v>BB_2024_NPZ_1_2</v>
      </c>
      <c r="B323" t="s">
        <v>67</v>
      </c>
      <c r="C323">
        <v>44.830300000000001</v>
      </c>
      <c r="D323">
        <v>-124.0607</v>
      </c>
      <c r="E323" s="8">
        <v>45420</v>
      </c>
      <c r="F323">
        <v>2024</v>
      </c>
      <c r="G323" t="s">
        <v>64</v>
      </c>
      <c r="H323" t="s">
        <v>48</v>
      </c>
      <c r="I323">
        <v>1</v>
      </c>
      <c r="J323">
        <v>2</v>
      </c>
      <c r="K323" t="s">
        <v>47</v>
      </c>
      <c r="L323" s="23">
        <v>14</v>
      </c>
      <c r="M323" s="23">
        <v>0</v>
      </c>
      <c r="N323" s="23">
        <v>0</v>
      </c>
      <c r="O323" s="23">
        <v>14</v>
      </c>
      <c r="P323" s="23">
        <v>0</v>
      </c>
      <c r="Q323" s="23">
        <v>0</v>
      </c>
      <c r="R323" s="23" t="s">
        <v>44</v>
      </c>
      <c r="S323" s="22">
        <v>0</v>
      </c>
      <c r="T323" s="23">
        <v>0</v>
      </c>
      <c r="U323" s="23">
        <v>0</v>
      </c>
      <c r="V323" s="18">
        <v>4.7</v>
      </c>
      <c r="W323" s="18">
        <v>5.0999999999999996</v>
      </c>
      <c r="X323" s="18">
        <v>5.8</v>
      </c>
      <c r="Y323" s="18">
        <v>5.8</v>
      </c>
      <c r="Z323" s="18">
        <v>4.5999999999999996</v>
      </c>
      <c r="AA323" s="17">
        <v>0</v>
      </c>
      <c r="AB323" s="17">
        <v>0</v>
      </c>
      <c r="AC323" s="17">
        <v>0</v>
      </c>
      <c r="AD323" s="17">
        <v>1</v>
      </c>
      <c r="AE323" s="17">
        <v>0</v>
      </c>
      <c r="AF323" s="11">
        <f t="shared" ref="AF323:AF330" si="51">SUM(AA323:AE323)</f>
        <v>1</v>
      </c>
      <c r="AG323" s="32" t="s">
        <v>44</v>
      </c>
      <c r="AH323">
        <v>0</v>
      </c>
      <c r="AI323">
        <v>0</v>
      </c>
      <c r="AJ323">
        <v>0</v>
      </c>
      <c r="AK323">
        <v>7</v>
      </c>
      <c r="AL323">
        <v>28</v>
      </c>
      <c r="AM323">
        <v>0</v>
      </c>
      <c r="AN323">
        <v>2</v>
      </c>
      <c r="AO323">
        <v>0</v>
      </c>
      <c r="AP323">
        <v>63</v>
      </c>
      <c r="AQ323" s="21" t="e">
        <f t="shared" si="45"/>
        <v>#VALUE!</v>
      </c>
      <c r="AR323" s="12">
        <f t="shared" ref="AR323:AR386" si="52">SUM(AH323:AP323)</f>
        <v>100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35</v>
      </c>
      <c r="BA323">
        <v>0</v>
      </c>
      <c r="BB323">
        <v>0</v>
      </c>
      <c r="BC323">
        <v>0</v>
      </c>
      <c r="BD323">
        <v>0</v>
      </c>
      <c r="BE323" t="s">
        <v>44</v>
      </c>
      <c r="BF323" t="s">
        <v>44</v>
      </c>
      <c r="BG323" t="s">
        <v>44</v>
      </c>
      <c r="BH323" t="s">
        <v>44</v>
      </c>
      <c r="BI323" t="s">
        <v>44</v>
      </c>
      <c r="BJ323" t="s">
        <v>44</v>
      </c>
      <c r="BK323">
        <v>0</v>
      </c>
      <c r="BL323" s="6">
        <f t="shared" ref="BL323:BL386" si="53">SUM(AS323:AT323,AV323:AW323,AX323:BA323,BC323:BF323,BJ323)</f>
        <v>35</v>
      </c>
      <c r="BM323" s="6">
        <f t="shared" si="50"/>
        <v>35</v>
      </c>
      <c r="BN323">
        <v>0</v>
      </c>
      <c r="BO323">
        <f t="shared" si="46"/>
        <v>0</v>
      </c>
      <c r="BP323">
        <v>0</v>
      </c>
      <c r="BQ323">
        <f>SUM(BP323,BB323,BK323)</f>
        <v>0</v>
      </c>
      <c r="BR323">
        <f t="shared" si="48"/>
        <v>0</v>
      </c>
    </row>
    <row r="324" spans="1:70" hidden="1">
      <c r="A324" s="16" t="str">
        <f t="shared" si="49"/>
        <v>BB_2024_NPZ_1_3</v>
      </c>
      <c r="B324" t="s">
        <v>67</v>
      </c>
      <c r="C324">
        <v>44.830300000000001</v>
      </c>
      <c r="D324">
        <v>-124.0607</v>
      </c>
      <c r="E324" s="8">
        <v>45420</v>
      </c>
      <c r="F324">
        <v>2024</v>
      </c>
      <c r="G324" t="s">
        <v>64</v>
      </c>
      <c r="H324" t="s">
        <v>48</v>
      </c>
      <c r="I324">
        <v>1</v>
      </c>
      <c r="J324">
        <v>3</v>
      </c>
      <c r="K324" t="s">
        <v>47</v>
      </c>
      <c r="L324" s="23">
        <v>3</v>
      </c>
      <c r="M324" s="23">
        <v>0</v>
      </c>
      <c r="N324" s="23">
        <v>0</v>
      </c>
      <c r="O324" s="23">
        <v>3</v>
      </c>
      <c r="P324" s="23">
        <v>0</v>
      </c>
      <c r="Q324" s="23">
        <v>0</v>
      </c>
      <c r="R324" s="23" t="s">
        <v>44</v>
      </c>
      <c r="S324" s="22">
        <v>0</v>
      </c>
      <c r="T324" s="23">
        <v>0</v>
      </c>
      <c r="U324" s="23">
        <v>0</v>
      </c>
      <c r="V324" s="18">
        <v>5.5640000000000001</v>
      </c>
      <c r="W324" s="18">
        <v>3.3050000000000002</v>
      </c>
      <c r="X324" s="18">
        <v>6.2690000000000001</v>
      </c>
      <c r="Y324" s="18" t="s">
        <v>44</v>
      </c>
      <c r="Z324" s="18" t="s">
        <v>44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1">
        <f t="shared" si="51"/>
        <v>0</v>
      </c>
      <c r="AG324" s="32" t="s">
        <v>44</v>
      </c>
      <c r="AH324">
        <v>0</v>
      </c>
      <c r="AI324">
        <v>6</v>
      </c>
      <c r="AJ324">
        <v>0</v>
      </c>
      <c r="AK324">
        <v>4</v>
      </c>
      <c r="AL324">
        <v>7</v>
      </c>
      <c r="AM324">
        <v>0</v>
      </c>
      <c r="AN324">
        <v>1</v>
      </c>
      <c r="AO324">
        <v>0</v>
      </c>
      <c r="AP324">
        <v>82</v>
      </c>
      <c r="AQ324" s="21" t="e">
        <f t="shared" si="45"/>
        <v>#VALUE!</v>
      </c>
      <c r="AR324" s="12">
        <f t="shared" si="52"/>
        <v>100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</v>
      </c>
      <c r="BA324">
        <v>0</v>
      </c>
      <c r="BB324">
        <v>0</v>
      </c>
      <c r="BC324">
        <v>0</v>
      </c>
      <c r="BD324">
        <v>0</v>
      </c>
      <c r="BE324" t="s">
        <v>44</v>
      </c>
      <c r="BF324" t="s">
        <v>44</v>
      </c>
      <c r="BG324" t="s">
        <v>44</v>
      </c>
      <c r="BH324" t="s">
        <v>44</v>
      </c>
      <c r="BI324" t="s">
        <v>44</v>
      </c>
      <c r="BJ324" t="s">
        <v>44</v>
      </c>
      <c r="BK324">
        <v>0</v>
      </c>
      <c r="BL324" s="6">
        <f t="shared" si="53"/>
        <v>5</v>
      </c>
      <c r="BM324" s="6">
        <f t="shared" si="50"/>
        <v>5</v>
      </c>
      <c r="BN324">
        <v>6</v>
      </c>
      <c r="BO324">
        <f t="shared" si="46"/>
        <v>6</v>
      </c>
      <c r="BP324">
        <v>0</v>
      </c>
      <c r="BQ324">
        <f>SUM(BP324,BB324,BK324)</f>
        <v>0</v>
      </c>
      <c r="BR324">
        <f t="shared" si="48"/>
        <v>0</v>
      </c>
    </row>
    <row r="325" spans="1:70" hidden="1">
      <c r="A325" s="16" t="str">
        <f t="shared" si="49"/>
        <v>BB_2024_NPZ_1_4</v>
      </c>
      <c r="B325" t="s">
        <v>67</v>
      </c>
      <c r="C325">
        <v>44.830300000000001</v>
      </c>
      <c r="D325">
        <v>-124.0607</v>
      </c>
      <c r="E325" s="8">
        <v>45420</v>
      </c>
      <c r="F325">
        <v>2024</v>
      </c>
      <c r="G325" t="s">
        <v>64</v>
      </c>
      <c r="H325" t="s">
        <v>48</v>
      </c>
      <c r="I325">
        <v>1</v>
      </c>
      <c r="J325">
        <v>4</v>
      </c>
      <c r="K325" t="s">
        <v>47</v>
      </c>
      <c r="L325" s="23">
        <v>20</v>
      </c>
      <c r="M325" s="23">
        <v>6</v>
      </c>
      <c r="N325" s="23">
        <v>2</v>
      </c>
      <c r="O325" s="23">
        <v>12</v>
      </c>
      <c r="P325" s="23">
        <v>1</v>
      </c>
      <c r="Q325" s="23">
        <v>0</v>
      </c>
      <c r="R325" s="23" t="s">
        <v>44</v>
      </c>
      <c r="S325" s="22">
        <v>0</v>
      </c>
      <c r="T325" s="23">
        <v>1</v>
      </c>
      <c r="U325" s="23">
        <v>21</v>
      </c>
      <c r="V325" s="18">
        <v>3.8</v>
      </c>
      <c r="W325" s="18">
        <v>3.5</v>
      </c>
      <c r="X325" s="18">
        <v>3.4</v>
      </c>
      <c r="Y325" s="18">
        <v>4.7</v>
      </c>
      <c r="Z325" s="18">
        <v>3.1</v>
      </c>
      <c r="AA325" s="17">
        <v>1</v>
      </c>
      <c r="AB325" s="17">
        <v>0</v>
      </c>
      <c r="AC325" s="17">
        <v>0</v>
      </c>
      <c r="AD325" s="17">
        <v>0</v>
      </c>
      <c r="AE325" s="17">
        <v>0</v>
      </c>
      <c r="AF325" s="11">
        <f t="shared" si="51"/>
        <v>1</v>
      </c>
      <c r="AG325" s="32" t="s">
        <v>44</v>
      </c>
      <c r="AH325">
        <v>0</v>
      </c>
      <c r="AI325">
        <v>12</v>
      </c>
      <c r="AJ325">
        <v>0</v>
      </c>
      <c r="AK325">
        <v>4</v>
      </c>
      <c r="AL325">
        <v>4</v>
      </c>
      <c r="AM325">
        <v>2</v>
      </c>
      <c r="AN325">
        <v>0</v>
      </c>
      <c r="AO325">
        <v>0</v>
      </c>
      <c r="AP325">
        <v>78</v>
      </c>
      <c r="AQ325" s="21" t="e">
        <f t="shared" si="45"/>
        <v>#VALUE!</v>
      </c>
      <c r="AR325" s="12">
        <f t="shared" si="52"/>
        <v>100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7</v>
      </c>
      <c r="BA325">
        <v>0</v>
      </c>
      <c r="BB325">
        <v>0</v>
      </c>
      <c r="BC325">
        <v>0</v>
      </c>
      <c r="BD325">
        <v>0</v>
      </c>
      <c r="BE325" t="s">
        <v>44</v>
      </c>
      <c r="BF325" t="s">
        <v>44</v>
      </c>
      <c r="BG325" t="s">
        <v>44</v>
      </c>
      <c r="BH325" t="s">
        <v>44</v>
      </c>
      <c r="BI325" t="s">
        <v>44</v>
      </c>
      <c r="BJ325" t="s">
        <v>44</v>
      </c>
      <c r="BK325">
        <v>0</v>
      </c>
      <c r="BL325" s="6">
        <f t="shared" si="53"/>
        <v>7</v>
      </c>
      <c r="BM325" s="6">
        <f t="shared" si="50"/>
        <v>7</v>
      </c>
      <c r="BN325">
        <v>12</v>
      </c>
      <c r="BO325">
        <f t="shared" si="46"/>
        <v>12</v>
      </c>
      <c r="BP325">
        <v>0</v>
      </c>
      <c r="BQ325">
        <f>SUM(BP325,BB325,BK325)</f>
        <v>0</v>
      </c>
      <c r="BR325">
        <f t="shared" si="48"/>
        <v>0</v>
      </c>
    </row>
    <row r="326" spans="1:70" hidden="1">
      <c r="A326" s="16" t="str">
        <f t="shared" si="49"/>
        <v>BB_2024_NPZ_1_5</v>
      </c>
      <c r="B326" t="s">
        <v>67</v>
      </c>
      <c r="C326">
        <v>44.830300000000001</v>
      </c>
      <c r="D326">
        <v>-124.0607</v>
      </c>
      <c r="E326" s="8">
        <v>45420</v>
      </c>
      <c r="F326">
        <v>2024</v>
      </c>
      <c r="G326" t="s">
        <v>64</v>
      </c>
      <c r="H326" t="s">
        <v>48</v>
      </c>
      <c r="I326">
        <v>1</v>
      </c>
      <c r="J326">
        <v>5</v>
      </c>
      <c r="K326" t="s">
        <v>47</v>
      </c>
      <c r="L326" s="23">
        <v>11</v>
      </c>
      <c r="M326" s="23">
        <v>3</v>
      </c>
      <c r="N326" s="23">
        <v>1</v>
      </c>
      <c r="O326" s="23">
        <v>7</v>
      </c>
      <c r="P326" s="23">
        <v>0</v>
      </c>
      <c r="Q326" s="23">
        <v>0</v>
      </c>
      <c r="R326" s="23" t="s">
        <v>44</v>
      </c>
      <c r="S326" s="22">
        <v>0</v>
      </c>
      <c r="T326" s="23">
        <v>2</v>
      </c>
      <c r="U326" s="23">
        <v>5</v>
      </c>
      <c r="V326" s="18">
        <v>2.3980000000000001</v>
      </c>
      <c r="W326" s="18">
        <v>1.518</v>
      </c>
      <c r="X326" s="18" t="s">
        <v>44</v>
      </c>
      <c r="Y326" s="18" t="s">
        <v>44</v>
      </c>
      <c r="Z326" s="18" t="s">
        <v>44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1">
        <f t="shared" si="51"/>
        <v>0</v>
      </c>
      <c r="AG326" s="32" t="s">
        <v>44</v>
      </c>
      <c r="AH326">
        <v>6</v>
      </c>
      <c r="AI326">
        <v>84</v>
      </c>
      <c r="AJ326">
        <v>0</v>
      </c>
      <c r="AK326">
        <v>0</v>
      </c>
      <c r="AL326">
        <v>2</v>
      </c>
      <c r="AM326">
        <v>1</v>
      </c>
      <c r="AN326">
        <v>3</v>
      </c>
      <c r="AO326">
        <v>0</v>
      </c>
      <c r="AP326">
        <v>4</v>
      </c>
      <c r="AQ326" s="21" t="e">
        <f t="shared" si="45"/>
        <v>#VALUE!</v>
      </c>
      <c r="AR326" s="12">
        <f t="shared" si="52"/>
        <v>100</v>
      </c>
      <c r="AS326">
        <v>2</v>
      </c>
      <c r="AT326">
        <v>5</v>
      </c>
      <c r="AU326">
        <v>0</v>
      </c>
      <c r="AV326">
        <v>0</v>
      </c>
      <c r="AW326">
        <v>1</v>
      </c>
      <c r="AX326">
        <v>13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s">
        <v>44</v>
      </c>
      <c r="BF326" t="s">
        <v>44</v>
      </c>
      <c r="BG326" t="s">
        <v>44</v>
      </c>
      <c r="BH326" t="s">
        <v>44</v>
      </c>
      <c r="BI326" t="s">
        <v>44</v>
      </c>
      <c r="BJ326" t="s">
        <v>44</v>
      </c>
      <c r="BK326">
        <v>0</v>
      </c>
      <c r="BL326" s="6">
        <f t="shared" si="53"/>
        <v>21</v>
      </c>
      <c r="BM326" s="6">
        <f t="shared" si="50"/>
        <v>21</v>
      </c>
      <c r="BN326">
        <v>84</v>
      </c>
      <c r="BO326">
        <f t="shared" si="46"/>
        <v>84</v>
      </c>
      <c r="BP326">
        <v>0</v>
      </c>
      <c r="BQ326">
        <f>SUM(BP326,BB326,BK326)</f>
        <v>0</v>
      </c>
      <c r="BR326">
        <f t="shared" si="48"/>
        <v>0</v>
      </c>
    </row>
    <row r="327" spans="1:70" hidden="1">
      <c r="A327" s="16" t="str">
        <f t="shared" si="49"/>
        <v>BB_2024_NPZ_2_1</v>
      </c>
      <c r="B327" t="s">
        <v>67</v>
      </c>
      <c r="C327">
        <v>44.830300000000001</v>
      </c>
      <c r="D327">
        <v>-124.0607</v>
      </c>
      <c r="E327" s="8">
        <v>45420</v>
      </c>
      <c r="F327">
        <v>2024</v>
      </c>
      <c r="G327" t="s">
        <v>64</v>
      </c>
      <c r="H327" t="s">
        <v>48</v>
      </c>
      <c r="I327">
        <v>2</v>
      </c>
      <c r="J327">
        <v>1</v>
      </c>
      <c r="K327" t="s">
        <v>84</v>
      </c>
      <c r="L327" s="23">
        <v>18</v>
      </c>
      <c r="M327" s="23">
        <v>0</v>
      </c>
      <c r="N327" s="23">
        <v>18</v>
      </c>
      <c r="O327" s="23">
        <v>0</v>
      </c>
      <c r="P327" s="23">
        <v>0</v>
      </c>
      <c r="Q327" s="23">
        <v>0</v>
      </c>
      <c r="R327" s="23" t="s">
        <v>44</v>
      </c>
      <c r="S327" s="22">
        <v>0</v>
      </c>
      <c r="T327" s="23">
        <v>0</v>
      </c>
      <c r="U327" s="23">
        <v>0</v>
      </c>
      <c r="V327" s="18">
        <v>2.8</v>
      </c>
      <c r="W327" s="18">
        <v>3.8</v>
      </c>
      <c r="X327" s="18">
        <v>2.6</v>
      </c>
      <c r="Y327" s="18">
        <v>3.1</v>
      </c>
      <c r="Z327" s="18">
        <v>2.1</v>
      </c>
      <c r="AA327" s="17">
        <v>1</v>
      </c>
      <c r="AB327" s="17">
        <v>0</v>
      </c>
      <c r="AC327" s="17">
        <v>1</v>
      </c>
      <c r="AD327" s="17">
        <v>7</v>
      </c>
      <c r="AE327" s="17">
        <v>0</v>
      </c>
      <c r="AF327" s="11">
        <f t="shared" si="51"/>
        <v>9</v>
      </c>
      <c r="AG327" s="32" t="s">
        <v>44</v>
      </c>
      <c r="AH327">
        <v>0</v>
      </c>
      <c r="AI327">
        <v>60</v>
      </c>
      <c r="AJ327">
        <v>16</v>
      </c>
      <c r="AK327">
        <v>0</v>
      </c>
      <c r="AL327">
        <v>9</v>
      </c>
      <c r="AM327">
        <v>2</v>
      </c>
      <c r="AN327">
        <v>6</v>
      </c>
      <c r="AO327">
        <v>0</v>
      </c>
      <c r="AP327">
        <v>7</v>
      </c>
      <c r="AQ327" s="21" t="e">
        <f t="shared" si="45"/>
        <v>#VALUE!</v>
      </c>
      <c r="AR327" s="12">
        <f t="shared" si="52"/>
        <v>100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t="s">
        <v>44</v>
      </c>
      <c r="BF327" t="s">
        <v>44</v>
      </c>
      <c r="BG327" t="s">
        <v>44</v>
      </c>
      <c r="BH327" t="s">
        <v>44</v>
      </c>
      <c r="BI327" t="s">
        <v>44</v>
      </c>
      <c r="BJ327" t="s">
        <v>44</v>
      </c>
      <c r="BK327">
        <v>0</v>
      </c>
      <c r="BL327" s="6">
        <f t="shared" si="53"/>
        <v>2</v>
      </c>
      <c r="BM327" s="6">
        <f t="shared" si="50"/>
        <v>2</v>
      </c>
      <c r="BN327">
        <v>60</v>
      </c>
      <c r="BO327">
        <f t="shared" si="46"/>
        <v>60</v>
      </c>
      <c r="BP327">
        <v>16</v>
      </c>
      <c r="BQ327">
        <f>SUM(BP327,BB327,BK327)</f>
        <v>16</v>
      </c>
      <c r="BR327">
        <f t="shared" si="48"/>
        <v>0</v>
      </c>
    </row>
    <row r="328" spans="1:70" hidden="1">
      <c r="A328" s="16" t="str">
        <f t="shared" si="49"/>
        <v>BB_2024_NPZ_2_2</v>
      </c>
      <c r="B328" t="s">
        <v>67</v>
      </c>
      <c r="C328">
        <v>44.830300000000001</v>
      </c>
      <c r="D328">
        <v>-124.0607</v>
      </c>
      <c r="E328" s="8">
        <v>45481</v>
      </c>
      <c r="F328">
        <v>2024</v>
      </c>
      <c r="G328" t="s">
        <v>64</v>
      </c>
      <c r="H328" t="s">
        <v>48</v>
      </c>
      <c r="I328">
        <v>2</v>
      </c>
      <c r="J328">
        <v>2</v>
      </c>
      <c r="K328" t="s">
        <v>85</v>
      </c>
      <c r="L328" s="23">
        <v>12</v>
      </c>
      <c r="M328" s="23">
        <v>2</v>
      </c>
      <c r="N328" s="23">
        <v>7</v>
      </c>
      <c r="O328" s="23">
        <v>3</v>
      </c>
      <c r="P328" s="23">
        <v>0</v>
      </c>
      <c r="Q328" s="23">
        <v>0</v>
      </c>
      <c r="R328" s="23" t="s">
        <v>44</v>
      </c>
      <c r="S328" s="22">
        <v>0</v>
      </c>
      <c r="T328" s="23">
        <v>0</v>
      </c>
      <c r="U328" s="23">
        <v>2</v>
      </c>
      <c r="V328" s="18">
        <v>4.0999999999999996</v>
      </c>
      <c r="W328" s="18">
        <v>2.6</v>
      </c>
      <c r="X328" s="18">
        <v>3.2</v>
      </c>
      <c r="Y328" s="18">
        <v>3.5</v>
      </c>
      <c r="Z328" s="18">
        <v>2.8</v>
      </c>
      <c r="AA328" s="17">
        <v>1</v>
      </c>
      <c r="AB328" s="17">
        <v>2</v>
      </c>
      <c r="AC328" s="17">
        <v>2</v>
      </c>
      <c r="AD328" s="17">
        <v>1</v>
      </c>
      <c r="AE328" s="17">
        <v>1</v>
      </c>
      <c r="AF328" s="11">
        <f t="shared" si="51"/>
        <v>7</v>
      </c>
      <c r="AG328" s="32" t="s">
        <v>44</v>
      </c>
      <c r="AH328">
        <v>0</v>
      </c>
      <c r="AI328">
        <v>76</v>
      </c>
      <c r="AJ328">
        <v>9</v>
      </c>
      <c r="AK328">
        <v>0</v>
      </c>
      <c r="AL328">
        <v>7</v>
      </c>
      <c r="AM328">
        <v>2</v>
      </c>
      <c r="AN328">
        <v>0</v>
      </c>
      <c r="AO328">
        <v>0</v>
      </c>
      <c r="AP328">
        <v>6</v>
      </c>
      <c r="AQ328" s="21" t="e">
        <f t="shared" si="45"/>
        <v>#VALUE!</v>
      </c>
      <c r="AR328" s="12">
        <f t="shared" si="52"/>
        <v>100</v>
      </c>
      <c r="AS328">
        <v>0</v>
      </c>
      <c r="AT328">
        <v>0</v>
      </c>
      <c r="AU328">
        <v>0</v>
      </c>
      <c r="AV328">
        <v>0</v>
      </c>
      <c r="AW328">
        <v>3</v>
      </c>
      <c r="AX328">
        <v>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 t="s">
        <v>44</v>
      </c>
      <c r="BF328" t="s">
        <v>44</v>
      </c>
      <c r="BG328" t="s">
        <v>44</v>
      </c>
      <c r="BH328" t="s">
        <v>44</v>
      </c>
      <c r="BI328" t="s">
        <v>44</v>
      </c>
      <c r="BJ328" t="s">
        <v>44</v>
      </c>
      <c r="BK328">
        <v>0</v>
      </c>
      <c r="BL328" s="6">
        <f t="shared" si="53"/>
        <v>12</v>
      </c>
      <c r="BM328" s="6">
        <f t="shared" si="50"/>
        <v>12</v>
      </c>
      <c r="BN328">
        <v>76</v>
      </c>
      <c r="BO328">
        <f t="shared" si="46"/>
        <v>76</v>
      </c>
      <c r="BP328">
        <v>9</v>
      </c>
      <c r="BQ328">
        <f>SUM(BP328,BB328,BK328)</f>
        <v>9</v>
      </c>
      <c r="BR328">
        <f t="shared" si="48"/>
        <v>0</v>
      </c>
    </row>
    <row r="329" spans="1:70" hidden="1">
      <c r="A329" s="16" t="str">
        <f t="shared" si="49"/>
        <v>BB_2024_NPZ_2_3</v>
      </c>
      <c r="B329" t="s">
        <v>67</v>
      </c>
      <c r="C329">
        <v>44.830300000000001</v>
      </c>
      <c r="D329">
        <v>-124.0607</v>
      </c>
      <c r="E329" s="8">
        <v>45481</v>
      </c>
      <c r="F329">
        <v>2024</v>
      </c>
      <c r="G329" t="s">
        <v>64</v>
      </c>
      <c r="H329" t="s">
        <v>48</v>
      </c>
      <c r="I329">
        <v>2</v>
      </c>
      <c r="J329">
        <v>3</v>
      </c>
      <c r="K329" t="s">
        <v>85</v>
      </c>
      <c r="L329" s="23">
        <v>8</v>
      </c>
      <c r="M329" s="23">
        <v>1</v>
      </c>
      <c r="N329" s="23">
        <v>7</v>
      </c>
      <c r="O329" s="23">
        <v>0</v>
      </c>
      <c r="P329" s="23">
        <v>0</v>
      </c>
      <c r="Q329" s="23">
        <v>0</v>
      </c>
      <c r="R329" s="23" t="s">
        <v>44</v>
      </c>
      <c r="S329" s="22">
        <v>0</v>
      </c>
      <c r="T329" s="23">
        <v>1</v>
      </c>
      <c r="U329" s="23">
        <v>2</v>
      </c>
      <c r="V329" s="18">
        <v>3.2130000000000001</v>
      </c>
      <c r="W329" s="18">
        <v>3.92</v>
      </c>
      <c r="X329" s="18">
        <v>1.4610000000000001</v>
      </c>
      <c r="Y329" s="18" t="s">
        <v>44</v>
      </c>
      <c r="Z329" s="18" t="s">
        <v>44</v>
      </c>
      <c r="AA329" s="17">
        <v>0</v>
      </c>
      <c r="AB329" s="17">
        <v>0</v>
      </c>
      <c r="AC329" s="17">
        <v>1</v>
      </c>
      <c r="AD329" s="17">
        <v>0</v>
      </c>
      <c r="AE329" s="17">
        <v>0</v>
      </c>
      <c r="AF329" s="11">
        <f t="shared" si="51"/>
        <v>1</v>
      </c>
      <c r="AG329" s="32" t="s">
        <v>44</v>
      </c>
      <c r="AH329">
        <v>1</v>
      </c>
      <c r="AI329">
        <v>8</v>
      </c>
      <c r="AJ329">
        <v>0.1</v>
      </c>
      <c r="AK329">
        <v>0</v>
      </c>
      <c r="AL329">
        <v>12</v>
      </c>
      <c r="AM329">
        <v>6</v>
      </c>
      <c r="AN329">
        <v>0</v>
      </c>
      <c r="AO329">
        <v>0</v>
      </c>
      <c r="AP329">
        <v>73</v>
      </c>
      <c r="AQ329" s="21" t="e">
        <f t="shared" si="45"/>
        <v>#VALUE!</v>
      </c>
      <c r="AR329" s="12">
        <f t="shared" si="52"/>
        <v>100.1</v>
      </c>
      <c r="AS329">
        <v>3</v>
      </c>
      <c r="AT329">
        <v>0</v>
      </c>
      <c r="AU329">
        <v>0</v>
      </c>
      <c r="AV329">
        <v>0</v>
      </c>
      <c r="AW329">
        <v>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 t="s">
        <v>44</v>
      </c>
      <c r="BF329" t="s">
        <v>44</v>
      </c>
      <c r="BG329" t="s">
        <v>44</v>
      </c>
      <c r="BH329" t="s">
        <v>44</v>
      </c>
      <c r="BI329" t="s">
        <v>44</v>
      </c>
      <c r="BJ329" t="s">
        <v>44</v>
      </c>
      <c r="BK329">
        <v>0</v>
      </c>
      <c r="BL329" s="6">
        <f t="shared" si="53"/>
        <v>11</v>
      </c>
      <c r="BM329" s="6">
        <f t="shared" si="50"/>
        <v>11</v>
      </c>
      <c r="BN329">
        <v>8</v>
      </c>
      <c r="BO329">
        <f t="shared" si="46"/>
        <v>8</v>
      </c>
      <c r="BP329">
        <v>0.1</v>
      </c>
      <c r="BQ329">
        <f>SUM(BP329,BB329,BK329)</f>
        <v>0.1</v>
      </c>
      <c r="BR329">
        <f t="shared" si="48"/>
        <v>0</v>
      </c>
    </row>
    <row r="330" spans="1:70" hidden="1">
      <c r="A330" s="16" t="str">
        <f t="shared" si="49"/>
        <v>BB_2024_NPZ_2_4</v>
      </c>
      <c r="B330" t="s">
        <v>67</v>
      </c>
      <c r="C330">
        <v>44.830300000000001</v>
      </c>
      <c r="D330">
        <v>-124.0607</v>
      </c>
      <c r="E330" s="8">
        <v>45481</v>
      </c>
      <c r="F330">
        <v>2024</v>
      </c>
      <c r="G330" t="s">
        <v>64</v>
      </c>
      <c r="H330" t="s">
        <v>48</v>
      </c>
      <c r="I330">
        <v>2</v>
      </c>
      <c r="J330">
        <v>4</v>
      </c>
      <c r="K330" t="s">
        <v>85</v>
      </c>
      <c r="L330" s="23">
        <v>7</v>
      </c>
      <c r="M330" s="23">
        <v>0</v>
      </c>
      <c r="N330" s="23">
        <v>7</v>
      </c>
      <c r="O330" s="23">
        <v>0</v>
      </c>
      <c r="P330" s="23">
        <v>0</v>
      </c>
      <c r="Q330" s="23">
        <v>0</v>
      </c>
      <c r="R330" s="23" t="s">
        <v>44</v>
      </c>
      <c r="S330" s="22">
        <v>0</v>
      </c>
      <c r="T330" s="23">
        <v>0</v>
      </c>
      <c r="U330" s="23">
        <v>0</v>
      </c>
      <c r="V330" s="18">
        <v>5.3849999999999998</v>
      </c>
      <c r="W330" s="18">
        <v>3.5779999999999998</v>
      </c>
      <c r="X330" s="18">
        <v>5.1539999999999999</v>
      </c>
      <c r="Y330" s="18">
        <v>2.9470000000000001</v>
      </c>
      <c r="Z330" s="18">
        <v>4.1070000000000002</v>
      </c>
      <c r="AA330" s="17">
        <v>0</v>
      </c>
      <c r="AB330" s="17">
        <v>0</v>
      </c>
      <c r="AC330" s="17">
        <v>1</v>
      </c>
      <c r="AD330" s="17">
        <v>0</v>
      </c>
      <c r="AE330" s="17">
        <v>0</v>
      </c>
      <c r="AF330" s="11">
        <f t="shared" si="51"/>
        <v>1</v>
      </c>
      <c r="AG330" s="32" t="s">
        <v>44</v>
      </c>
      <c r="AH330">
        <v>1</v>
      </c>
      <c r="AI330">
        <v>4</v>
      </c>
      <c r="AJ330">
        <v>5</v>
      </c>
      <c r="AK330">
        <v>0</v>
      </c>
      <c r="AL330">
        <v>5</v>
      </c>
      <c r="AM330">
        <v>2</v>
      </c>
      <c r="AN330">
        <v>3</v>
      </c>
      <c r="AO330">
        <v>5</v>
      </c>
      <c r="AP330">
        <v>75</v>
      </c>
      <c r="AQ330" s="21" t="e">
        <f t="shared" si="45"/>
        <v>#VALUE!</v>
      </c>
      <c r="AR330" s="12">
        <f t="shared" si="52"/>
        <v>100</v>
      </c>
      <c r="AS330">
        <v>0</v>
      </c>
      <c r="AT330">
        <v>0</v>
      </c>
      <c r="AU330">
        <v>0</v>
      </c>
      <c r="AV330">
        <v>0</v>
      </c>
      <c r="AW330">
        <v>24</v>
      </c>
      <c r="AX330">
        <v>0</v>
      </c>
      <c r="AY330">
        <v>2</v>
      </c>
      <c r="AZ330">
        <v>0</v>
      </c>
      <c r="BA330">
        <v>12</v>
      </c>
      <c r="BB330">
        <v>0</v>
      </c>
      <c r="BC330">
        <v>0</v>
      </c>
      <c r="BD330">
        <v>0</v>
      </c>
      <c r="BE330" t="s">
        <v>44</v>
      </c>
      <c r="BF330" t="s">
        <v>44</v>
      </c>
      <c r="BG330" t="s">
        <v>44</v>
      </c>
      <c r="BH330" t="s">
        <v>44</v>
      </c>
      <c r="BI330" t="s">
        <v>44</v>
      </c>
      <c r="BJ330" t="s">
        <v>44</v>
      </c>
      <c r="BK330">
        <v>0</v>
      </c>
      <c r="BL330" s="6">
        <f t="shared" si="53"/>
        <v>38</v>
      </c>
      <c r="BM330" s="6">
        <f t="shared" si="50"/>
        <v>38</v>
      </c>
      <c r="BN330">
        <v>4</v>
      </c>
      <c r="BO330">
        <f t="shared" si="46"/>
        <v>4</v>
      </c>
      <c r="BP330">
        <v>5</v>
      </c>
      <c r="BQ330">
        <f>SUM(BP330,BB330,BK330)</f>
        <v>5</v>
      </c>
      <c r="BR330">
        <f t="shared" si="48"/>
        <v>0</v>
      </c>
    </row>
    <row r="331" spans="1:70" hidden="1">
      <c r="A331" s="16" t="str">
        <f t="shared" si="49"/>
        <v>BB_2024_NPZ_2_5</v>
      </c>
      <c r="B331" t="s">
        <v>67</v>
      </c>
      <c r="C331">
        <v>44.830300000000001</v>
      </c>
      <c r="D331">
        <v>-124.0607</v>
      </c>
      <c r="E331" s="8">
        <v>45481</v>
      </c>
      <c r="F331">
        <v>2024</v>
      </c>
      <c r="G331" t="s">
        <v>64</v>
      </c>
      <c r="H331" t="s">
        <v>48</v>
      </c>
      <c r="I331">
        <v>2</v>
      </c>
      <c r="J331">
        <v>5</v>
      </c>
      <c r="K331" t="s">
        <v>85</v>
      </c>
      <c r="L331" s="23">
        <v>48</v>
      </c>
      <c r="M331" s="23">
        <v>0</v>
      </c>
      <c r="N331" s="23">
        <v>48</v>
      </c>
      <c r="O331" s="23">
        <v>0</v>
      </c>
      <c r="P331" s="23">
        <v>0</v>
      </c>
      <c r="Q331" s="23">
        <v>0</v>
      </c>
      <c r="R331" s="23" t="s">
        <v>44</v>
      </c>
      <c r="S331" s="22">
        <v>0</v>
      </c>
      <c r="T331" s="23">
        <v>0</v>
      </c>
      <c r="U331" s="23">
        <v>0</v>
      </c>
      <c r="V331" s="18">
        <v>5</v>
      </c>
      <c r="W331" s="18">
        <v>3.2</v>
      </c>
      <c r="X331" s="18">
        <v>3.5</v>
      </c>
      <c r="Y331" s="18">
        <v>4</v>
      </c>
      <c r="Z331" s="18">
        <v>5.0999999999999996</v>
      </c>
      <c r="AA331" s="17" t="s">
        <v>44</v>
      </c>
      <c r="AB331" s="17" t="s">
        <v>44</v>
      </c>
      <c r="AC331" s="17" t="s">
        <v>44</v>
      </c>
      <c r="AD331" s="17" t="s">
        <v>44</v>
      </c>
      <c r="AE331" s="17" t="s">
        <v>44</v>
      </c>
      <c r="AF331" s="17" t="s">
        <v>44</v>
      </c>
      <c r="AG331" s="32" t="s">
        <v>44</v>
      </c>
      <c r="AH331">
        <v>0</v>
      </c>
      <c r="AI331">
        <v>0</v>
      </c>
      <c r="AJ331">
        <v>0.1</v>
      </c>
      <c r="AK331">
        <v>0</v>
      </c>
      <c r="AL331">
        <v>15</v>
      </c>
      <c r="AM331">
        <v>12</v>
      </c>
      <c r="AN331">
        <v>6</v>
      </c>
      <c r="AO331">
        <v>0</v>
      </c>
      <c r="AP331">
        <v>67</v>
      </c>
      <c r="AQ331" s="21" t="e">
        <f t="shared" si="45"/>
        <v>#VALUE!</v>
      </c>
      <c r="AR331" s="12">
        <f t="shared" si="52"/>
        <v>100.1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 t="s">
        <v>44</v>
      </c>
      <c r="BF331" t="s">
        <v>44</v>
      </c>
      <c r="BG331" t="s">
        <v>44</v>
      </c>
      <c r="BH331" t="s">
        <v>44</v>
      </c>
      <c r="BI331" t="s">
        <v>44</v>
      </c>
      <c r="BJ331" t="s">
        <v>44</v>
      </c>
      <c r="BK331">
        <v>0</v>
      </c>
      <c r="BL331" s="6">
        <f t="shared" si="53"/>
        <v>0</v>
      </c>
      <c r="BM331" s="6">
        <f t="shared" si="50"/>
        <v>0</v>
      </c>
      <c r="BN331">
        <v>0</v>
      </c>
      <c r="BO331">
        <f t="shared" si="46"/>
        <v>0</v>
      </c>
      <c r="BP331">
        <v>0.1</v>
      </c>
      <c r="BQ331">
        <f>SUM(BP331,BB331,BK331)</f>
        <v>0.1</v>
      </c>
      <c r="BR331">
        <f t="shared" si="48"/>
        <v>0</v>
      </c>
    </row>
    <row r="332" spans="1:70" hidden="1">
      <c r="A332" s="16" t="str">
        <f t="shared" si="49"/>
        <v>SC_2025_AZ_1_1</v>
      </c>
      <c r="B332" t="s">
        <v>54</v>
      </c>
      <c r="C332">
        <v>43.303199999999997</v>
      </c>
      <c r="D332">
        <v>-124.3974</v>
      </c>
      <c r="E332" s="8">
        <v>45808</v>
      </c>
      <c r="F332">
        <v>2025</v>
      </c>
      <c r="G332" t="s">
        <v>41</v>
      </c>
      <c r="H332" t="s">
        <v>42</v>
      </c>
      <c r="I332">
        <v>1</v>
      </c>
      <c r="J332">
        <v>1</v>
      </c>
      <c r="K332" t="s">
        <v>43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 t="s">
        <v>44</v>
      </c>
      <c r="R332" s="23" t="s">
        <v>44</v>
      </c>
      <c r="S332" s="23">
        <v>0</v>
      </c>
      <c r="T332" s="23">
        <v>0</v>
      </c>
      <c r="U332" s="23">
        <v>0</v>
      </c>
      <c r="V332" s="18" t="s">
        <v>44</v>
      </c>
      <c r="W332" s="18" t="s">
        <v>44</v>
      </c>
      <c r="X332" s="18" t="s">
        <v>44</v>
      </c>
      <c r="Y332" s="18" t="s">
        <v>44</v>
      </c>
      <c r="Z332" s="18" t="s">
        <v>44</v>
      </c>
      <c r="AA332" s="17" t="s">
        <v>44</v>
      </c>
      <c r="AB332" s="17" t="s">
        <v>44</v>
      </c>
      <c r="AC332" s="17" t="s">
        <v>44</v>
      </c>
      <c r="AD332" s="17" t="s">
        <v>44</v>
      </c>
      <c r="AE332" s="17" t="s">
        <v>44</v>
      </c>
      <c r="AF332" s="17" t="s">
        <v>44</v>
      </c>
      <c r="AG332" s="33">
        <v>0</v>
      </c>
      <c r="AH332">
        <v>9</v>
      </c>
      <c r="AI332">
        <v>29</v>
      </c>
      <c r="AJ332">
        <v>42</v>
      </c>
      <c r="AK332">
        <v>0</v>
      </c>
      <c r="AL332">
        <v>0</v>
      </c>
      <c r="AM332">
        <v>0</v>
      </c>
      <c r="AN332">
        <v>0</v>
      </c>
      <c r="AO332">
        <v>17</v>
      </c>
      <c r="AP332">
        <v>3</v>
      </c>
      <c r="AQ332" s="21">
        <f t="shared" ref="AQ332:AQ346" si="54">AP332-AG332</f>
        <v>3</v>
      </c>
      <c r="AR332" s="12">
        <f t="shared" si="52"/>
        <v>100</v>
      </c>
      <c r="AS332">
        <v>18</v>
      </c>
      <c r="AT332">
        <v>0</v>
      </c>
      <c r="AU332">
        <v>7</v>
      </c>
      <c r="AV332">
        <v>0</v>
      </c>
      <c r="AW332">
        <v>0</v>
      </c>
      <c r="AX332">
        <v>23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 s="6">
        <f t="shared" si="53"/>
        <v>41</v>
      </c>
      <c r="BM332" s="6">
        <f t="shared" si="50"/>
        <v>48</v>
      </c>
    </row>
    <row r="333" spans="1:70" hidden="1">
      <c r="A333" s="16" t="str">
        <f t="shared" si="49"/>
        <v>SC_2025_AZ_1_2</v>
      </c>
      <c r="B333" t="s">
        <v>54</v>
      </c>
      <c r="C333">
        <v>43.303199999999997</v>
      </c>
      <c r="D333">
        <v>-124.3974</v>
      </c>
      <c r="E333" s="8">
        <v>45808</v>
      </c>
      <c r="F333">
        <v>2025</v>
      </c>
      <c r="G333" t="s">
        <v>41</v>
      </c>
      <c r="H333" t="s">
        <v>42</v>
      </c>
      <c r="I333">
        <v>1</v>
      </c>
      <c r="J333">
        <v>2</v>
      </c>
      <c r="K333" t="s">
        <v>46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 t="s">
        <v>44</v>
      </c>
      <c r="R333" s="23" t="s">
        <v>44</v>
      </c>
      <c r="S333" s="23">
        <v>0</v>
      </c>
      <c r="T333" s="23">
        <v>0</v>
      </c>
      <c r="U333" s="23">
        <v>0</v>
      </c>
      <c r="V333" s="18" t="s">
        <v>44</v>
      </c>
      <c r="W333" s="18" t="s">
        <v>44</v>
      </c>
      <c r="X333" s="18" t="s">
        <v>44</v>
      </c>
      <c r="Y333" s="18" t="s">
        <v>44</v>
      </c>
      <c r="Z333" s="18" t="s">
        <v>44</v>
      </c>
      <c r="AA333" s="17" t="s">
        <v>44</v>
      </c>
      <c r="AB333" s="17" t="s">
        <v>44</v>
      </c>
      <c r="AC333" s="17" t="s">
        <v>44</v>
      </c>
      <c r="AD333" s="17" t="s">
        <v>44</v>
      </c>
      <c r="AE333" s="17" t="s">
        <v>44</v>
      </c>
      <c r="AF333" s="17" t="s">
        <v>44</v>
      </c>
      <c r="AG333" s="33">
        <v>0</v>
      </c>
      <c r="AH333">
        <v>3</v>
      </c>
      <c r="AI333">
        <v>13</v>
      </c>
      <c r="AJ333">
        <v>28</v>
      </c>
      <c r="AK333">
        <v>0</v>
      </c>
      <c r="AL333">
        <v>0</v>
      </c>
      <c r="AM333">
        <v>0.1</v>
      </c>
      <c r="AN333">
        <v>0</v>
      </c>
      <c r="AO333">
        <v>52</v>
      </c>
      <c r="AP333">
        <v>4</v>
      </c>
      <c r="AQ333" s="21">
        <f t="shared" si="54"/>
        <v>4</v>
      </c>
      <c r="AR333" s="12">
        <f t="shared" si="52"/>
        <v>100.1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 s="6">
        <f t="shared" si="53"/>
        <v>22</v>
      </c>
      <c r="BM333" s="6">
        <f t="shared" si="50"/>
        <v>22</v>
      </c>
      <c r="BN333">
        <v>13</v>
      </c>
      <c r="BO333">
        <f t="shared" si="46"/>
        <v>13</v>
      </c>
      <c r="BP333">
        <v>28</v>
      </c>
      <c r="BQ333">
        <f>SUM(BP333,BB333,BK333)</f>
        <v>28</v>
      </c>
      <c r="BR333">
        <f t="shared" si="48"/>
        <v>0</v>
      </c>
    </row>
    <row r="334" spans="1:70" hidden="1">
      <c r="A334" s="16" t="str">
        <f t="shared" si="49"/>
        <v>SC_2025_AZ_1_3</v>
      </c>
      <c r="B334" t="s">
        <v>54</v>
      </c>
      <c r="C334">
        <v>43.303199999999997</v>
      </c>
      <c r="D334">
        <v>-124.3974</v>
      </c>
      <c r="E334" s="8">
        <v>45808</v>
      </c>
      <c r="F334">
        <v>2025</v>
      </c>
      <c r="G334" t="s">
        <v>41</v>
      </c>
      <c r="H334" t="s">
        <v>42</v>
      </c>
      <c r="I334">
        <v>1</v>
      </c>
      <c r="J334">
        <v>3</v>
      </c>
      <c r="K334" t="s">
        <v>46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 t="s">
        <v>44</v>
      </c>
      <c r="R334" s="23" t="s">
        <v>44</v>
      </c>
      <c r="S334" s="23">
        <v>0</v>
      </c>
      <c r="T334" s="23">
        <v>0</v>
      </c>
      <c r="U334" s="23">
        <v>0</v>
      </c>
      <c r="V334" s="18" t="s">
        <v>44</v>
      </c>
      <c r="W334" s="18" t="s">
        <v>44</v>
      </c>
      <c r="X334" s="18" t="s">
        <v>44</v>
      </c>
      <c r="Y334" s="18" t="s">
        <v>44</v>
      </c>
      <c r="Z334" s="18" t="s">
        <v>44</v>
      </c>
      <c r="AA334" s="17" t="s">
        <v>44</v>
      </c>
      <c r="AB334" s="17" t="s">
        <v>44</v>
      </c>
      <c r="AC334" s="17" t="s">
        <v>44</v>
      </c>
      <c r="AD334" s="17" t="s">
        <v>44</v>
      </c>
      <c r="AE334" s="17" t="s">
        <v>44</v>
      </c>
      <c r="AF334" s="17" t="s">
        <v>44</v>
      </c>
      <c r="AG334" s="33">
        <v>0</v>
      </c>
      <c r="AH334">
        <v>5</v>
      </c>
      <c r="AI334">
        <v>53</v>
      </c>
      <c r="AJ334">
        <v>27</v>
      </c>
      <c r="AK334">
        <v>3</v>
      </c>
      <c r="AL334">
        <v>1</v>
      </c>
      <c r="AM334">
        <v>0</v>
      </c>
      <c r="AN334">
        <v>0</v>
      </c>
      <c r="AO334">
        <v>7</v>
      </c>
      <c r="AP334">
        <v>4</v>
      </c>
      <c r="AQ334" s="21">
        <f t="shared" si="54"/>
        <v>4</v>
      </c>
      <c r="AR334" s="12">
        <f t="shared" si="52"/>
        <v>100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14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 s="6">
        <f t="shared" si="53"/>
        <v>16</v>
      </c>
      <c r="BM334" s="6">
        <f t="shared" si="50"/>
        <v>16</v>
      </c>
      <c r="BN334">
        <v>53</v>
      </c>
      <c r="BO334">
        <f t="shared" si="46"/>
        <v>53</v>
      </c>
      <c r="BP334">
        <v>27</v>
      </c>
      <c r="BQ334">
        <f>SUM(BP334,BB334,BK334)</f>
        <v>27</v>
      </c>
      <c r="BR334">
        <f t="shared" si="48"/>
        <v>0</v>
      </c>
    </row>
    <row r="335" spans="1:70" hidden="1">
      <c r="A335" s="16" t="str">
        <f t="shared" si="49"/>
        <v>SC_2025_AZ_1_4</v>
      </c>
      <c r="B335" t="s">
        <v>54</v>
      </c>
      <c r="C335">
        <v>43.303199999999997</v>
      </c>
      <c r="D335">
        <v>-124.3974</v>
      </c>
      <c r="E335" s="8">
        <v>45808</v>
      </c>
      <c r="F335">
        <v>2025</v>
      </c>
      <c r="G335" t="s">
        <v>41</v>
      </c>
      <c r="H335" t="s">
        <v>42</v>
      </c>
      <c r="I335">
        <v>1</v>
      </c>
      <c r="J335">
        <v>4</v>
      </c>
      <c r="K335" t="s">
        <v>46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 t="s">
        <v>44</v>
      </c>
      <c r="R335" s="23" t="s">
        <v>44</v>
      </c>
      <c r="S335" s="23">
        <v>0</v>
      </c>
      <c r="T335" s="23">
        <v>0</v>
      </c>
      <c r="U335" s="23">
        <v>0</v>
      </c>
      <c r="V335" s="18" t="s">
        <v>44</v>
      </c>
      <c r="W335" s="18" t="s">
        <v>44</v>
      </c>
      <c r="X335" s="18" t="s">
        <v>44</v>
      </c>
      <c r="Y335" s="18" t="s">
        <v>44</v>
      </c>
      <c r="Z335" s="18" t="s">
        <v>44</v>
      </c>
      <c r="AA335" s="17" t="s">
        <v>44</v>
      </c>
      <c r="AB335" s="17" t="s">
        <v>44</v>
      </c>
      <c r="AC335" s="17" t="s">
        <v>44</v>
      </c>
      <c r="AD335" s="17" t="s">
        <v>44</v>
      </c>
      <c r="AE335" s="17" t="s">
        <v>44</v>
      </c>
      <c r="AF335" s="17" t="s">
        <v>44</v>
      </c>
      <c r="AG335" s="33">
        <v>0</v>
      </c>
      <c r="AH335">
        <v>1</v>
      </c>
      <c r="AI335">
        <v>5</v>
      </c>
      <c r="AJ335">
        <v>44</v>
      </c>
      <c r="AK335">
        <v>0</v>
      </c>
      <c r="AL335">
        <v>0</v>
      </c>
      <c r="AM335">
        <v>1</v>
      </c>
      <c r="AN335">
        <v>2</v>
      </c>
      <c r="AO335">
        <v>7</v>
      </c>
      <c r="AP335">
        <v>40</v>
      </c>
      <c r="AQ335" s="21">
        <f t="shared" si="54"/>
        <v>40</v>
      </c>
      <c r="AR335" s="12">
        <f t="shared" si="52"/>
        <v>100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 s="6">
        <f t="shared" si="53"/>
        <v>25</v>
      </c>
      <c r="BM335" s="6">
        <f t="shared" si="50"/>
        <v>25</v>
      </c>
      <c r="BN335">
        <v>5</v>
      </c>
      <c r="BO335">
        <f t="shared" si="46"/>
        <v>5</v>
      </c>
      <c r="BP335">
        <v>44</v>
      </c>
      <c r="BQ335">
        <f>SUM(BP335,BB335,BK335)</f>
        <v>44</v>
      </c>
      <c r="BR335">
        <f t="shared" si="48"/>
        <v>0</v>
      </c>
    </row>
    <row r="336" spans="1:70" hidden="1">
      <c r="A336" s="16" t="str">
        <f t="shared" si="49"/>
        <v>SC_2025_AZ_1_5</v>
      </c>
      <c r="B336" t="s">
        <v>54</v>
      </c>
      <c r="C336">
        <v>43.303199999999997</v>
      </c>
      <c r="D336">
        <v>-124.3974</v>
      </c>
      <c r="E336" s="8">
        <v>45808</v>
      </c>
      <c r="F336">
        <v>2025</v>
      </c>
      <c r="G336" t="s">
        <v>41</v>
      </c>
      <c r="H336" t="s">
        <v>42</v>
      </c>
      <c r="I336">
        <v>1</v>
      </c>
      <c r="J336">
        <v>5</v>
      </c>
      <c r="K336" t="s">
        <v>43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 t="s">
        <v>44</v>
      </c>
      <c r="R336" s="23" t="s">
        <v>44</v>
      </c>
      <c r="S336" s="23">
        <v>0</v>
      </c>
      <c r="T336" s="23">
        <v>0</v>
      </c>
      <c r="U336" s="23">
        <v>0</v>
      </c>
      <c r="V336" s="18" t="s">
        <v>44</v>
      </c>
      <c r="W336" s="18" t="s">
        <v>44</v>
      </c>
      <c r="X336" s="18" t="s">
        <v>44</v>
      </c>
      <c r="Y336" s="18" t="s">
        <v>44</v>
      </c>
      <c r="Z336" s="18" t="s">
        <v>44</v>
      </c>
      <c r="AA336" s="17" t="s">
        <v>44</v>
      </c>
      <c r="AB336" s="17" t="s">
        <v>44</v>
      </c>
      <c r="AC336" s="17" t="s">
        <v>44</v>
      </c>
      <c r="AD336" s="17" t="s">
        <v>44</v>
      </c>
      <c r="AE336" s="17" t="s">
        <v>44</v>
      </c>
      <c r="AF336" s="17" t="s">
        <v>44</v>
      </c>
      <c r="AG336" s="33">
        <v>0</v>
      </c>
      <c r="AH336">
        <v>1</v>
      </c>
      <c r="AI336">
        <v>52</v>
      </c>
      <c r="AJ336">
        <v>22</v>
      </c>
      <c r="AK336">
        <v>9</v>
      </c>
      <c r="AL336">
        <v>0</v>
      </c>
      <c r="AM336">
        <v>0</v>
      </c>
      <c r="AN336">
        <v>0</v>
      </c>
      <c r="AO336">
        <v>14</v>
      </c>
      <c r="AP336">
        <v>2</v>
      </c>
      <c r="AQ336" s="21">
        <f t="shared" si="54"/>
        <v>2</v>
      </c>
      <c r="AR336" s="12">
        <f t="shared" si="52"/>
        <v>100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6</v>
      </c>
      <c r="AY336">
        <v>0</v>
      </c>
      <c r="AZ336">
        <v>9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 s="6">
        <f t="shared" si="53"/>
        <v>16</v>
      </c>
      <c r="BM336" s="6">
        <f t="shared" si="50"/>
        <v>16</v>
      </c>
      <c r="BN336">
        <v>52</v>
      </c>
      <c r="BO336">
        <f t="shared" si="46"/>
        <v>52</v>
      </c>
      <c r="BP336">
        <v>22</v>
      </c>
      <c r="BQ336">
        <f>SUM(BP336,BB336,BK336)</f>
        <v>22</v>
      </c>
      <c r="BR336">
        <f t="shared" si="48"/>
        <v>0</v>
      </c>
    </row>
    <row r="337" spans="1:70" hidden="1">
      <c r="A337" s="16" t="str">
        <f t="shared" si="49"/>
        <v>SC_2025_AZ_2_1</v>
      </c>
      <c r="B337" t="s">
        <v>54</v>
      </c>
      <c r="C337">
        <v>43.303199999999997</v>
      </c>
      <c r="D337">
        <v>-124.3974</v>
      </c>
      <c r="E337" s="8">
        <v>45808</v>
      </c>
      <c r="F337">
        <v>2025</v>
      </c>
      <c r="G337" t="s">
        <v>41</v>
      </c>
      <c r="H337" t="s">
        <v>42</v>
      </c>
      <c r="I337">
        <v>2</v>
      </c>
      <c r="J337">
        <v>1</v>
      </c>
      <c r="K337" t="s">
        <v>43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 t="s">
        <v>44</v>
      </c>
      <c r="R337" s="23" t="s">
        <v>44</v>
      </c>
      <c r="S337" s="23">
        <v>0</v>
      </c>
      <c r="T337" s="23">
        <v>0</v>
      </c>
      <c r="U337" s="23">
        <v>0</v>
      </c>
      <c r="V337" s="18" t="s">
        <v>44</v>
      </c>
      <c r="W337" s="18" t="s">
        <v>44</v>
      </c>
      <c r="X337" s="18" t="s">
        <v>44</v>
      </c>
      <c r="Y337" s="18" t="s">
        <v>44</v>
      </c>
      <c r="Z337" s="18" t="s">
        <v>44</v>
      </c>
      <c r="AA337" s="17" t="s">
        <v>44</v>
      </c>
      <c r="AB337" s="17" t="s">
        <v>44</v>
      </c>
      <c r="AC337" s="17" t="s">
        <v>44</v>
      </c>
      <c r="AD337" s="17" t="s">
        <v>44</v>
      </c>
      <c r="AE337" s="17" t="s">
        <v>44</v>
      </c>
      <c r="AF337" s="17" t="s">
        <v>44</v>
      </c>
      <c r="AG337" s="33">
        <v>0</v>
      </c>
      <c r="AH337">
        <v>3</v>
      </c>
      <c r="AI337">
        <v>2</v>
      </c>
      <c r="AJ337">
        <v>15</v>
      </c>
      <c r="AK337">
        <v>0</v>
      </c>
      <c r="AL337">
        <v>0</v>
      </c>
      <c r="AM337">
        <v>0</v>
      </c>
      <c r="AN337">
        <v>0</v>
      </c>
      <c r="AO337">
        <v>80</v>
      </c>
      <c r="AP337">
        <v>0</v>
      </c>
      <c r="AQ337" s="21">
        <f t="shared" si="54"/>
        <v>0</v>
      </c>
      <c r="AR337" s="12">
        <f t="shared" si="52"/>
        <v>100</v>
      </c>
      <c r="AS337">
        <v>18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58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 s="6">
        <f t="shared" si="53"/>
        <v>77</v>
      </c>
      <c r="BM337" s="6">
        <f t="shared" si="50"/>
        <v>77</v>
      </c>
      <c r="BN337">
        <v>2</v>
      </c>
      <c r="BO337">
        <f t="shared" si="46"/>
        <v>2</v>
      </c>
      <c r="BP337">
        <v>15</v>
      </c>
      <c r="BQ337">
        <f>SUM(BP337,BB337,BK337)</f>
        <v>15</v>
      </c>
      <c r="BR337">
        <f t="shared" si="48"/>
        <v>0</v>
      </c>
    </row>
    <row r="338" spans="1:70" hidden="1">
      <c r="A338" s="16" t="str">
        <f t="shared" si="49"/>
        <v>SC_2025_AZ_2_2</v>
      </c>
      <c r="B338" t="s">
        <v>54</v>
      </c>
      <c r="C338">
        <v>43.303199999999997</v>
      </c>
      <c r="D338">
        <v>-124.3974</v>
      </c>
      <c r="E338" s="8">
        <v>45808</v>
      </c>
      <c r="F338">
        <v>2025</v>
      </c>
      <c r="G338" t="s">
        <v>41</v>
      </c>
      <c r="H338" t="s">
        <v>42</v>
      </c>
      <c r="I338">
        <v>2</v>
      </c>
      <c r="J338">
        <v>2</v>
      </c>
      <c r="K338" t="s">
        <v>46</v>
      </c>
      <c r="L338" s="23">
        <v>2</v>
      </c>
      <c r="M338" s="23">
        <v>2</v>
      </c>
      <c r="N338" s="23">
        <v>0</v>
      </c>
      <c r="O338" s="23">
        <v>0</v>
      </c>
      <c r="P338" s="23">
        <v>0</v>
      </c>
      <c r="Q338" s="23" t="s">
        <v>44</v>
      </c>
      <c r="R338" s="23" t="s">
        <v>44</v>
      </c>
      <c r="S338" s="23">
        <v>0</v>
      </c>
      <c r="T338" s="23">
        <v>0</v>
      </c>
      <c r="U338" s="23">
        <v>2</v>
      </c>
      <c r="V338" s="18" t="s">
        <v>44</v>
      </c>
      <c r="W338" s="18" t="s">
        <v>44</v>
      </c>
      <c r="X338" s="18" t="s">
        <v>44</v>
      </c>
      <c r="Y338" s="18" t="s">
        <v>44</v>
      </c>
      <c r="Z338" s="18" t="s">
        <v>44</v>
      </c>
      <c r="AA338" s="17" t="s">
        <v>44</v>
      </c>
      <c r="AB338" s="17" t="s">
        <v>44</v>
      </c>
      <c r="AC338" s="17" t="s">
        <v>44</v>
      </c>
      <c r="AD338" s="17" t="s">
        <v>44</v>
      </c>
      <c r="AE338" s="17" t="s">
        <v>44</v>
      </c>
      <c r="AF338" s="17" t="s">
        <v>44</v>
      </c>
      <c r="AG338" s="33">
        <v>1</v>
      </c>
      <c r="AH338">
        <v>5</v>
      </c>
      <c r="AI338">
        <v>33</v>
      </c>
      <c r="AJ338">
        <v>6</v>
      </c>
      <c r="AK338">
        <v>16</v>
      </c>
      <c r="AL338">
        <v>5</v>
      </c>
      <c r="AM338">
        <v>0</v>
      </c>
      <c r="AN338">
        <v>0</v>
      </c>
      <c r="AO338">
        <v>32</v>
      </c>
      <c r="AP338">
        <v>3</v>
      </c>
      <c r="AQ338" s="21">
        <f t="shared" si="54"/>
        <v>2</v>
      </c>
      <c r="AR338" s="12">
        <f t="shared" si="52"/>
        <v>100</v>
      </c>
      <c r="AS338">
        <v>25</v>
      </c>
      <c r="AT338">
        <v>0</v>
      </c>
      <c r="AU338">
        <v>0</v>
      </c>
      <c r="AV338">
        <v>5</v>
      </c>
      <c r="AW338">
        <v>0</v>
      </c>
      <c r="AX338">
        <v>25</v>
      </c>
      <c r="AY338">
        <v>0</v>
      </c>
      <c r="AZ338">
        <v>15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 s="6">
        <f t="shared" si="53"/>
        <v>70</v>
      </c>
      <c r="BM338" s="6">
        <f t="shared" si="50"/>
        <v>70</v>
      </c>
      <c r="BN338">
        <v>33</v>
      </c>
      <c r="BO338">
        <f t="shared" si="46"/>
        <v>33</v>
      </c>
      <c r="BP338">
        <v>6</v>
      </c>
      <c r="BQ338">
        <f>SUM(BP338,BB338,BK338)</f>
        <v>6</v>
      </c>
      <c r="BR338">
        <f t="shared" si="48"/>
        <v>0</v>
      </c>
    </row>
    <row r="339" spans="1:70" hidden="1">
      <c r="A339" s="16" t="str">
        <f t="shared" si="49"/>
        <v>SC_2025_AZ_2_3</v>
      </c>
      <c r="B339" t="s">
        <v>54</v>
      </c>
      <c r="C339">
        <v>43.303199999999997</v>
      </c>
      <c r="D339">
        <v>-124.3974</v>
      </c>
      <c r="E339" s="8">
        <v>45808</v>
      </c>
      <c r="F339">
        <v>2025</v>
      </c>
      <c r="G339" t="s">
        <v>41</v>
      </c>
      <c r="H339" t="s">
        <v>42</v>
      </c>
      <c r="I339">
        <v>2</v>
      </c>
      <c r="J339">
        <v>3</v>
      </c>
      <c r="K339" t="s">
        <v>46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 t="s">
        <v>44</v>
      </c>
      <c r="R339" s="23" t="s">
        <v>44</v>
      </c>
      <c r="S339" s="23">
        <v>0</v>
      </c>
      <c r="T339" s="23">
        <v>0</v>
      </c>
      <c r="U339" s="23">
        <v>0</v>
      </c>
      <c r="V339" s="18" t="s">
        <v>44</v>
      </c>
      <c r="W339" s="18" t="s">
        <v>44</v>
      </c>
      <c r="X339" s="18" t="s">
        <v>44</v>
      </c>
      <c r="Y339" s="18" t="s">
        <v>44</v>
      </c>
      <c r="Z339" s="18" t="s">
        <v>44</v>
      </c>
      <c r="AA339" s="17" t="s">
        <v>44</v>
      </c>
      <c r="AB339" s="17" t="s">
        <v>44</v>
      </c>
      <c r="AC339" s="17" t="s">
        <v>44</v>
      </c>
      <c r="AD339" s="17" t="s">
        <v>44</v>
      </c>
      <c r="AE339" s="17" t="s">
        <v>44</v>
      </c>
      <c r="AF339" s="17" t="s">
        <v>44</v>
      </c>
      <c r="AG339" s="33">
        <v>0</v>
      </c>
      <c r="AH339">
        <v>4</v>
      </c>
      <c r="AI339">
        <v>45</v>
      </c>
      <c r="AJ339">
        <v>15</v>
      </c>
      <c r="AK339">
        <v>7</v>
      </c>
      <c r="AL339">
        <v>1</v>
      </c>
      <c r="AM339">
        <v>0.1</v>
      </c>
      <c r="AN339">
        <v>0</v>
      </c>
      <c r="AO339">
        <v>28</v>
      </c>
      <c r="AP339">
        <v>0</v>
      </c>
      <c r="AQ339" s="21">
        <f t="shared" si="54"/>
        <v>0</v>
      </c>
      <c r="AR339" s="12">
        <f t="shared" si="52"/>
        <v>100.1</v>
      </c>
      <c r="AS339">
        <v>12</v>
      </c>
      <c r="AT339">
        <v>0</v>
      </c>
      <c r="AU339">
        <v>0</v>
      </c>
      <c r="AV339">
        <v>0</v>
      </c>
      <c r="AW339">
        <v>0</v>
      </c>
      <c r="AX339">
        <v>5</v>
      </c>
      <c r="AY339">
        <v>0</v>
      </c>
      <c r="AZ339">
        <v>11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 s="6">
        <f t="shared" si="53"/>
        <v>28</v>
      </c>
      <c r="BM339" s="6">
        <f t="shared" si="50"/>
        <v>28</v>
      </c>
      <c r="BN339">
        <v>45</v>
      </c>
      <c r="BO339">
        <f t="shared" si="46"/>
        <v>45</v>
      </c>
      <c r="BP339">
        <v>15</v>
      </c>
      <c r="BQ339">
        <f>SUM(BP339,BB339,BK339)</f>
        <v>15</v>
      </c>
      <c r="BR339">
        <f t="shared" si="48"/>
        <v>0</v>
      </c>
    </row>
    <row r="340" spans="1:70" hidden="1">
      <c r="A340" s="16" t="str">
        <f t="shared" si="49"/>
        <v>SC_2025_AZ_2_4</v>
      </c>
      <c r="B340" t="s">
        <v>54</v>
      </c>
      <c r="C340">
        <v>43.303199999999997</v>
      </c>
      <c r="D340">
        <v>-124.3974</v>
      </c>
      <c r="E340" s="8">
        <v>45808</v>
      </c>
      <c r="F340">
        <v>2025</v>
      </c>
      <c r="G340" t="s">
        <v>41</v>
      </c>
      <c r="H340" t="s">
        <v>42</v>
      </c>
      <c r="I340">
        <v>2</v>
      </c>
      <c r="J340">
        <v>4</v>
      </c>
      <c r="K340" t="s">
        <v>46</v>
      </c>
      <c r="L340" s="23">
        <v>3</v>
      </c>
      <c r="M340" s="23">
        <v>3</v>
      </c>
      <c r="N340" s="23">
        <v>0</v>
      </c>
      <c r="O340" s="23">
        <v>0</v>
      </c>
      <c r="P340" s="23">
        <v>0</v>
      </c>
      <c r="Q340" s="23" t="s">
        <v>44</v>
      </c>
      <c r="R340" s="23" t="s">
        <v>44</v>
      </c>
      <c r="S340" s="23">
        <v>0</v>
      </c>
      <c r="T340" s="23">
        <v>0</v>
      </c>
      <c r="U340" s="23">
        <v>3</v>
      </c>
      <c r="V340" s="18" t="s">
        <v>44</v>
      </c>
      <c r="W340" s="18" t="s">
        <v>44</v>
      </c>
      <c r="X340" s="18" t="s">
        <v>44</v>
      </c>
      <c r="Y340" s="18" t="s">
        <v>44</v>
      </c>
      <c r="Z340" s="18" t="s">
        <v>44</v>
      </c>
      <c r="AA340" s="17" t="s">
        <v>44</v>
      </c>
      <c r="AB340" s="17" t="s">
        <v>44</v>
      </c>
      <c r="AC340" s="17" t="s">
        <v>44</v>
      </c>
      <c r="AD340" s="17" t="s">
        <v>44</v>
      </c>
      <c r="AE340" s="17" t="s">
        <v>44</v>
      </c>
      <c r="AF340" s="17" t="s">
        <v>44</v>
      </c>
      <c r="AG340" s="33">
        <v>0</v>
      </c>
      <c r="AH340">
        <v>1</v>
      </c>
      <c r="AI340">
        <v>22</v>
      </c>
      <c r="AJ340">
        <v>1</v>
      </c>
      <c r="AK340">
        <v>14</v>
      </c>
      <c r="AL340">
        <v>1</v>
      </c>
      <c r="AM340">
        <v>0</v>
      </c>
      <c r="AN340">
        <v>0</v>
      </c>
      <c r="AO340">
        <v>13</v>
      </c>
      <c r="AP340">
        <v>48</v>
      </c>
      <c r="AQ340" s="21">
        <f t="shared" si="54"/>
        <v>48</v>
      </c>
      <c r="AR340" s="12">
        <f t="shared" si="52"/>
        <v>100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6</v>
      </c>
      <c r="AY340">
        <v>0</v>
      </c>
      <c r="AZ340">
        <v>32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 s="6">
        <f t="shared" si="53"/>
        <v>38</v>
      </c>
      <c r="BM340" s="6">
        <f t="shared" si="50"/>
        <v>38</v>
      </c>
      <c r="BN340">
        <v>22</v>
      </c>
      <c r="BO340">
        <f t="shared" si="46"/>
        <v>22</v>
      </c>
      <c r="BP340">
        <v>1</v>
      </c>
      <c r="BQ340">
        <f>SUM(BP340,BB340,BK340)</f>
        <v>1</v>
      </c>
      <c r="BR340">
        <f t="shared" si="48"/>
        <v>0</v>
      </c>
    </row>
    <row r="341" spans="1:70" hidden="1">
      <c r="A341" s="16" t="str">
        <f t="shared" si="49"/>
        <v>SC_2025_AZ_2_5</v>
      </c>
      <c r="B341" t="s">
        <v>54</v>
      </c>
      <c r="C341">
        <v>43.303199999999997</v>
      </c>
      <c r="D341">
        <v>-124.3974</v>
      </c>
      <c r="E341" s="8">
        <v>45808</v>
      </c>
      <c r="F341">
        <v>2025</v>
      </c>
      <c r="G341" t="s">
        <v>41</v>
      </c>
      <c r="H341" t="s">
        <v>42</v>
      </c>
      <c r="I341">
        <v>2</v>
      </c>
      <c r="J341">
        <v>5</v>
      </c>
      <c r="K341" t="s">
        <v>46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 t="s">
        <v>44</v>
      </c>
      <c r="R341" s="23" t="s">
        <v>44</v>
      </c>
      <c r="S341" s="23">
        <v>0</v>
      </c>
      <c r="T341" s="23">
        <v>0</v>
      </c>
      <c r="U341" s="23">
        <v>0</v>
      </c>
      <c r="V341" s="18" t="s">
        <v>44</v>
      </c>
      <c r="W341" s="18" t="s">
        <v>44</v>
      </c>
      <c r="X341" s="18" t="s">
        <v>44</v>
      </c>
      <c r="Y341" s="18" t="s">
        <v>44</v>
      </c>
      <c r="Z341" s="18" t="s">
        <v>44</v>
      </c>
      <c r="AA341" s="17" t="s">
        <v>44</v>
      </c>
      <c r="AB341" s="17" t="s">
        <v>44</v>
      </c>
      <c r="AC341" s="17" t="s">
        <v>44</v>
      </c>
      <c r="AD341" s="17" t="s">
        <v>44</v>
      </c>
      <c r="AE341" s="17" t="s">
        <v>44</v>
      </c>
      <c r="AF341" s="17" t="s">
        <v>44</v>
      </c>
      <c r="AG341" s="33">
        <v>0</v>
      </c>
      <c r="AH341">
        <v>0</v>
      </c>
      <c r="AI341">
        <v>85</v>
      </c>
      <c r="AJ341">
        <v>7</v>
      </c>
      <c r="AK341">
        <v>0</v>
      </c>
      <c r="AL341">
        <v>1</v>
      </c>
      <c r="AM341">
        <v>0</v>
      </c>
      <c r="AN341">
        <v>0</v>
      </c>
      <c r="AO341">
        <v>7</v>
      </c>
      <c r="AP341">
        <v>0</v>
      </c>
      <c r="AQ341" s="21">
        <f t="shared" si="54"/>
        <v>0</v>
      </c>
      <c r="AR341" s="12">
        <f t="shared" si="52"/>
        <v>100</v>
      </c>
      <c r="AS341">
        <v>29</v>
      </c>
      <c r="AT341">
        <v>0</v>
      </c>
      <c r="AU341">
        <v>0</v>
      </c>
      <c r="AV341">
        <v>0</v>
      </c>
      <c r="AW341">
        <v>0</v>
      </c>
      <c r="AX341">
        <v>7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 s="6">
        <f t="shared" si="53"/>
        <v>36</v>
      </c>
      <c r="BM341" s="6">
        <f t="shared" si="50"/>
        <v>36</v>
      </c>
      <c r="BN341">
        <v>85</v>
      </c>
      <c r="BO341">
        <f t="shared" si="46"/>
        <v>85</v>
      </c>
      <c r="BP341">
        <v>7</v>
      </c>
      <c r="BQ341">
        <f>SUM(BP341,BB341,BK341)</f>
        <v>7</v>
      </c>
      <c r="BR341">
        <f t="shared" si="48"/>
        <v>0</v>
      </c>
    </row>
    <row r="342" spans="1:70" hidden="1">
      <c r="A342" s="16" t="str">
        <f t="shared" si="49"/>
        <v>SC_2025_NPZ_1_1</v>
      </c>
      <c r="B342" t="s">
        <v>54</v>
      </c>
      <c r="C342">
        <v>43.303199999999997</v>
      </c>
      <c r="D342">
        <v>-124.3974</v>
      </c>
      <c r="E342" s="8">
        <v>45808</v>
      </c>
      <c r="F342">
        <v>2025</v>
      </c>
      <c r="G342" t="s">
        <v>41</v>
      </c>
      <c r="H342" t="s">
        <v>48</v>
      </c>
      <c r="I342">
        <v>1</v>
      </c>
      <c r="J342">
        <v>1</v>
      </c>
      <c r="K342" t="s">
        <v>47</v>
      </c>
      <c r="L342" s="23">
        <v>26</v>
      </c>
      <c r="M342" s="23">
        <v>10</v>
      </c>
      <c r="N342" s="23">
        <v>3</v>
      </c>
      <c r="O342" s="23">
        <v>13</v>
      </c>
      <c r="P342" s="23">
        <v>0</v>
      </c>
      <c r="R342" s="23">
        <v>0</v>
      </c>
      <c r="T342" s="23">
        <v>5</v>
      </c>
      <c r="U342" s="23">
        <f t="shared" ref="U342:U350" si="55">T342+M342</f>
        <v>15</v>
      </c>
      <c r="AG342" s="33">
        <v>18</v>
      </c>
      <c r="AH342">
        <v>0</v>
      </c>
      <c r="AI342">
        <v>0</v>
      </c>
      <c r="AK342">
        <v>0.1</v>
      </c>
      <c r="AL342">
        <v>15</v>
      </c>
      <c r="AM342">
        <v>1</v>
      </c>
      <c r="AN342">
        <v>3</v>
      </c>
      <c r="AO342">
        <v>0</v>
      </c>
      <c r="AP342">
        <v>81</v>
      </c>
      <c r="AQ342" s="21">
        <f t="shared" si="54"/>
        <v>63</v>
      </c>
      <c r="AR342" s="12">
        <f t="shared" si="52"/>
        <v>100.1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 s="6">
        <f t="shared" si="53"/>
        <v>0</v>
      </c>
      <c r="BM342" s="6">
        <f t="shared" si="50"/>
        <v>0</v>
      </c>
      <c r="BN342">
        <v>0</v>
      </c>
      <c r="BO342">
        <f t="shared" si="46"/>
        <v>0</v>
      </c>
      <c r="BQ342">
        <f>SUM(BP342,BB342,BK342)</f>
        <v>0</v>
      </c>
      <c r="BR342">
        <f t="shared" si="48"/>
        <v>0</v>
      </c>
    </row>
    <row r="343" spans="1:70" hidden="1">
      <c r="A343" s="16" t="str">
        <f t="shared" si="49"/>
        <v>SC_2025_NPZ_1_2</v>
      </c>
      <c r="B343" t="s">
        <v>54</v>
      </c>
      <c r="C343">
        <v>43.303199999999997</v>
      </c>
      <c r="D343">
        <v>-124.3974</v>
      </c>
      <c r="E343" s="8">
        <v>45808</v>
      </c>
      <c r="F343">
        <v>2025</v>
      </c>
      <c r="G343" t="s">
        <v>41</v>
      </c>
      <c r="H343" t="s">
        <v>48</v>
      </c>
      <c r="I343">
        <v>1</v>
      </c>
      <c r="J343">
        <v>2</v>
      </c>
      <c r="K343" t="s">
        <v>47</v>
      </c>
      <c r="L343" s="23">
        <v>18</v>
      </c>
      <c r="M343" s="23">
        <v>0</v>
      </c>
      <c r="N343" s="23">
        <v>15</v>
      </c>
      <c r="O343" s="23">
        <v>3</v>
      </c>
      <c r="P343" s="23">
        <v>3</v>
      </c>
      <c r="Q343" s="23" t="s">
        <v>44</v>
      </c>
      <c r="R343" s="23">
        <v>0</v>
      </c>
      <c r="T343" s="23">
        <v>0</v>
      </c>
      <c r="U343" s="23">
        <f t="shared" si="55"/>
        <v>0</v>
      </c>
      <c r="AG343" s="33">
        <v>19</v>
      </c>
      <c r="AH343">
        <v>0</v>
      </c>
      <c r="AI343">
        <v>0</v>
      </c>
      <c r="AJ343">
        <v>0</v>
      </c>
      <c r="AK343">
        <v>0.1</v>
      </c>
      <c r="AL343">
        <v>23</v>
      </c>
      <c r="AM343">
        <v>4</v>
      </c>
      <c r="AN343">
        <v>1</v>
      </c>
      <c r="AO343">
        <v>1</v>
      </c>
      <c r="AP343">
        <v>71</v>
      </c>
      <c r="AQ343" s="21">
        <f t="shared" si="54"/>
        <v>52</v>
      </c>
      <c r="AR343" s="12">
        <f t="shared" si="52"/>
        <v>100.1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 s="6">
        <f t="shared" si="53"/>
        <v>0</v>
      </c>
      <c r="BM343" s="6">
        <f t="shared" si="50"/>
        <v>0</v>
      </c>
      <c r="BN343">
        <v>0</v>
      </c>
      <c r="BO343">
        <f t="shared" si="46"/>
        <v>0</v>
      </c>
      <c r="BP343">
        <v>0</v>
      </c>
      <c r="BQ343">
        <f>SUM(BP343,BB343,BK343)</f>
        <v>0</v>
      </c>
      <c r="BR343">
        <f t="shared" si="48"/>
        <v>0</v>
      </c>
    </row>
    <row r="344" spans="1:70" hidden="1">
      <c r="A344" s="16" t="str">
        <f t="shared" si="49"/>
        <v>SC_2025_NPZ_1_3</v>
      </c>
      <c r="B344" t="s">
        <v>54</v>
      </c>
      <c r="C344">
        <v>43.303199999999997</v>
      </c>
      <c r="D344">
        <v>-124.3974</v>
      </c>
      <c r="E344" s="8">
        <v>45808</v>
      </c>
      <c r="F344">
        <v>2025</v>
      </c>
      <c r="G344" t="s">
        <v>41</v>
      </c>
      <c r="H344" t="s">
        <v>48</v>
      </c>
      <c r="I344">
        <v>1</v>
      </c>
      <c r="J344">
        <v>3</v>
      </c>
      <c r="K344" t="s">
        <v>46</v>
      </c>
      <c r="L344" s="23">
        <v>3</v>
      </c>
      <c r="M344" s="23">
        <v>3</v>
      </c>
      <c r="N344" s="23">
        <v>0</v>
      </c>
      <c r="O344" s="23">
        <v>0</v>
      </c>
      <c r="P344" s="23">
        <v>0</v>
      </c>
      <c r="Q344" s="23" t="s">
        <v>44</v>
      </c>
      <c r="R344" s="23">
        <v>0</v>
      </c>
      <c r="T344" s="23">
        <v>0</v>
      </c>
      <c r="U344" s="23">
        <f t="shared" si="55"/>
        <v>3</v>
      </c>
      <c r="AG344" s="33">
        <v>2</v>
      </c>
      <c r="AH344">
        <v>0</v>
      </c>
      <c r="AI344">
        <v>0</v>
      </c>
      <c r="AJ344">
        <v>0</v>
      </c>
      <c r="AK344">
        <v>0.1</v>
      </c>
      <c r="AL344">
        <v>2</v>
      </c>
      <c r="AM344">
        <v>0.1</v>
      </c>
      <c r="AN344">
        <v>0</v>
      </c>
      <c r="AO344">
        <v>0</v>
      </c>
      <c r="AP344">
        <v>98</v>
      </c>
      <c r="AQ344" s="21">
        <f t="shared" si="54"/>
        <v>96</v>
      </c>
      <c r="AR344" s="12">
        <f t="shared" si="52"/>
        <v>100.2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 s="6">
        <f t="shared" si="53"/>
        <v>0</v>
      </c>
      <c r="BM344" s="6">
        <f t="shared" si="50"/>
        <v>0</v>
      </c>
      <c r="BN344">
        <v>0</v>
      </c>
      <c r="BO344">
        <f t="shared" si="46"/>
        <v>0</v>
      </c>
      <c r="BP344">
        <v>0</v>
      </c>
      <c r="BQ344">
        <f>SUM(BP344,BB344,BK344)</f>
        <v>0</v>
      </c>
      <c r="BR344">
        <f t="shared" si="48"/>
        <v>0</v>
      </c>
    </row>
    <row r="345" spans="1:70" hidden="1">
      <c r="A345" s="16" t="str">
        <f t="shared" si="49"/>
        <v>SC_2025_NPZ_1_4</v>
      </c>
      <c r="B345" t="s">
        <v>54</v>
      </c>
      <c r="C345">
        <v>43.303199999999997</v>
      </c>
      <c r="D345">
        <v>-124.3974</v>
      </c>
      <c r="E345" s="8">
        <v>45808</v>
      </c>
      <c r="F345">
        <v>2025</v>
      </c>
      <c r="G345" t="s">
        <v>41</v>
      </c>
      <c r="H345" t="s">
        <v>48</v>
      </c>
      <c r="I345">
        <v>1</v>
      </c>
      <c r="J345">
        <v>4</v>
      </c>
      <c r="K345" t="s">
        <v>47</v>
      </c>
      <c r="L345" s="23">
        <v>8</v>
      </c>
      <c r="M345" s="23">
        <v>7</v>
      </c>
      <c r="N345" s="23">
        <v>1</v>
      </c>
      <c r="O345" s="23">
        <v>0</v>
      </c>
      <c r="P345" s="23">
        <v>1</v>
      </c>
      <c r="Q345" s="23" t="s">
        <v>44</v>
      </c>
      <c r="R345" s="23">
        <v>0</v>
      </c>
      <c r="T345" s="23">
        <v>1</v>
      </c>
      <c r="U345" s="23">
        <f t="shared" si="55"/>
        <v>8</v>
      </c>
      <c r="AG345" s="33">
        <v>4</v>
      </c>
      <c r="AH345">
        <v>0</v>
      </c>
      <c r="AI345">
        <v>0.1</v>
      </c>
      <c r="AJ345">
        <v>0</v>
      </c>
      <c r="AK345">
        <v>0.1</v>
      </c>
      <c r="AL345">
        <v>25</v>
      </c>
      <c r="AM345">
        <v>1</v>
      </c>
      <c r="AN345">
        <v>0</v>
      </c>
      <c r="AO345">
        <v>0</v>
      </c>
      <c r="AP345">
        <v>74</v>
      </c>
      <c r="AQ345" s="21">
        <f t="shared" si="54"/>
        <v>70</v>
      </c>
      <c r="AR345" s="12">
        <f t="shared" si="52"/>
        <v>100.2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 s="6">
        <f t="shared" si="53"/>
        <v>0</v>
      </c>
      <c r="BM345" s="6">
        <f t="shared" si="50"/>
        <v>0</v>
      </c>
      <c r="BN345">
        <v>0.1</v>
      </c>
      <c r="BO345">
        <f t="shared" si="46"/>
        <v>0.1</v>
      </c>
      <c r="BP345">
        <v>0</v>
      </c>
      <c r="BQ345">
        <f>SUM(BP345,BB345,BK345)</f>
        <v>0</v>
      </c>
      <c r="BR345">
        <f t="shared" si="48"/>
        <v>0</v>
      </c>
    </row>
    <row r="346" spans="1:70" hidden="1">
      <c r="A346" s="16" t="str">
        <f t="shared" si="49"/>
        <v>SC_2025_NPZ_1_5</v>
      </c>
      <c r="B346" t="s">
        <v>54</v>
      </c>
      <c r="C346">
        <v>43.303199999999997</v>
      </c>
      <c r="D346">
        <v>-124.3974</v>
      </c>
      <c r="E346" s="8">
        <v>45808</v>
      </c>
      <c r="F346">
        <v>2025</v>
      </c>
      <c r="G346" t="s">
        <v>41</v>
      </c>
      <c r="H346" t="s">
        <v>48</v>
      </c>
      <c r="I346">
        <v>1</v>
      </c>
      <c r="J346">
        <v>5</v>
      </c>
      <c r="K346" t="s">
        <v>47</v>
      </c>
      <c r="L346" s="23">
        <v>31</v>
      </c>
      <c r="M346" s="23">
        <v>7</v>
      </c>
      <c r="N346" s="23">
        <v>22</v>
      </c>
      <c r="O346" s="23">
        <v>2</v>
      </c>
      <c r="P346" s="23">
        <v>0</v>
      </c>
      <c r="Q346" s="23" t="s">
        <v>44</v>
      </c>
      <c r="R346" s="23">
        <v>0</v>
      </c>
      <c r="T346" s="23">
        <v>10</v>
      </c>
      <c r="U346" s="23">
        <f t="shared" si="55"/>
        <v>17</v>
      </c>
      <c r="AG346" s="33">
        <v>19</v>
      </c>
      <c r="AH346">
        <v>0</v>
      </c>
      <c r="AI346">
        <v>0</v>
      </c>
      <c r="AJ346">
        <v>0</v>
      </c>
      <c r="AK346">
        <v>0.1</v>
      </c>
      <c r="AL346">
        <v>38</v>
      </c>
      <c r="AM346">
        <v>4</v>
      </c>
      <c r="AN346">
        <v>0</v>
      </c>
      <c r="AO346">
        <v>0</v>
      </c>
      <c r="AP346">
        <v>58</v>
      </c>
      <c r="AQ346" s="21">
        <f t="shared" si="54"/>
        <v>39</v>
      </c>
      <c r="AR346" s="12">
        <f t="shared" si="52"/>
        <v>100.1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 s="6">
        <f t="shared" si="53"/>
        <v>0</v>
      </c>
      <c r="BM346" s="6">
        <f t="shared" si="50"/>
        <v>0</v>
      </c>
      <c r="BN346">
        <v>0</v>
      </c>
      <c r="BO346">
        <f t="shared" si="46"/>
        <v>0</v>
      </c>
      <c r="BP346">
        <v>0</v>
      </c>
      <c r="BQ346">
        <f>SUM(BP346,BB346,BK346)</f>
        <v>0</v>
      </c>
      <c r="BR346">
        <f t="shared" si="48"/>
        <v>0</v>
      </c>
    </row>
    <row r="347" spans="1:70" hidden="1">
      <c r="A347" s="16" t="str">
        <f t="shared" si="49"/>
        <v>SC_2025_NPZ_2_1</v>
      </c>
      <c r="B347" t="s">
        <v>54</v>
      </c>
      <c r="C347">
        <v>43.303199999999997</v>
      </c>
      <c r="D347">
        <v>-124.3974</v>
      </c>
      <c r="E347" s="8">
        <v>45808</v>
      </c>
      <c r="F347">
        <v>2025</v>
      </c>
      <c r="G347" t="s">
        <v>41</v>
      </c>
      <c r="H347" t="s">
        <v>48</v>
      </c>
      <c r="I347">
        <v>2</v>
      </c>
      <c r="J347">
        <v>1</v>
      </c>
      <c r="K347" t="s">
        <v>46</v>
      </c>
      <c r="L347" s="23">
        <v>32</v>
      </c>
      <c r="M347" s="23">
        <v>23</v>
      </c>
      <c r="N347" s="23">
        <v>6</v>
      </c>
      <c r="O347" s="23">
        <v>3</v>
      </c>
      <c r="P347" s="23">
        <v>3</v>
      </c>
      <c r="Q347" s="23" t="s">
        <v>44</v>
      </c>
      <c r="R347" s="23">
        <v>0</v>
      </c>
      <c r="S347" s="23">
        <v>0</v>
      </c>
      <c r="T347" s="23">
        <v>0</v>
      </c>
      <c r="U347" s="23">
        <f t="shared" si="55"/>
        <v>23</v>
      </c>
      <c r="AG347" s="33">
        <v>25</v>
      </c>
      <c r="AH347">
        <v>0</v>
      </c>
      <c r="AI347">
        <v>1</v>
      </c>
      <c r="AJ347">
        <v>0.1</v>
      </c>
      <c r="AK347">
        <v>0</v>
      </c>
      <c r="AL347">
        <v>17</v>
      </c>
      <c r="AM347">
        <v>3</v>
      </c>
      <c r="AN347">
        <v>3</v>
      </c>
      <c r="AO347">
        <v>3</v>
      </c>
      <c r="AP347">
        <v>73</v>
      </c>
      <c r="AQ347" s="21">
        <f>AP361-AG347</f>
        <v>52</v>
      </c>
      <c r="AR347" s="12">
        <f t="shared" si="52"/>
        <v>100.1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 s="6">
        <f t="shared" si="53"/>
        <v>0</v>
      </c>
      <c r="BM347" s="6">
        <f t="shared" si="50"/>
        <v>0</v>
      </c>
      <c r="BN347">
        <v>1</v>
      </c>
      <c r="BO347">
        <f t="shared" si="46"/>
        <v>1</v>
      </c>
      <c r="BP347">
        <v>0.1</v>
      </c>
      <c r="BQ347">
        <f>SUM(BP347,BB347,BK347)</f>
        <v>0.1</v>
      </c>
      <c r="BR347">
        <f t="shared" si="48"/>
        <v>0</v>
      </c>
    </row>
    <row r="348" spans="1:70" hidden="1">
      <c r="A348" s="16" t="str">
        <f t="shared" si="49"/>
        <v>SC_2025_NPZ_2_2</v>
      </c>
      <c r="B348" t="s">
        <v>54</v>
      </c>
      <c r="C348">
        <v>43.303199999999997</v>
      </c>
      <c r="D348">
        <v>-124.3974</v>
      </c>
      <c r="E348" s="8">
        <v>45808</v>
      </c>
      <c r="F348">
        <v>2025</v>
      </c>
      <c r="G348" t="s">
        <v>41</v>
      </c>
      <c r="H348" t="s">
        <v>48</v>
      </c>
      <c r="I348">
        <v>2</v>
      </c>
      <c r="J348">
        <v>2</v>
      </c>
      <c r="K348" t="s">
        <v>46</v>
      </c>
      <c r="L348" s="23">
        <v>10</v>
      </c>
      <c r="M348" s="23">
        <v>4</v>
      </c>
      <c r="N348" s="23">
        <v>6</v>
      </c>
      <c r="O348" s="23">
        <v>0</v>
      </c>
      <c r="P348" s="23">
        <v>0</v>
      </c>
      <c r="Q348" s="23" t="s">
        <v>44</v>
      </c>
      <c r="R348" s="23">
        <v>0</v>
      </c>
      <c r="T348" s="23">
        <v>3</v>
      </c>
      <c r="U348" s="23">
        <f t="shared" si="55"/>
        <v>7</v>
      </c>
      <c r="AG348" s="33">
        <v>5</v>
      </c>
      <c r="AH348">
        <v>0</v>
      </c>
      <c r="AI348">
        <v>10</v>
      </c>
      <c r="AJ348">
        <v>5</v>
      </c>
      <c r="AK348">
        <v>8</v>
      </c>
      <c r="AL348">
        <v>8</v>
      </c>
      <c r="AM348">
        <v>2</v>
      </c>
      <c r="AN348">
        <v>0</v>
      </c>
      <c r="AO348">
        <v>1</v>
      </c>
      <c r="AP348">
        <v>66</v>
      </c>
      <c r="AQ348" s="21">
        <f t="shared" ref="AQ348:AQ411" si="56">AP348-AG348</f>
        <v>61</v>
      </c>
      <c r="AR348" s="12">
        <f t="shared" si="52"/>
        <v>100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 s="6">
        <f t="shared" si="53"/>
        <v>6</v>
      </c>
      <c r="BM348" s="6">
        <f t="shared" si="50"/>
        <v>6</v>
      </c>
      <c r="BN348">
        <v>10</v>
      </c>
      <c r="BO348">
        <f t="shared" si="46"/>
        <v>10</v>
      </c>
      <c r="BP348">
        <v>5</v>
      </c>
      <c r="BQ348">
        <f>SUM(BP348,BB348,BK348)</f>
        <v>5</v>
      </c>
      <c r="BR348">
        <f t="shared" si="48"/>
        <v>0</v>
      </c>
    </row>
    <row r="349" spans="1:70" hidden="1">
      <c r="A349" s="16" t="str">
        <f t="shared" si="49"/>
        <v>SC_2025_NPZ_2_3</v>
      </c>
      <c r="B349" t="s">
        <v>54</v>
      </c>
      <c r="C349">
        <v>43.303199999999997</v>
      </c>
      <c r="D349">
        <v>-124.3974</v>
      </c>
      <c r="E349" s="8">
        <v>45808</v>
      </c>
      <c r="F349">
        <v>2025</v>
      </c>
      <c r="G349" t="s">
        <v>41</v>
      </c>
      <c r="H349" t="s">
        <v>48</v>
      </c>
      <c r="I349">
        <v>2</v>
      </c>
      <c r="J349">
        <v>3</v>
      </c>
      <c r="K349" t="s">
        <v>47</v>
      </c>
      <c r="L349" s="23">
        <v>6</v>
      </c>
      <c r="M349" s="23">
        <v>2</v>
      </c>
      <c r="N349" s="23">
        <v>4</v>
      </c>
      <c r="O349" s="23">
        <v>0</v>
      </c>
      <c r="P349" s="23">
        <v>1</v>
      </c>
      <c r="Q349" s="23" t="s">
        <v>44</v>
      </c>
      <c r="R349" s="23">
        <v>0</v>
      </c>
      <c r="T349" s="23">
        <v>0</v>
      </c>
      <c r="U349" s="23">
        <f t="shared" si="55"/>
        <v>2</v>
      </c>
      <c r="AG349" s="33">
        <v>3</v>
      </c>
      <c r="AH349">
        <v>0</v>
      </c>
      <c r="AI349">
        <v>41</v>
      </c>
      <c r="AJ349">
        <v>2</v>
      </c>
      <c r="AK349">
        <v>0.1</v>
      </c>
      <c r="AL349">
        <v>3</v>
      </c>
      <c r="AM349">
        <v>0.1</v>
      </c>
      <c r="AN349">
        <v>4</v>
      </c>
      <c r="AO349">
        <v>0</v>
      </c>
      <c r="AP349">
        <v>50</v>
      </c>
      <c r="AQ349" s="21">
        <f t="shared" si="56"/>
        <v>47</v>
      </c>
      <c r="AR349" s="12">
        <f t="shared" si="52"/>
        <v>100.2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 s="6">
        <f t="shared" si="53"/>
        <v>8</v>
      </c>
      <c r="BM349" s="6">
        <f t="shared" si="50"/>
        <v>8</v>
      </c>
      <c r="BN349">
        <v>41</v>
      </c>
      <c r="BO349">
        <f t="shared" si="46"/>
        <v>41</v>
      </c>
      <c r="BP349">
        <v>2</v>
      </c>
      <c r="BQ349">
        <f>SUM(BP349,BB349,BK349)</f>
        <v>2</v>
      </c>
      <c r="BR349">
        <f t="shared" si="48"/>
        <v>0</v>
      </c>
    </row>
    <row r="350" spans="1:70" hidden="1">
      <c r="A350" s="16" t="str">
        <f t="shared" si="49"/>
        <v>SC_2025_NPZ_2_4</v>
      </c>
      <c r="B350" t="s">
        <v>54</v>
      </c>
      <c r="C350">
        <v>43.303199999999997</v>
      </c>
      <c r="D350">
        <v>-124.3974</v>
      </c>
      <c r="E350" s="8">
        <v>45808</v>
      </c>
      <c r="F350">
        <v>2025</v>
      </c>
      <c r="G350" t="s">
        <v>41</v>
      </c>
      <c r="H350" t="s">
        <v>48</v>
      </c>
      <c r="I350">
        <v>2</v>
      </c>
      <c r="J350">
        <v>4</v>
      </c>
      <c r="K350" t="s">
        <v>57</v>
      </c>
      <c r="L350" s="23">
        <v>38</v>
      </c>
      <c r="M350" s="23">
        <v>11</v>
      </c>
      <c r="N350" s="23">
        <v>13</v>
      </c>
      <c r="O350" s="23">
        <v>14</v>
      </c>
      <c r="P350" s="23">
        <v>0</v>
      </c>
      <c r="Q350" s="23" t="s">
        <v>44</v>
      </c>
      <c r="R350" s="23">
        <v>0</v>
      </c>
      <c r="S350" s="23">
        <v>0</v>
      </c>
      <c r="T350" s="23">
        <v>1</v>
      </c>
      <c r="U350" s="23">
        <f t="shared" si="55"/>
        <v>12</v>
      </c>
      <c r="AG350" s="33">
        <v>27</v>
      </c>
      <c r="AH350">
        <v>0</v>
      </c>
      <c r="AI350">
        <v>0</v>
      </c>
      <c r="AJ350">
        <v>8</v>
      </c>
      <c r="AK350">
        <v>0.1</v>
      </c>
      <c r="AL350">
        <v>17</v>
      </c>
      <c r="AM350">
        <v>1</v>
      </c>
      <c r="AN350">
        <v>1</v>
      </c>
      <c r="AO350">
        <v>12</v>
      </c>
      <c r="AP350">
        <v>61</v>
      </c>
      <c r="AQ350" s="21">
        <f t="shared" si="56"/>
        <v>34</v>
      </c>
      <c r="AR350" s="12">
        <f t="shared" si="52"/>
        <v>100.1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 s="6">
        <f t="shared" si="53"/>
        <v>0</v>
      </c>
      <c r="BM350" s="6">
        <f t="shared" si="50"/>
        <v>0</v>
      </c>
      <c r="BN350">
        <v>0</v>
      </c>
      <c r="BO350">
        <f t="shared" si="46"/>
        <v>0</v>
      </c>
      <c r="BP350">
        <v>8</v>
      </c>
      <c r="BQ350">
        <f>SUM(BP350,BB350,BK350)</f>
        <v>8</v>
      </c>
      <c r="BR350">
        <f t="shared" si="48"/>
        <v>0</v>
      </c>
    </row>
    <row r="351" spans="1:70" hidden="1">
      <c r="A351" s="16" t="str">
        <f t="shared" si="49"/>
        <v>SC_2025_NPZ_2_5</v>
      </c>
      <c r="B351" t="s">
        <v>54</v>
      </c>
      <c r="C351">
        <v>43.303199999999997</v>
      </c>
      <c r="D351">
        <v>-124.3974</v>
      </c>
      <c r="E351" s="8">
        <v>45808</v>
      </c>
      <c r="F351">
        <v>2025</v>
      </c>
      <c r="G351" t="s">
        <v>41</v>
      </c>
      <c r="H351" t="s">
        <v>48</v>
      </c>
      <c r="I351">
        <v>2</v>
      </c>
      <c r="J351">
        <v>5</v>
      </c>
      <c r="K351" t="s">
        <v>46</v>
      </c>
      <c r="L351" s="23">
        <v>13</v>
      </c>
      <c r="M351" s="23">
        <v>3</v>
      </c>
      <c r="N351" s="23">
        <v>6</v>
      </c>
      <c r="O351" s="23">
        <v>4</v>
      </c>
      <c r="P351" s="23">
        <v>1</v>
      </c>
      <c r="Q351" s="23" t="s">
        <v>44</v>
      </c>
      <c r="R351" s="23">
        <v>0</v>
      </c>
      <c r="T351" s="23">
        <v>2</v>
      </c>
      <c r="U351" s="23">
        <v>16</v>
      </c>
      <c r="AG351" s="33">
        <v>7</v>
      </c>
      <c r="AH351">
        <v>0</v>
      </c>
      <c r="AI351">
        <v>1</v>
      </c>
      <c r="AJ351">
        <v>2</v>
      </c>
      <c r="AK351">
        <v>6</v>
      </c>
      <c r="AL351">
        <v>7</v>
      </c>
      <c r="AM351">
        <v>0</v>
      </c>
      <c r="AN351">
        <v>0</v>
      </c>
      <c r="AO351">
        <v>1</v>
      </c>
      <c r="AP351">
        <v>83</v>
      </c>
      <c r="AQ351" s="21">
        <f t="shared" si="56"/>
        <v>76</v>
      </c>
      <c r="AR351" s="12">
        <f t="shared" si="52"/>
        <v>100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3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 s="6">
        <f t="shared" si="53"/>
        <v>3</v>
      </c>
      <c r="BM351" s="6">
        <f t="shared" si="50"/>
        <v>3</v>
      </c>
      <c r="BN351">
        <v>1</v>
      </c>
      <c r="BO351">
        <f t="shared" si="46"/>
        <v>1</v>
      </c>
      <c r="BP351">
        <v>2</v>
      </c>
      <c r="BQ351">
        <f>SUM(BP351,BB351,BK351)</f>
        <v>2</v>
      </c>
      <c r="BR351">
        <f t="shared" si="48"/>
        <v>0</v>
      </c>
    </row>
    <row r="352" spans="1:70" hidden="1">
      <c r="A352" s="16" t="str">
        <f t="shared" si="49"/>
        <v>SC_2025_UPZ_1_1</v>
      </c>
      <c r="B352" t="s">
        <v>54</v>
      </c>
      <c r="C352">
        <v>43.303199999999997</v>
      </c>
      <c r="D352">
        <v>-124.3974</v>
      </c>
      <c r="E352" s="8">
        <v>45808</v>
      </c>
      <c r="F352">
        <v>2025</v>
      </c>
      <c r="G352" t="s">
        <v>41</v>
      </c>
      <c r="H352" t="s">
        <v>45</v>
      </c>
      <c r="I352">
        <v>1</v>
      </c>
      <c r="J352">
        <v>1</v>
      </c>
      <c r="K352" t="s">
        <v>46</v>
      </c>
      <c r="L352" s="23">
        <v>6</v>
      </c>
      <c r="M352" s="23">
        <v>2</v>
      </c>
      <c r="N352" s="23">
        <v>3</v>
      </c>
      <c r="O352" s="23">
        <v>1</v>
      </c>
      <c r="P352" s="23">
        <v>0</v>
      </c>
      <c r="Q352" s="23" t="s">
        <v>44</v>
      </c>
      <c r="R352" s="23">
        <v>0</v>
      </c>
      <c r="T352" s="23">
        <v>5</v>
      </c>
      <c r="U352" s="23">
        <v>7</v>
      </c>
      <c r="AG352" s="33">
        <v>4</v>
      </c>
      <c r="AH352">
        <v>0</v>
      </c>
      <c r="AI352">
        <v>25</v>
      </c>
      <c r="AJ352">
        <v>3</v>
      </c>
      <c r="AK352">
        <v>3</v>
      </c>
      <c r="AL352">
        <v>5</v>
      </c>
      <c r="AM352">
        <v>3</v>
      </c>
      <c r="AN352">
        <v>0.1</v>
      </c>
      <c r="AO352">
        <v>4</v>
      </c>
      <c r="AP352">
        <v>57</v>
      </c>
      <c r="AQ352" s="21">
        <f t="shared" si="56"/>
        <v>53</v>
      </c>
      <c r="AR352" s="12">
        <f t="shared" si="52"/>
        <v>100.1</v>
      </c>
      <c r="AS352">
        <v>2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4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 s="6">
        <f t="shared" si="53"/>
        <v>7</v>
      </c>
      <c r="BM352" s="6">
        <f t="shared" si="50"/>
        <v>7</v>
      </c>
      <c r="BN352">
        <v>25</v>
      </c>
      <c r="BO352">
        <f t="shared" ref="BO352:BO415" si="57">SUM(BN352,AU352,BG352,BH352,BI352)</f>
        <v>25</v>
      </c>
      <c r="BP352">
        <v>3</v>
      </c>
      <c r="BQ352">
        <f>SUM(BP352,BB352,BK352)</f>
        <v>3</v>
      </c>
      <c r="BR352">
        <f t="shared" si="48"/>
        <v>0</v>
      </c>
    </row>
    <row r="353" spans="1:70" hidden="1">
      <c r="A353" s="16" t="str">
        <f t="shared" si="49"/>
        <v>SC_2025_UPZ_1_2</v>
      </c>
      <c r="B353" t="s">
        <v>54</v>
      </c>
      <c r="C353">
        <v>43.303199999999997</v>
      </c>
      <c r="D353">
        <v>-124.3974</v>
      </c>
      <c r="E353" s="8">
        <v>45808</v>
      </c>
      <c r="F353">
        <v>2025</v>
      </c>
      <c r="G353" t="s">
        <v>41</v>
      </c>
      <c r="H353" t="s">
        <v>45</v>
      </c>
      <c r="I353">
        <v>1</v>
      </c>
      <c r="J353">
        <v>2</v>
      </c>
      <c r="K353" t="s">
        <v>46</v>
      </c>
      <c r="L353" s="23">
        <v>3</v>
      </c>
      <c r="M353" s="23">
        <v>1</v>
      </c>
      <c r="N353" s="23">
        <v>2</v>
      </c>
      <c r="O353" s="23">
        <v>0</v>
      </c>
      <c r="P353" s="23">
        <v>1</v>
      </c>
      <c r="Q353" s="23" t="s">
        <v>44</v>
      </c>
      <c r="R353" s="23">
        <v>0</v>
      </c>
      <c r="T353" s="23">
        <v>4</v>
      </c>
      <c r="U353" s="23">
        <v>5</v>
      </c>
      <c r="AG353" s="33">
        <v>3</v>
      </c>
      <c r="AH353">
        <v>1</v>
      </c>
      <c r="AI353">
        <v>69</v>
      </c>
      <c r="AJ353">
        <v>0.1</v>
      </c>
      <c r="AK353">
        <v>7</v>
      </c>
      <c r="AL353">
        <v>3</v>
      </c>
      <c r="AM353">
        <v>1</v>
      </c>
      <c r="AN353">
        <v>0</v>
      </c>
      <c r="AO353">
        <v>0.1</v>
      </c>
      <c r="AP353">
        <v>19</v>
      </c>
      <c r="AQ353" s="21">
        <f t="shared" si="56"/>
        <v>16</v>
      </c>
      <c r="AR353" s="12">
        <f t="shared" si="52"/>
        <v>100.19999999999999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13</v>
      </c>
      <c r="AY353">
        <v>0</v>
      </c>
      <c r="AZ353">
        <v>12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 s="6">
        <f t="shared" si="53"/>
        <v>25</v>
      </c>
      <c r="BM353" s="6">
        <f t="shared" si="50"/>
        <v>25</v>
      </c>
      <c r="BN353">
        <v>69</v>
      </c>
      <c r="BO353">
        <f t="shared" si="57"/>
        <v>69</v>
      </c>
      <c r="BP353">
        <v>0.1</v>
      </c>
      <c r="BQ353">
        <f>SUM(BP353,BB353,BK353)</f>
        <v>0.1</v>
      </c>
      <c r="BR353">
        <f t="shared" si="48"/>
        <v>0</v>
      </c>
    </row>
    <row r="354" spans="1:70" hidden="1">
      <c r="A354" s="16" t="str">
        <f t="shared" si="49"/>
        <v>SC_2025_UPZ_1_3</v>
      </c>
      <c r="B354" t="s">
        <v>54</v>
      </c>
      <c r="C354">
        <v>43.303199999999997</v>
      </c>
      <c r="D354">
        <v>-124.3974</v>
      </c>
      <c r="E354" s="8">
        <v>45808</v>
      </c>
      <c r="F354">
        <v>2025</v>
      </c>
      <c r="G354" t="s">
        <v>41</v>
      </c>
      <c r="H354" t="s">
        <v>45</v>
      </c>
      <c r="I354">
        <v>1</v>
      </c>
      <c r="J354">
        <v>3</v>
      </c>
      <c r="K354" t="s">
        <v>46</v>
      </c>
      <c r="L354" s="23">
        <v>22</v>
      </c>
      <c r="M354" s="23">
        <v>22</v>
      </c>
      <c r="N354" s="23">
        <v>0</v>
      </c>
      <c r="O354" s="23">
        <v>0</v>
      </c>
      <c r="P354" s="23">
        <v>0</v>
      </c>
      <c r="Q354" s="23" t="s">
        <v>44</v>
      </c>
      <c r="R354" s="23">
        <v>0</v>
      </c>
      <c r="T354" s="23">
        <v>9</v>
      </c>
      <c r="U354" s="23">
        <v>31</v>
      </c>
      <c r="AG354" s="33">
        <v>12</v>
      </c>
      <c r="AH354">
        <v>2</v>
      </c>
      <c r="AI354">
        <v>28</v>
      </c>
      <c r="AJ354">
        <v>0.1</v>
      </c>
      <c r="AK354">
        <v>0</v>
      </c>
      <c r="AL354">
        <v>15</v>
      </c>
      <c r="AM354">
        <v>1</v>
      </c>
      <c r="AN354">
        <v>0</v>
      </c>
      <c r="AO354">
        <v>0</v>
      </c>
      <c r="AP354">
        <v>54</v>
      </c>
      <c r="AQ354" s="21">
        <f t="shared" si="56"/>
        <v>42</v>
      </c>
      <c r="AR354" s="12">
        <f t="shared" si="52"/>
        <v>100.1</v>
      </c>
      <c r="AS354">
        <v>3</v>
      </c>
      <c r="AT354">
        <v>0</v>
      </c>
      <c r="AU354">
        <v>0</v>
      </c>
      <c r="AV354">
        <v>0</v>
      </c>
      <c r="AW354">
        <v>0</v>
      </c>
      <c r="AX354">
        <v>19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 s="6">
        <f t="shared" si="53"/>
        <v>22</v>
      </c>
      <c r="BM354" s="6">
        <f t="shared" si="50"/>
        <v>22</v>
      </c>
      <c r="BN354">
        <v>28</v>
      </c>
      <c r="BO354">
        <f t="shared" si="57"/>
        <v>28</v>
      </c>
      <c r="BP354">
        <v>0.1</v>
      </c>
      <c r="BQ354">
        <f>SUM(BP354,BB354,BK354)</f>
        <v>0.1</v>
      </c>
      <c r="BR354">
        <f t="shared" si="48"/>
        <v>0</v>
      </c>
    </row>
    <row r="355" spans="1:70" hidden="1">
      <c r="A355" s="16" t="str">
        <f t="shared" si="49"/>
        <v>SC_2025_UPZ_1_4</v>
      </c>
      <c r="B355" t="s">
        <v>54</v>
      </c>
      <c r="C355">
        <v>43.303199999999997</v>
      </c>
      <c r="D355">
        <v>-124.3974</v>
      </c>
      <c r="E355" s="8">
        <v>45808</v>
      </c>
      <c r="F355">
        <v>2025</v>
      </c>
      <c r="G355" t="s">
        <v>41</v>
      </c>
      <c r="H355" t="s">
        <v>45</v>
      </c>
      <c r="I355">
        <v>1</v>
      </c>
      <c r="J355">
        <v>4</v>
      </c>
      <c r="K355" t="s">
        <v>46</v>
      </c>
      <c r="L355" s="23">
        <v>66</v>
      </c>
      <c r="M355" s="23">
        <v>63</v>
      </c>
      <c r="N355" s="23">
        <v>3</v>
      </c>
      <c r="O355" s="23">
        <v>0</v>
      </c>
      <c r="P355" s="23">
        <v>0</v>
      </c>
      <c r="Q355" s="23" t="s">
        <v>44</v>
      </c>
      <c r="R355" s="23">
        <v>0</v>
      </c>
      <c r="T355" s="23">
        <v>1</v>
      </c>
      <c r="U355" s="23">
        <v>67</v>
      </c>
      <c r="AG355" s="33">
        <v>60</v>
      </c>
      <c r="AH355">
        <v>2</v>
      </c>
      <c r="AI355">
        <v>0</v>
      </c>
      <c r="AJ355">
        <v>0.1</v>
      </c>
      <c r="AK355">
        <v>0</v>
      </c>
      <c r="AL355">
        <v>22</v>
      </c>
      <c r="AM355">
        <v>7</v>
      </c>
      <c r="AN355">
        <v>0</v>
      </c>
      <c r="AO355">
        <v>0</v>
      </c>
      <c r="AP355">
        <v>69</v>
      </c>
      <c r="AQ355" s="21">
        <f t="shared" si="56"/>
        <v>9</v>
      </c>
      <c r="AR355" s="12">
        <f t="shared" si="52"/>
        <v>100.1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 s="6">
        <f t="shared" si="53"/>
        <v>0</v>
      </c>
      <c r="BM355" s="6">
        <f t="shared" si="50"/>
        <v>0</v>
      </c>
      <c r="BN355">
        <v>0</v>
      </c>
      <c r="BO355">
        <f t="shared" si="57"/>
        <v>0</v>
      </c>
      <c r="BP355">
        <v>0.1</v>
      </c>
      <c r="BQ355">
        <f>SUM(BP355,BB355,BK355)</f>
        <v>0.1</v>
      </c>
      <c r="BR355">
        <f t="shared" si="48"/>
        <v>0</v>
      </c>
    </row>
    <row r="356" spans="1:70" hidden="1">
      <c r="A356" s="16" t="str">
        <f t="shared" si="49"/>
        <v>SC_2025_UPZ_1_5</v>
      </c>
      <c r="B356" t="s">
        <v>54</v>
      </c>
      <c r="C356">
        <v>43.303199999999997</v>
      </c>
      <c r="D356">
        <v>-124.3974</v>
      </c>
      <c r="E356" s="8">
        <v>45808</v>
      </c>
      <c r="F356">
        <v>2025</v>
      </c>
      <c r="G356" t="s">
        <v>41</v>
      </c>
      <c r="H356" t="s">
        <v>45</v>
      </c>
      <c r="I356">
        <v>1</v>
      </c>
      <c r="J356">
        <v>5</v>
      </c>
      <c r="K356" t="s">
        <v>47</v>
      </c>
      <c r="L356" s="23">
        <v>18</v>
      </c>
      <c r="M356" s="23">
        <v>18</v>
      </c>
      <c r="N356" s="23">
        <v>0</v>
      </c>
      <c r="O356" s="23">
        <v>0</v>
      </c>
      <c r="P356" s="23">
        <v>0</v>
      </c>
      <c r="Q356" s="23" t="s">
        <v>44</v>
      </c>
      <c r="R356" s="23">
        <v>0</v>
      </c>
      <c r="T356" s="23">
        <v>6</v>
      </c>
      <c r="U356" s="23">
        <v>24</v>
      </c>
      <c r="AG356" s="33">
        <v>6</v>
      </c>
      <c r="AH356">
        <v>0</v>
      </c>
      <c r="AI356">
        <v>25</v>
      </c>
      <c r="AJ356">
        <v>0.1</v>
      </c>
      <c r="AK356">
        <v>0</v>
      </c>
      <c r="AL356">
        <v>11</v>
      </c>
      <c r="AM356">
        <v>0.1</v>
      </c>
      <c r="AN356">
        <v>2</v>
      </c>
      <c r="AO356">
        <v>0</v>
      </c>
      <c r="AP356">
        <v>62</v>
      </c>
      <c r="AQ356" s="21">
        <f t="shared" si="56"/>
        <v>56</v>
      </c>
      <c r="AR356" s="12">
        <f t="shared" si="52"/>
        <v>100.2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 s="6">
        <f t="shared" si="53"/>
        <v>1</v>
      </c>
      <c r="BM356" s="6">
        <f t="shared" si="50"/>
        <v>1</v>
      </c>
      <c r="BN356">
        <v>25</v>
      </c>
      <c r="BO356">
        <f t="shared" si="57"/>
        <v>25</v>
      </c>
      <c r="BP356">
        <v>0.1</v>
      </c>
      <c r="BQ356">
        <f>SUM(BP356,BB356,BK356)</f>
        <v>0.1</v>
      </c>
      <c r="BR356">
        <f t="shared" si="48"/>
        <v>0</v>
      </c>
    </row>
    <row r="357" spans="1:70" hidden="1">
      <c r="A357" s="16" t="str">
        <f t="shared" si="49"/>
        <v>SC_2025_UPZ_2_1</v>
      </c>
      <c r="B357" t="s">
        <v>54</v>
      </c>
      <c r="C357">
        <v>43.303199999999997</v>
      </c>
      <c r="D357">
        <v>-124.3974</v>
      </c>
      <c r="E357" s="8">
        <v>45808</v>
      </c>
      <c r="F357">
        <v>2025</v>
      </c>
      <c r="G357" t="s">
        <v>41</v>
      </c>
      <c r="H357" t="s">
        <v>45</v>
      </c>
      <c r="I357">
        <v>2</v>
      </c>
      <c r="J357">
        <v>1</v>
      </c>
      <c r="K357" t="s">
        <v>43</v>
      </c>
      <c r="L357" s="23">
        <v>20</v>
      </c>
      <c r="M357" s="23">
        <v>20</v>
      </c>
      <c r="N357" s="23">
        <v>0</v>
      </c>
      <c r="O357" s="23">
        <v>0</v>
      </c>
      <c r="P357" s="23">
        <v>0</v>
      </c>
      <c r="Q357" s="23" t="s">
        <v>44</v>
      </c>
      <c r="R357" s="23">
        <v>0</v>
      </c>
      <c r="T357" s="23">
        <v>2</v>
      </c>
      <c r="U357" s="23">
        <v>22</v>
      </c>
      <c r="AG357" s="33">
        <v>16</v>
      </c>
      <c r="AH357">
        <v>0</v>
      </c>
      <c r="AI357">
        <v>7</v>
      </c>
      <c r="AJ357">
        <v>0</v>
      </c>
      <c r="AK357">
        <v>0</v>
      </c>
      <c r="AL357">
        <v>12</v>
      </c>
      <c r="AM357">
        <v>3</v>
      </c>
      <c r="AN357">
        <v>0</v>
      </c>
      <c r="AO357">
        <v>0</v>
      </c>
      <c r="AP357">
        <v>78</v>
      </c>
      <c r="AQ357" s="21">
        <f t="shared" si="56"/>
        <v>62</v>
      </c>
      <c r="AR357" s="12">
        <f t="shared" si="52"/>
        <v>100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 s="6">
        <f t="shared" si="53"/>
        <v>10</v>
      </c>
      <c r="BM357" s="6">
        <f t="shared" si="50"/>
        <v>10</v>
      </c>
      <c r="BN357">
        <v>7</v>
      </c>
      <c r="BO357">
        <f t="shared" si="57"/>
        <v>7</v>
      </c>
      <c r="BP357">
        <v>0</v>
      </c>
      <c r="BQ357">
        <f>SUM(BP357,BB357,BK357)</f>
        <v>0</v>
      </c>
      <c r="BR357">
        <f t="shared" si="48"/>
        <v>0</v>
      </c>
    </row>
    <row r="358" spans="1:70" hidden="1">
      <c r="A358" s="16" t="str">
        <f t="shared" si="49"/>
        <v>SC_2025_UPZ_2_2</v>
      </c>
      <c r="B358" t="s">
        <v>54</v>
      </c>
      <c r="C358">
        <v>43.303199999999997</v>
      </c>
      <c r="D358">
        <v>-124.3974</v>
      </c>
      <c r="E358" s="8">
        <v>45808</v>
      </c>
      <c r="F358">
        <v>2025</v>
      </c>
      <c r="G358" t="s">
        <v>41</v>
      </c>
      <c r="H358" t="s">
        <v>45</v>
      </c>
      <c r="I358">
        <v>2</v>
      </c>
      <c r="J358">
        <v>2</v>
      </c>
      <c r="K358" t="s">
        <v>46</v>
      </c>
      <c r="L358" s="23">
        <v>41</v>
      </c>
      <c r="M358" s="23">
        <v>41</v>
      </c>
      <c r="N358" s="23">
        <v>0</v>
      </c>
      <c r="O358" s="23">
        <v>0</v>
      </c>
      <c r="P358" s="23">
        <v>1</v>
      </c>
      <c r="Q358" s="23" t="s">
        <v>44</v>
      </c>
      <c r="R358" s="23">
        <v>0</v>
      </c>
      <c r="T358" s="23">
        <v>32</v>
      </c>
      <c r="U358" s="23">
        <v>73</v>
      </c>
      <c r="AG358" s="33">
        <v>35</v>
      </c>
      <c r="AH358">
        <v>0</v>
      </c>
      <c r="AI358">
        <v>2</v>
      </c>
      <c r="AJ358">
        <v>0</v>
      </c>
      <c r="AK358">
        <v>0.1</v>
      </c>
      <c r="AL358">
        <v>40</v>
      </c>
      <c r="AM358">
        <v>4</v>
      </c>
      <c r="AN358">
        <v>0</v>
      </c>
      <c r="AO358">
        <v>0</v>
      </c>
      <c r="AP358">
        <v>54</v>
      </c>
      <c r="AQ358" s="21">
        <f t="shared" si="56"/>
        <v>19</v>
      </c>
      <c r="AR358" s="12">
        <f t="shared" si="52"/>
        <v>100.1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 s="6">
        <f t="shared" si="53"/>
        <v>0</v>
      </c>
      <c r="BM358" s="6">
        <f t="shared" si="50"/>
        <v>0</v>
      </c>
      <c r="BN358">
        <v>2</v>
      </c>
      <c r="BO358">
        <f t="shared" si="57"/>
        <v>2</v>
      </c>
      <c r="BP358">
        <v>0</v>
      </c>
      <c r="BQ358">
        <f>SUM(BP358,BB358,BK358)</f>
        <v>0</v>
      </c>
      <c r="BR358">
        <f t="shared" si="48"/>
        <v>0</v>
      </c>
    </row>
    <row r="359" spans="1:70" hidden="1">
      <c r="A359" s="16" t="str">
        <f t="shared" si="49"/>
        <v>SC_2025_UPZ_2_3</v>
      </c>
      <c r="B359" t="s">
        <v>54</v>
      </c>
      <c r="C359">
        <v>43.303199999999997</v>
      </c>
      <c r="D359">
        <v>-124.3974</v>
      </c>
      <c r="E359" s="8">
        <v>45808</v>
      </c>
      <c r="F359">
        <v>2025</v>
      </c>
      <c r="G359" t="s">
        <v>41</v>
      </c>
      <c r="H359" t="s">
        <v>45</v>
      </c>
      <c r="I359">
        <v>2</v>
      </c>
      <c r="J359">
        <v>3</v>
      </c>
      <c r="K359" t="s">
        <v>43</v>
      </c>
      <c r="L359" s="23">
        <v>61</v>
      </c>
      <c r="M359" s="23">
        <v>61</v>
      </c>
      <c r="N359" s="23">
        <v>0</v>
      </c>
      <c r="O359" s="23">
        <v>0</v>
      </c>
      <c r="P359" s="23">
        <v>3</v>
      </c>
      <c r="Q359" s="23" t="s">
        <v>44</v>
      </c>
      <c r="R359" s="23">
        <v>0</v>
      </c>
      <c r="T359" s="23">
        <v>14</v>
      </c>
      <c r="U359" s="23">
        <v>75</v>
      </c>
      <c r="AG359" s="33">
        <v>52</v>
      </c>
      <c r="AH359">
        <v>0</v>
      </c>
      <c r="AI359">
        <v>0</v>
      </c>
      <c r="AJ359">
        <v>0</v>
      </c>
      <c r="AK359">
        <v>0.1</v>
      </c>
      <c r="AL359">
        <v>18</v>
      </c>
      <c r="AM359">
        <v>3</v>
      </c>
      <c r="AN359">
        <v>7</v>
      </c>
      <c r="AO359">
        <v>0</v>
      </c>
      <c r="AP359">
        <v>72</v>
      </c>
      <c r="AQ359" s="21">
        <f t="shared" si="56"/>
        <v>20</v>
      </c>
      <c r="AR359" s="12">
        <f t="shared" si="52"/>
        <v>100.1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 s="6">
        <f t="shared" si="53"/>
        <v>0</v>
      </c>
      <c r="BM359" s="6">
        <f t="shared" si="50"/>
        <v>0</v>
      </c>
      <c r="BN359">
        <v>0</v>
      </c>
      <c r="BO359">
        <f t="shared" si="57"/>
        <v>0</v>
      </c>
      <c r="BP359">
        <v>0</v>
      </c>
      <c r="BQ359">
        <f>SUM(BP359,BB359,BK359)</f>
        <v>0</v>
      </c>
      <c r="BR359">
        <f t="shared" si="48"/>
        <v>0</v>
      </c>
    </row>
    <row r="360" spans="1:70" hidden="1">
      <c r="A360" s="16" t="str">
        <f t="shared" si="49"/>
        <v>SC_2025_UPZ_2_4</v>
      </c>
      <c r="B360" t="s">
        <v>54</v>
      </c>
      <c r="C360">
        <v>43.303199999999997</v>
      </c>
      <c r="D360">
        <v>-124.3974</v>
      </c>
      <c r="E360" s="8">
        <v>45808</v>
      </c>
      <c r="F360">
        <v>2025</v>
      </c>
      <c r="G360" t="s">
        <v>41</v>
      </c>
      <c r="H360" t="s">
        <v>45</v>
      </c>
      <c r="I360">
        <v>2</v>
      </c>
      <c r="J360">
        <v>4</v>
      </c>
      <c r="K360" t="s">
        <v>43</v>
      </c>
      <c r="L360" s="23">
        <v>37</v>
      </c>
      <c r="M360" s="23">
        <v>37</v>
      </c>
      <c r="N360" s="23">
        <v>0</v>
      </c>
      <c r="O360" s="23">
        <v>0</v>
      </c>
      <c r="P360" s="23">
        <v>2</v>
      </c>
      <c r="Q360" s="23" t="s">
        <v>44</v>
      </c>
      <c r="R360" s="23">
        <v>0</v>
      </c>
      <c r="T360" s="23">
        <v>20</v>
      </c>
      <c r="U360" s="23">
        <v>57</v>
      </c>
      <c r="AG360" s="33">
        <v>23</v>
      </c>
      <c r="AH360">
        <v>0</v>
      </c>
      <c r="AI360">
        <v>0</v>
      </c>
      <c r="AJ360">
        <v>0</v>
      </c>
      <c r="AK360">
        <v>0.1</v>
      </c>
      <c r="AL360">
        <v>11</v>
      </c>
      <c r="AM360">
        <v>6</v>
      </c>
      <c r="AN360">
        <v>0</v>
      </c>
      <c r="AO360">
        <v>0</v>
      </c>
      <c r="AP360">
        <v>83</v>
      </c>
      <c r="AQ360" s="21">
        <f t="shared" si="56"/>
        <v>60</v>
      </c>
      <c r="AR360" s="12">
        <f t="shared" si="52"/>
        <v>100.1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 s="6">
        <f t="shared" si="53"/>
        <v>0</v>
      </c>
      <c r="BM360" s="6">
        <f t="shared" si="50"/>
        <v>0</v>
      </c>
      <c r="BN360">
        <v>0</v>
      </c>
      <c r="BO360">
        <f t="shared" si="57"/>
        <v>0</v>
      </c>
      <c r="BP360">
        <v>0</v>
      </c>
      <c r="BQ360">
        <f>SUM(BP360,BB360,BK360)</f>
        <v>0</v>
      </c>
      <c r="BR360">
        <f t="shared" si="48"/>
        <v>0</v>
      </c>
    </row>
    <row r="361" spans="1:70" hidden="1">
      <c r="A361" s="16" t="str">
        <f t="shared" si="49"/>
        <v>SC_2025_UPZ_2_5</v>
      </c>
      <c r="B361" t="s">
        <v>54</v>
      </c>
      <c r="C361">
        <v>43.303199999999997</v>
      </c>
      <c r="D361">
        <v>-124.3974</v>
      </c>
      <c r="E361" s="8">
        <v>45808</v>
      </c>
      <c r="F361">
        <v>2025</v>
      </c>
      <c r="G361" t="s">
        <v>41</v>
      </c>
      <c r="H361" t="s">
        <v>45</v>
      </c>
      <c r="I361">
        <v>2</v>
      </c>
      <c r="J361">
        <v>5</v>
      </c>
      <c r="K361" t="s">
        <v>47</v>
      </c>
      <c r="L361" s="23">
        <v>14</v>
      </c>
      <c r="M361" s="23">
        <v>7</v>
      </c>
      <c r="N361" s="23">
        <v>7</v>
      </c>
      <c r="O361" s="23">
        <v>0</v>
      </c>
      <c r="P361" s="23">
        <v>0</v>
      </c>
      <c r="Q361" s="23" t="s">
        <v>44</v>
      </c>
      <c r="R361" s="23" t="s">
        <v>44</v>
      </c>
      <c r="S361" s="23">
        <v>0</v>
      </c>
      <c r="T361" s="23">
        <v>9</v>
      </c>
      <c r="U361" s="23">
        <v>23</v>
      </c>
      <c r="AG361" s="33">
        <v>10</v>
      </c>
      <c r="AH361">
        <v>0</v>
      </c>
      <c r="AI361">
        <v>0</v>
      </c>
      <c r="AJ361">
        <v>5</v>
      </c>
      <c r="AK361">
        <v>0</v>
      </c>
      <c r="AL361">
        <v>0</v>
      </c>
      <c r="AM361">
        <v>10</v>
      </c>
      <c r="AN361">
        <v>3</v>
      </c>
      <c r="AO361">
        <v>5</v>
      </c>
      <c r="AP361">
        <v>77</v>
      </c>
      <c r="AQ361" s="21">
        <f t="shared" si="56"/>
        <v>67</v>
      </c>
      <c r="AR361" s="12">
        <f t="shared" si="52"/>
        <v>100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 s="6">
        <f t="shared" si="53"/>
        <v>0</v>
      </c>
      <c r="BM361" s="6">
        <f t="shared" si="50"/>
        <v>0</v>
      </c>
      <c r="BN361">
        <v>0</v>
      </c>
      <c r="BO361">
        <f t="shared" si="57"/>
        <v>0</v>
      </c>
      <c r="BP361">
        <v>5</v>
      </c>
      <c r="BQ361">
        <f>SUM(BP361,BB361,BK361)</f>
        <v>5</v>
      </c>
      <c r="BR361">
        <f t="shared" si="48"/>
        <v>0</v>
      </c>
    </row>
    <row r="362" spans="1:70" hidden="1">
      <c r="A362" s="14" t="str">
        <f t="shared" si="49"/>
        <v>FC_2025_AZ_1_1</v>
      </c>
      <c r="B362" t="s">
        <v>63</v>
      </c>
      <c r="C362">
        <v>44.8386</v>
      </c>
      <c r="D362">
        <v>-124.05875</v>
      </c>
      <c r="E362" s="8">
        <v>45820</v>
      </c>
      <c r="F362">
        <v>2025</v>
      </c>
      <c r="G362" t="s">
        <v>64</v>
      </c>
      <c r="H362" t="s">
        <v>42</v>
      </c>
      <c r="I362">
        <v>1</v>
      </c>
      <c r="J362">
        <v>1</v>
      </c>
      <c r="K362" t="s">
        <v>43</v>
      </c>
      <c r="L362">
        <v>0</v>
      </c>
      <c r="M362" s="23">
        <v>0</v>
      </c>
      <c r="N362" s="23">
        <v>0</v>
      </c>
      <c r="O362" s="23">
        <v>0</v>
      </c>
      <c r="P362" s="23">
        <v>0</v>
      </c>
      <c r="Q362" s="23" t="s">
        <v>44</v>
      </c>
      <c r="R362" s="23" t="s">
        <v>44</v>
      </c>
      <c r="S362" s="23">
        <v>0</v>
      </c>
      <c r="T362" s="23">
        <v>0</v>
      </c>
      <c r="U362" s="23">
        <v>0</v>
      </c>
      <c r="V362" s="18" t="s">
        <v>44</v>
      </c>
      <c r="W362" s="18" t="s">
        <v>44</v>
      </c>
      <c r="X362" s="18" t="s">
        <v>44</v>
      </c>
      <c r="Y362" s="18" t="s">
        <v>44</v>
      </c>
      <c r="Z362" s="18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s="34">
        <v>0</v>
      </c>
      <c r="AH362">
        <v>14</v>
      </c>
      <c r="AI362">
        <v>42</v>
      </c>
      <c r="AJ362">
        <v>0</v>
      </c>
      <c r="AK362">
        <v>14</v>
      </c>
      <c r="AL362">
        <v>0</v>
      </c>
      <c r="AM362">
        <v>0</v>
      </c>
      <c r="AN362">
        <v>0</v>
      </c>
      <c r="AO362">
        <v>30</v>
      </c>
      <c r="AP362">
        <v>0</v>
      </c>
      <c r="AQ362" s="21">
        <f t="shared" si="56"/>
        <v>0</v>
      </c>
      <c r="AR362" s="26">
        <f t="shared" si="52"/>
        <v>100</v>
      </c>
      <c r="AS362">
        <v>63</v>
      </c>
      <c r="AT362">
        <v>22</v>
      </c>
      <c r="AU362">
        <v>0</v>
      </c>
      <c r="AV362">
        <v>0</v>
      </c>
      <c r="AW362">
        <v>0</v>
      </c>
      <c r="AX362">
        <v>25</v>
      </c>
      <c r="AY362">
        <v>0</v>
      </c>
      <c r="AZ362">
        <v>22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 s="6">
        <f t="shared" si="53"/>
        <v>132</v>
      </c>
      <c r="BM362" s="6">
        <f t="shared" si="50"/>
        <v>132</v>
      </c>
      <c r="BN362">
        <v>42</v>
      </c>
      <c r="BO362">
        <f t="shared" si="57"/>
        <v>42</v>
      </c>
      <c r="BP362">
        <v>0</v>
      </c>
      <c r="BQ362">
        <f>SUM(BP362,BB362,BK362)</f>
        <v>0</v>
      </c>
      <c r="BR362">
        <f t="shared" si="48"/>
        <v>0</v>
      </c>
    </row>
    <row r="363" spans="1:70" hidden="1">
      <c r="A363" s="16" t="str">
        <f t="shared" si="49"/>
        <v>FC_2025_AZ_1_2</v>
      </c>
      <c r="B363" t="s">
        <v>63</v>
      </c>
      <c r="C363">
        <v>44.8386</v>
      </c>
      <c r="D363">
        <v>-124.05875</v>
      </c>
      <c r="E363" s="8">
        <v>45820</v>
      </c>
      <c r="F363">
        <v>2025</v>
      </c>
      <c r="G363" t="s">
        <v>64</v>
      </c>
      <c r="H363" t="s">
        <v>42</v>
      </c>
      <c r="I363">
        <v>1</v>
      </c>
      <c r="J363">
        <v>2</v>
      </c>
      <c r="K363" t="s">
        <v>43</v>
      </c>
      <c r="L363" s="23">
        <v>0</v>
      </c>
      <c r="M363" s="23">
        <v>0</v>
      </c>
      <c r="N363" s="23">
        <v>0</v>
      </c>
      <c r="O363" s="23">
        <v>0</v>
      </c>
      <c r="P363" s="23">
        <v>0</v>
      </c>
      <c r="Q363" s="23" t="s">
        <v>44</v>
      </c>
      <c r="R363" s="23" t="s">
        <v>44</v>
      </c>
      <c r="S363" s="23">
        <v>0</v>
      </c>
      <c r="T363" s="23">
        <v>0</v>
      </c>
      <c r="U363" s="23">
        <v>0</v>
      </c>
      <c r="V363" s="18" t="s">
        <v>44</v>
      </c>
      <c r="W363" s="18" t="s">
        <v>44</v>
      </c>
      <c r="X363" s="18" t="s">
        <v>44</v>
      </c>
      <c r="Y363" s="18" t="s">
        <v>44</v>
      </c>
      <c r="Z363" s="18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s="34">
        <v>0</v>
      </c>
      <c r="AH363">
        <v>15</v>
      </c>
      <c r="AI363">
        <v>27</v>
      </c>
      <c r="AJ363">
        <v>2</v>
      </c>
      <c r="AK363">
        <v>21</v>
      </c>
      <c r="AL363">
        <v>0</v>
      </c>
      <c r="AM363">
        <v>5</v>
      </c>
      <c r="AN363">
        <v>0</v>
      </c>
      <c r="AO363">
        <v>30</v>
      </c>
      <c r="AP363">
        <v>0</v>
      </c>
      <c r="AQ363" s="21">
        <f t="shared" si="56"/>
        <v>0</v>
      </c>
      <c r="AR363" s="12">
        <f t="shared" si="52"/>
        <v>100</v>
      </c>
      <c r="AS363">
        <v>19</v>
      </c>
      <c r="AT363">
        <v>0</v>
      </c>
      <c r="AU363">
        <v>0</v>
      </c>
      <c r="AV363">
        <v>2</v>
      </c>
      <c r="AW363">
        <v>0</v>
      </c>
      <c r="AX363">
        <v>38</v>
      </c>
      <c r="AY363">
        <v>0</v>
      </c>
      <c r="AZ363">
        <v>35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 s="6">
        <f t="shared" si="53"/>
        <v>94</v>
      </c>
      <c r="BM363" s="6">
        <f t="shared" si="50"/>
        <v>94</v>
      </c>
      <c r="BN363">
        <v>27</v>
      </c>
      <c r="BO363">
        <f t="shared" si="57"/>
        <v>27</v>
      </c>
      <c r="BP363">
        <v>2</v>
      </c>
      <c r="BQ363">
        <f>SUM(BP363,BB363,BK363)</f>
        <v>2</v>
      </c>
      <c r="BR363">
        <f t="shared" si="48"/>
        <v>0</v>
      </c>
    </row>
    <row r="364" spans="1:70" hidden="1">
      <c r="A364" s="16" t="str">
        <f t="shared" si="49"/>
        <v>FC_2025_AZ_1_3</v>
      </c>
      <c r="B364" t="s">
        <v>63</v>
      </c>
      <c r="C364">
        <v>44.8386</v>
      </c>
      <c r="D364">
        <v>-124.05875</v>
      </c>
      <c r="E364" s="8">
        <v>45820</v>
      </c>
      <c r="F364">
        <v>2025</v>
      </c>
      <c r="G364" t="s">
        <v>64</v>
      </c>
      <c r="H364" t="s">
        <v>42</v>
      </c>
      <c r="I364">
        <v>1</v>
      </c>
      <c r="J364">
        <v>3</v>
      </c>
      <c r="K364" t="s">
        <v>43</v>
      </c>
      <c r="L364" s="23">
        <v>0</v>
      </c>
      <c r="M364" s="23">
        <v>0</v>
      </c>
      <c r="N364" s="23">
        <v>0</v>
      </c>
      <c r="O364" s="23">
        <v>0</v>
      </c>
      <c r="P364" s="23">
        <v>0</v>
      </c>
      <c r="Q364" s="23" t="s">
        <v>44</v>
      </c>
      <c r="R364" s="23" t="s">
        <v>44</v>
      </c>
      <c r="S364" s="23">
        <v>0</v>
      </c>
      <c r="T364" s="23">
        <v>0</v>
      </c>
      <c r="U364" s="23">
        <v>0</v>
      </c>
      <c r="V364" s="18" t="s">
        <v>44</v>
      </c>
      <c r="W364" s="18" t="s">
        <v>44</v>
      </c>
      <c r="X364" s="18" t="s">
        <v>44</v>
      </c>
      <c r="Y364" s="18" t="s">
        <v>44</v>
      </c>
      <c r="Z364" s="18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s="34">
        <v>0</v>
      </c>
      <c r="AH364">
        <v>0</v>
      </c>
      <c r="AI364">
        <v>3</v>
      </c>
      <c r="AJ364">
        <v>0</v>
      </c>
      <c r="AK364">
        <v>43</v>
      </c>
      <c r="AL364">
        <v>0</v>
      </c>
      <c r="AM364">
        <v>0</v>
      </c>
      <c r="AN364">
        <v>0</v>
      </c>
      <c r="AO364">
        <v>54</v>
      </c>
      <c r="AP364">
        <v>0</v>
      </c>
      <c r="AQ364" s="21">
        <f t="shared" si="56"/>
        <v>0</v>
      </c>
      <c r="AR364" s="12">
        <f t="shared" si="52"/>
        <v>100</v>
      </c>
      <c r="AS364">
        <v>12</v>
      </c>
      <c r="AT364">
        <v>0</v>
      </c>
      <c r="AU364">
        <v>0</v>
      </c>
      <c r="AV364">
        <v>0</v>
      </c>
      <c r="AW364">
        <v>0</v>
      </c>
      <c r="AX364">
        <v>5</v>
      </c>
      <c r="AY364">
        <v>0</v>
      </c>
      <c r="AZ364">
        <v>96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 s="6">
        <f t="shared" si="53"/>
        <v>113</v>
      </c>
      <c r="BM364" s="6">
        <f t="shared" si="50"/>
        <v>113</v>
      </c>
      <c r="BN364">
        <v>3</v>
      </c>
      <c r="BO364">
        <f t="shared" si="57"/>
        <v>3</v>
      </c>
      <c r="BP364">
        <v>0</v>
      </c>
      <c r="BQ364">
        <f>SUM(BP364,BB364,BK364)</f>
        <v>0</v>
      </c>
      <c r="BR364">
        <f t="shared" si="48"/>
        <v>0</v>
      </c>
    </row>
    <row r="365" spans="1:70" hidden="1">
      <c r="A365" s="16" t="str">
        <f t="shared" si="49"/>
        <v>FC_2025_AZ_1_4</v>
      </c>
      <c r="B365" t="s">
        <v>63</v>
      </c>
      <c r="C365">
        <v>44.8386</v>
      </c>
      <c r="D365">
        <v>-124.05875</v>
      </c>
      <c r="E365" s="8">
        <v>45820</v>
      </c>
      <c r="F365">
        <v>2025</v>
      </c>
      <c r="G365" t="s">
        <v>64</v>
      </c>
      <c r="H365" t="s">
        <v>42</v>
      </c>
      <c r="I365">
        <v>1</v>
      </c>
      <c r="J365">
        <v>4</v>
      </c>
      <c r="K365" t="s">
        <v>43</v>
      </c>
      <c r="L365" s="23">
        <v>0</v>
      </c>
      <c r="M365" s="23">
        <v>0</v>
      </c>
      <c r="N365" s="23">
        <v>0</v>
      </c>
      <c r="O365" s="23">
        <v>0</v>
      </c>
      <c r="P365" s="23">
        <v>0</v>
      </c>
      <c r="Q365" s="23" t="s">
        <v>44</v>
      </c>
      <c r="R365" s="23" t="s">
        <v>44</v>
      </c>
      <c r="S365" s="23">
        <v>0</v>
      </c>
      <c r="T365" s="23">
        <v>0</v>
      </c>
      <c r="U365" s="23">
        <v>0</v>
      </c>
      <c r="V365" s="18" t="s">
        <v>44</v>
      </c>
      <c r="W365" s="18" t="s">
        <v>44</v>
      </c>
      <c r="X365" s="18" t="s">
        <v>44</v>
      </c>
      <c r="Y365" s="18" t="s">
        <v>44</v>
      </c>
      <c r="Z365" s="18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s="34">
        <v>0</v>
      </c>
      <c r="AH365">
        <v>0</v>
      </c>
      <c r="AI365">
        <v>31</v>
      </c>
      <c r="AJ365">
        <v>0</v>
      </c>
      <c r="AK365">
        <v>13</v>
      </c>
      <c r="AL365">
        <v>0</v>
      </c>
      <c r="AM365">
        <v>0</v>
      </c>
      <c r="AN365">
        <v>0</v>
      </c>
      <c r="AO365">
        <v>56</v>
      </c>
      <c r="AP365">
        <v>0</v>
      </c>
      <c r="AQ365" s="21">
        <f t="shared" si="56"/>
        <v>0</v>
      </c>
      <c r="AR365" s="12">
        <f t="shared" si="52"/>
        <v>100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</v>
      </c>
      <c r="AY365">
        <v>0</v>
      </c>
      <c r="AZ365">
        <v>32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 s="6">
        <f t="shared" si="53"/>
        <v>36</v>
      </c>
      <c r="BM365" s="6">
        <f t="shared" si="50"/>
        <v>36</v>
      </c>
      <c r="BN365">
        <v>31</v>
      </c>
      <c r="BO365">
        <f t="shared" si="57"/>
        <v>31</v>
      </c>
      <c r="BP365">
        <v>0</v>
      </c>
      <c r="BQ365">
        <f>SUM(BP365,BB365,BK365)</f>
        <v>0</v>
      </c>
      <c r="BR365">
        <f t="shared" si="48"/>
        <v>0</v>
      </c>
    </row>
    <row r="366" spans="1:70" hidden="1">
      <c r="A366" s="16" t="str">
        <f t="shared" si="49"/>
        <v>FC_2025_AZ_1_5</v>
      </c>
      <c r="B366" t="s">
        <v>63</v>
      </c>
      <c r="C366">
        <v>44.8386</v>
      </c>
      <c r="D366">
        <v>-124.05875</v>
      </c>
      <c r="E366" s="8">
        <v>45820</v>
      </c>
      <c r="F366">
        <v>2025</v>
      </c>
      <c r="G366" t="s">
        <v>64</v>
      </c>
      <c r="H366" t="s">
        <v>42</v>
      </c>
      <c r="I366">
        <v>1</v>
      </c>
      <c r="J366">
        <v>5</v>
      </c>
      <c r="K366" t="s">
        <v>43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 t="s">
        <v>44</v>
      </c>
      <c r="R366" s="23" t="s">
        <v>44</v>
      </c>
      <c r="S366" s="23">
        <v>0</v>
      </c>
      <c r="T366" s="23">
        <v>0</v>
      </c>
      <c r="U366" s="23">
        <v>0</v>
      </c>
      <c r="V366" s="18" t="s">
        <v>44</v>
      </c>
      <c r="W366" s="18" t="s">
        <v>44</v>
      </c>
      <c r="X366" s="18" t="s">
        <v>44</v>
      </c>
      <c r="Y366" s="18" t="s">
        <v>44</v>
      </c>
      <c r="Z366" s="18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s="34">
        <v>0</v>
      </c>
      <c r="AH366">
        <v>0</v>
      </c>
      <c r="AI366">
        <v>1</v>
      </c>
      <c r="AJ366">
        <v>0</v>
      </c>
      <c r="AK366">
        <v>41</v>
      </c>
      <c r="AL366">
        <v>0</v>
      </c>
      <c r="AM366">
        <v>0</v>
      </c>
      <c r="AN366">
        <v>0</v>
      </c>
      <c r="AO366">
        <v>58</v>
      </c>
      <c r="AP366">
        <v>0</v>
      </c>
      <c r="AQ366" s="21">
        <f t="shared" si="56"/>
        <v>0</v>
      </c>
      <c r="AR366" s="12">
        <f t="shared" si="52"/>
        <v>100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 s="6">
        <f t="shared" si="53"/>
        <v>87</v>
      </c>
      <c r="BM366" s="6">
        <f t="shared" si="50"/>
        <v>87</v>
      </c>
      <c r="BN366">
        <v>1</v>
      </c>
      <c r="BO366">
        <f t="shared" si="57"/>
        <v>1</v>
      </c>
      <c r="BP366">
        <v>0</v>
      </c>
      <c r="BQ366">
        <f>SUM(BP366,BB366,BK366)</f>
        <v>0</v>
      </c>
      <c r="BR366">
        <f t="shared" si="48"/>
        <v>0</v>
      </c>
    </row>
    <row r="367" spans="1:70" hidden="1">
      <c r="A367" s="16" t="str">
        <f t="shared" si="49"/>
        <v>FC_2025_AZ_2_1</v>
      </c>
      <c r="B367" t="s">
        <v>63</v>
      </c>
      <c r="C367">
        <v>44.8386</v>
      </c>
      <c r="D367">
        <v>-124.05875</v>
      </c>
      <c r="E367" s="8">
        <v>45820</v>
      </c>
      <c r="F367">
        <v>2025</v>
      </c>
      <c r="G367" t="s">
        <v>64</v>
      </c>
      <c r="H367" t="s">
        <v>42</v>
      </c>
      <c r="I367">
        <v>2</v>
      </c>
      <c r="J367">
        <v>1</v>
      </c>
      <c r="K367" t="s">
        <v>43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 t="s">
        <v>44</v>
      </c>
      <c r="R367" s="23" t="s">
        <v>44</v>
      </c>
      <c r="S367" s="23">
        <v>0</v>
      </c>
      <c r="T367" s="23">
        <v>0</v>
      </c>
      <c r="U367" s="23">
        <v>0</v>
      </c>
      <c r="V367" s="18" t="s">
        <v>44</v>
      </c>
      <c r="W367" s="18" t="s">
        <v>44</v>
      </c>
      <c r="X367" s="18" t="s">
        <v>44</v>
      </c>
      <c r="Y367" s="18" t="s">
        <v>44</v>
      </c>
      <c r="Z367" s="18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s="34">
        <v>0</v>
      </c>
      <c r="AH367">
        <v>0</v>
      </c>
      <c r="AI367">
        <v>0</v>
      </c>
      <c r="AJ367">
        <v>0</v>
      </c>
      <c r="AK367">
        <v>42</v>
      </c>
      <c r="AL367">
        <v>0</v>
      </c>
      <c r="AM367">
        <v>0</v>
      </c>
      <c r="AN367">
        <v>0</v>
      </c>
      <c r="AO367">
        <v>58</v>
      </c>
      <c r="AP367">
        <v>0</v>
      </c>
      <c r="AQ367" s="21">
        <f t="shared" si="56"/>
        <v>0</v>
      </c>
      <c r="AR367" s="12">
        <f t="shared" si="52"/>
        <v>100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100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 s="6">
        <f t="shared" si="53"/>
        <v>100</v>
      </c>
      <c r="BM367" s="6">
        <f t="shared" si="50"/>
        <v>100</v>
      </c>
      <c r="BN367">
        <v>0</v>
      </c>
      <c r="BO367">
        <f t="shared" si="57"/>
        <v>0</v>
      </c>
      <c r="BP367">
        <v>0</v>
      </c>
      <c r="BQ367">
        <f>SUM(BP367,BB367,BK367)</f>
        <v>0</v>
      </c>
      <c r="BR367">
        <f t="shared" si="48"/>
        <v>0</v>
      </c>
    </row>
    <row r="368" spans="1:70" hidden="1">
      <c r="A368" s="16" t="str">
        <f t="shared" si="49"/>
        <v>FC_2025_AZ_2_2</v>
      </c>
      <c r="B368" t="s">
        <v>63</v>
      </c>
      <c r="C368">
        <v>44.8386</v>
      </c>
      <c r="D368">
        <v>-124.05875</v>
      </c>
      <c r="E368" s="8">
        <v>45820</v>
      </c>
      <c r="F368">
        <v>2025</v>
      </c>
      <c r="G368" t="s">
        <v>64</v>
      </c>
      <c r="H368" t="s">
        <v>42</v>
      </c>
      <c r="I368">
        <v>2</v>
      </c>
      <c r="J368">
        <v>2</v>
      </c>
      <c r="K368" t="s">
        <v>43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 t="s">
        <v>44</v>
      </c>
      <c r="R368" s="23" t="s">
        <v>44</v>
      </c>
      <c r="S368" s="23">
        <v>0</v>
      </c>
      <c r="T368" s="23">
        <v>0</v>
      </c>
      <c r="U368" s="23">
        <v>0</v>
      </c>
      <c r="V368" s="18" t="s">
        <v>44</v>
      </c>
      <c r="W368" s="18" t="s">
        <v>44</v>
      </c>
      <c r="X368" s="18" t="s">
        <v>44</v>
      </c>
      <c r="Y368" s="18" t="s">
        <v>44</v>
      </c>
      <c r="Z368" s="1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s="34">
        <v>0</v>
      </c>
      <c r="AH368">
        <v>0</v>
      </c>
      <c r="AI368">
        <v>0</v>
      </c>
      <c r="AJ368">
        <v>0</v>
      </c>
      <c r="AK368">
        <v>21</v>
      </c>
      <c r="AL368">
        <v>0</v>
      </c>
      <c r="AM368">
        <v>0</v>
      </c>
      <c r="AN368">
        <v>0</v>
      </c>
      <c r="AO368">
        <v>79</v>
      </c>
      <c r="AP368">
        <v>0</v>
      </c>
      <c r="AQ368" s="21">
        <f t="shared" si="56"/>
        <v>0</v>
      </c>
      <c r="AR368" s="12">
        <f t="shared" si="52"/>
        <v>100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100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 s="6">
        <f t="shared" si="53"/>
        <v>100</v>
      </c>
      <c r="BM368" s="6">
        <f t="shared" si="50"/>
        <v>100</v>
      </c>
      <c r="BN368">
        <v>0</v>
      </c>
      <c r="BO368">
        <f t="shared" si="57"/>
        <v>0</v>
      </c>
      <c r="BP368">
        <v>0</v>
      </c>
      <c r="BQ368">
        <f>SUM(BP368,BB368,BK368)</f>
        <v>0</v>
      </c>
      <c r="BR368">
        <f t="shared" si="48"/>
        <v>0</v>
      </c>
    </row>
    <row r="369" spans="1:70" hidden="1">
      <c r="A369" s="16" t="str">
        <f t="shared" si="49"/>
        <v>FC_2025_AZ_2_3</v>
      </c>
      <c r="B369" t="s">
        <v>63</v>
      </c>
      <c r="C369">
        <v>44.8386</v>
      </c>
      <c r="D369">
        <v>-124.05875</v>
      </c>
      <c r="E369" s="8">
        <v>45820</v>
      </c>
      <c r="F369">
        <v>2025</v>
      </c>
      <c r="G369" t="s">
        <v>64</v>
      </c>
      <c r="H369" t="s">
        <v>42</v>
      </c>
      <c r="I369">
        <v>2</v>
      </c>
      <c r="J369">
        <v>3</v>
      </c>
      <c r="K369" t="s">
        <v>43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 t="s">
        <v>44</v>
      </c>
      <c r="R369" s="23" t="s">
        <v>44</v>
      </c>
      <c r="S369" s="23">
        <v>0</v>
      </c>
      <c r="T369" s="23">
        <v>0</v>
      </c>
      <c r="U369" s="23">
        <v>0</v>
      </c>
      <c r="V369" s="18" t="s">
        <v>44</v>
      </c>
      <c r="W369" s="18" t="s">
        <v>44</v>
      </c>
      <c r="X369" s="18" t="s">
        <v>44</v>
      </c>
      <c r="Y369" s="18" t="s">
        <v>44</v>
      </c>
      <c r="Z369" s="18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s="34">
        <v>0</v>
      </c>
      <c r="AH369">
        <v>0</v>
      </c>
      <c r="AI369">
        <v>0</v>
      </c>
      <c r="AJ369">
        <v>0</v>
      </c>
      <c r="AK369">
        <v>41</v>
      </c>
      <c r="AL369">
        <v>0</v>
      </c>
      <c r="AM369">
        <v>0</v>
      </c>
      <c r="AN369">
        <v>0</v>
      </c>
      <c r="AO369">
        <v>59</v>
      </c>
      <c r="AP369">
        <v>0</v>
      </c>
      <c r="AQ369" s="21">
        <f t="shared" si="56"/>
        <v>0</v>
      </c>
      <c r="AR369" s="12">
        <f t="shared" si="52"/>
        <v>100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 s="6">
        <f t="shared" si="53"/>
        <v>2</v>
      </c>
      <c r="BM369" s="6">
        <f t="shared" si="50"/>
        <v>2</v>
      </c>
      <c r="BN369">
        <v>0</v>
      </c>
      <c r="BO369">
        <f t="shared" si="57"/>
        <v>0</v>
      </c>
      <c r="BP369">
        <v>0</v>
      </c>
      <c r="BQ369">
        <f>SUM(BP369,BB369,BK369)</f>
        <v>0</v>
      </c>
      <c r="BR369">
        <f t="shared" si="48"/>
        <v>0</v>
      </c>
    </row>
    <row r="370" spans="1:70" hidden="1">
      <c r="A370" s="14" t="str">
        <f t="shared" si="49"/>
        <v>FC_2025_AZ_2_4</v>
      </c>
      <c r="B370" t="s">
        <v>63</v>
      </c>
      <c r="C370">
        <v>44.8386</v>
      </c>
      <c r="D370">
        <v>-124.05875</v>
      </c>
      <c r="E370" s="8">
        <v>45820</v>
      </c>
      <c r="F370">
        <v>2025</v>
      </c>
      <c r="G370" t="s">
        <v>64</v>
      </c>
      <c r="H370" t="s">
        <v>42</v>
      </c>
      <c r="I370">
        <v>2</v>
      </c>
      <c r="J370">
        <v>4</v>
      </c>
      <c r="K370" t="s">
        <v>51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 t="s">
        <v>44</v>
      </c>
      <c r="R370" s="23" t="s">
        <v>44</v>
      </c>
      <c r="S370" s="23">
        <v>0</v>
      </c>
      <c r="T370" s="23">
        <v>0</v>
      </c>
      <c r="U370" s="23">
        <v>0</v>
      </c>
      <c r="V370" s="18" t="s">
        <v>44</v>
      </c>
      <c r="W370" s="18" t="s">
        <v>44</v>
      </c>
      <c r="X370" s="18" t="s">
        <v>44</v>
      </c>
      <c r="Y370" s="18" t="s">
        <v>44</v>
      </c>
      <c r="Z370" s="18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s="34">
        <v>0</v>
      </c>
      <c r="AH370">
        <v>12</v>
      </c>
      <c r="AI370">
        <v>62</v>
      </c>
      <c r="AJ370">
        <v>0</v>
      </c>
      <c r="AK370">
        <v>2</v>
      </c>
      <c r="AL370">
        <v>2</v>
      </c>
      <c r="AM370">
        <v>2</v>
      </c>
      <c r="AN370">
        <v>0</v>
      </c>
      <c r="AO370">
        <v>20</v>
      </c>
      <c r="AP370">
        <v>0</v>
      </c>
      <c r="AQ370" s="21">
        <f t="shared" si="56"/>
        <v>0</v>
      </c>
      <c r="AR370" s="26">
        <f t="shared" si="52"/>
        <v>100</v>
      </c>
      <c r="AS370">
        <v>43</v>
      </c>
      <c r="AT370">
        <v>0</v>
      </c>
      <c r="AU370">
        <v>0</v>
      </c>
      <c r="AV370">
        <v>7</v>
      </c>
      <c r="AW370">
        <v>0</v>
      </c>
      <c r="AX370">
        <v>70</v>
      </c>
      <c r="AY370">
        <v>0</v>
      </c>
      <c r="AZ370">
        <v>4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 s="6">
        <f t="shared" si="53"/>
        <v>124</v>
      </c>
      <c r="BM370" s="6">
        <f t="shared" si="50"/>
        <v>124</v>
      </c>
      <c r="BN370">
        <v>62</v>
      </c>
      <c r="BO370">
        <f t="shared" si="57"/>
        <v>62</v>
      </c>
      <c r="BP370">
        <v>0</v>
      </c>
      <c r="BQ370">
        <f>SUM(BP370,BB370,BK370)</f>
        <v>0</v>
      </c>
      <c r="BR370">
        <f t="shared" si="48"/>
        <v>0</v>
      </c>
    </row>
    <row r="371" spans="1:70" hidden="1">
      <c r="A371" s="14" t="str">
        <f t="shared" si="49"/>
        <v>FC_2025_AZ_2_5</v>
      </c>
      <c r="B371" t="s">
        <v>63</v>
      </c>
      <c r="C371">
        <v>44.8386</v>
      </c>
      <c r="D371">
        <v>-124.05875</v>
      </c>
      <c r="E371" s="8">
        <v>45820</v>
      </c>
      <c r="F371">
        <v>2025</v>
      </c>
      <c r="G371" t="s">
        <v>64</v>
      </c>
      <c r="H371" t="s">
        <v>42</v>
      </c>
      <c r="I371">
        <v>2</v>
      </c>
      <c r="J371">
        <v>5</v>
      </c>
      <c r="K371" t="s">
        <v>51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 t="s">
        <v>44</v>
      </c>
      <c r="R371" s="23" t="s">
        <v>44</v>
      </c>
      <c r="S371" s="23">
        <v>0</v>
      </c>
      <c r="T371" s="23">
        <v>0</v>
      </c>
      <c r="U371" s="23">
        <v>0</v>
      </c>
      <c r="V371" s="18" t="s">
        <v>44</v>
      </c>
      <c r="W371" s="18" t="s">
        <v>44</v>
      </c>
      <c r="X371" s="18" t="s">
        <v>44</v>
      </c>
      <c r="Y371" s="18" t="s">
        <v>44</v>
      </c>
      <c r="Z371" s="18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s="34">
        <v>0</v>
      </c>
      <c r="AH371">
        <v>20</v>
      </c>
      <c r="AI371">
        <v>25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54</v>
      </c>
      <c r="AP371">
        <v>0</v>
      </c>
      <c r="AQ371" s="21">
        <f t="shared" si="56"/>
        <v>0</v>
      </c>
      <c r="AR371" s="26">
        <f t="shared" si="52"/>
        <v>100</v>
      </c>
      <c r="AS371">
        <v>100</v>
      </c>
      <c r="AT371">
        <v>0</v>
      </c>
      <c r="AU371">
        <v>0</v>
      </c>
      <c r="AV371">
        <v>24</v>
      </c>
      <c r="AW371">
        <v>0</v>
      </c>
      <c r="AX371">
        <v>33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 s="6">
        <f t="shared" si="53"/>
        <v>157</v>
      </c>
      <c r="BM371" s="6">
        <f t="shared" si="50"/>
        <v>157</v>
      </c>
      <c r="BN371">
        <v>25</v>
      </c>
      <c r="BO371">
        <f t="shared" si="57"/>
        <v>25</v>
      </c>
      <c r="BP371">
        <v>0</v>
      </c>
      <c r="BQ371">
        <f>SUM(BP371,BB371,BK371)</f>
        <v>0</v>
      </c>
      <c r="BR371">
        <f t="shared" si="48"/>
        <v>0</v>
      </c>
    </row>
    <row r="372" spans="1:70" hidden="1">
      <c r="A372" s="14" t="str">
        <f t="shared" si="49"/>
        <v>FC_2025_UPZ_1_1</v>
      </c>
      <c r="B372" t="s">
        <v>63</v>
      </c>
      <c r="C372">
        <v>44.8386</v>
      </c>
      <c r="D372">
        <v>-124.05875</v>
      </c>
      <c r="E372" s="8">
        <v>45820</v>
      </c>
      <c r="F372">
        <v>2025</v>
      </c>
      <c r="G372" t="s">
        <v>64</v>
      </c>
      <c r="H372" t="s">
        <v>45</v>
      </c>
      <c r="I372">
        <v>1</v>
      </c>
      <c r="J372">
        <v>1</v>
      </c>
      <c r="K372" t="s">
        <v>46</v>
      </c>
      <c r="L372" s="23">
        <v>13</v>
      </c>
      <c r="M372" s="23">
        <v>13</v>
      </c>
      <c r="N372" s="23">
        <v>0</v>
      </c>
      <c r="O372" s="23">
        <v>0</v>
      </c>
      <c r="P372" s="23">
        <v>0</v>
      </c>
      <c r="Q372" s="23" t="s">
        <v>44</v>
      </c>
      <c r="R372" s="23" t="s">
        <v>44</v>
      </c>
      <c r="S372" s="23">
        <v>0</v>
      </c>
      <c r="T372" s="23">
        <v>2</v>
      </c>
      <c r="U372" s="23">
        <v>9</v>
      </c>
      <c r="V372"/>
      <c r="W372"/>
      <c r="X372"/>
      <c r="Y372"/>
      <c r="Z372"/>
      <c r="AG372" s="34">
        <v>9</v>
      </c>
      <c r="AH372">
        <v>4</v>
      </c>
      <c r="AI372">
        <v>42</v>
      </c>
      <c r="AJ372">
        <v>4</v>
      </c>
      <c r="AK372">
        <v>0</v>
      </c>
      <c r="AL372">
        <v>25</v>
      </c>
      <c r="AM372">
        <v>6</v>
      </c>
      <c r="AN372">
        <v>5</v>
      </c>
      <c r="AO372">
        <v>0</v>
      </c>
      <c r="AP372">
        <v>14</v>
      </c>
      <c r="AQ372" s="21">
        <f t="shared" si="56"/>
        <v>5</v>
      </c>
      <c r="AR372" s="26">
        <f t="shared" si="52"/>
        <v>100</v>
      </c>
      <c r="AS372">
        <v>0</v>
      </c>
      <c r="AT372">
        <v>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 s="6">
        <f t="shared" si="53"/>
        <v>7</v>
      </c>
      <c r="BM372" s="6">
        <f t="shared" si="50"/>
        <v>7</v>
      </c>
      <c r="BN372">
        <v>42</v>
      </c>
      <c r="BO372">
        <f t="shared" si="57"/>
        <v>42</v>
      </c>
      <c r="BP372">
        <v>4</v>
      </c>
      <c r="BQ372">
        <f>SUM(BP372,BB372,BK372)</f>
        <v>4</v>
      </c>
      <c r="BR372">
        <f t="shared" si="48"/>
        <v>0</v>
      </c>
    </row>
    <row r="373" spans="1:70" hidden="1">
      <c r="A373" s="14" t="str">
        <f t="shared" si="49"/>
        <v>FC_2025_UPZ_1_2</v>
      </c>
      <c r="B373" t="s">
        <v>63</v>
      </c>
      <c r="C373">
        <v>44.8386</v>
      </c>
      <c r="D373">
        <v>-124.05875</v>
      </c>
      <c r="E373" s="8">
        <v>45820</v>
      </c>
      <c r="F373">
        <v>2025</v>
      </c>
      <c r="G373" t="s">
        <v>64</v>
      </c>
      <c r="H373" t="s">
        <v>45</v>
      </c>
      <c r="I373">
        <v>1</v>
      </c>
      <c r="J373">
        <v>2</v>
      </c>
      <c r="K373" t="s">
        <v>46</v>
      </c>
      <c r="L373" s="23">
        <v>27</v>
      </c>
      <c r="M373" s="23">
        <v>27</v>
      </c>
      <c r="N373" s="23">
        <v>0</v>
      </c>
      <c r="O373" s="23">
        <v>0</v>
      </c>
      <c r="P373" s="23">
        <v>0</v>
      </c>
      <c r="Q373" s="23" t="s">
        <v>44</v>
      </c>
      <c r="R373" s="23" t="s">
        <v>44</v>
      </c>
      <c r="S373" s="23">
        <v>0</v>
      </c>
      <c r="T373" s="23">
        <v>1</v>
      </c>
      <c r="U373" s="23">
        <v>21</v>
      </c>
      <c r="V373"/>
      <c r="W373"/>
      <c r="X373"/>
      <c r="Y373"/>
      <c r="Z373"/>
      <c r="AG373" s="34">
        <v>21</v>
      </c>
      <c r="AH373">
        <v>5</v>
      </c>
      <c r="AI373">
        <v>23</v>
      </c>
      <c r="AJ373">
        <v>0</v>
      </c>
      <c r="AK373">
        <v>0</v>
      </c>
      <c r="AL373">
        <v>27</v>
      </c>
      <c r="AM373">
        <v>3</v>
      </c>
      <c r="AN373">
        <v>21</v>
      </c>
      <c r="AO373">
        <v>0</v>
      </c>
      <c r="AP373">
        <v>21</v>
      </c>
      <c r="AQ373" s="21">
        <f t="shared" si="56"/>
        <v>0</v>
      </c>
      <c r="AR373" s="26">
        <f t="shared" si="52"/>
        <v>100</v>
      </c>
      <c r="AS373">
        <v>0</v>
      </c>
      <c r="AT373">
        <v>0</v>
      </c>
      <c r="AU373">
        <v>0</v>
      </c>
      <c r="AV373">
        <v>12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 s="6">
        <f t="shared" si="53"/>
        <v>12</v>
      </c>
      <c r="BM373" s="6">
        <f t="shared" si="50"/>
        <v>12</v>
      </c>
      <c r="BN373">
        <v>23</v>
      </c>
      <c r="BO373">
        <f t="shared" si="57"/>
        <v>23</v>
      </c>
      <c r="BP373">
        <v>0</v>
      </c>
      <c r="BQ373">
        <f>SUM(BP373,BB373,BK373)</f>
        <v>0</v>
      </c>
      <c r="BR373">
        <f t="shared" si="48"/>
        <v>0</v>
      </c>
    </row>
    <row r="374" spans="1:70" hidden="1">
      <c r="A374" s="14" t="str">
        <f t="shared" si="49"/>
        <v>FC_2025_UPZ_1_3</v>
      </c>
      <c r="B374" t="s">
        <v>63</v>
      </c>
      <c r="C374">
        <v>44.8386</v>
      </c>
      <c r="D374">
        <v>-124.05875</v>
      </c>
      <c r="E374" s="8">
        <v>45820</v>
      </c>
      <c r="F374">
        <v>2025</v>
      </c>
      <c r="G374" t="s">
        <v>64</v>
      </c>
      <c r="H374" t="s">
        <v>45</v>
      </c>
      <c r="I374">
        <v>1</v>
      </c>
      <c r="J374">
        <v>3</v>
      </c>
      <c r="K374" t="s">
        <v>43</v>
      </c>
      <c r="L374" s="23">
        <v>16</v>
      </c>
      <c r="M374" s="23">
        <v>16</v>
      </c>
      <c r="N374" s="23">
        <v>0</v>
      </c>
      <c r="O374" s="23">
        <v>0</v>
      </c>
      <c r="P374" s="23">
        <v>0</v>
      </c>
      <c r="Q374" s="23" t="s">
        <v>44</v>
      </c>
      <c r="R374" s="23" t="s">
        <v>44</v>
      </c>
      <c r="S374" s="23">
        <v>0</v>
      </c>
      <c r="T374" s="23">
        <v>2</v>
      </c>
      <c r="U374" s="23">
        <v>12</v>
      </c>
      <c r="V374"/>
      <c r="W374"/>
      <c r="X374"/>
      <c r="Y374"/>
      <c r="Z374"/>
      <c r="AG374" s="34">
        <v>12</v>
      </c>
      <c r="AH374">
        <v>5</v>
      </c>
      <c r="AI374">
        <v>69</v>
      </c>
      <c r="AJ374">
        <v>2</v>
      </c>
      <c r="AK374">
        <v>0</v>
      </c>
      <c r="AL374">
        <v>7</v>
      </c>
      <c r="AM374">
        <v>2</v>
      </c>
      <c r="AN374">
        <v>3</v>
      </c>
      <c r="AO374">
        <v>0</v>
      </c>
      <c r="AP374">
        <v>12</v>
      </c>
      <c r="AQ374" s="21">
        <f t="shared" si="56"/>
        <v>0</v>
      </c>
      <c r="AR374" s="26">
        <f t="shared" si="52"/>
        <v>100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 s="6">
        <f t="shared" si="53"/>
        <v>0</v>
      </c>
      <c r="BM374" s="6">
        <f t="shared" si="50"/>
        <v>0</v>
      </c>
      <c r="BN374">
        <v>69</v>
      </c>
      <c r="BO374">
        <f t="shared" si="57"/>
        <v>69</v>
      </c>
      <c r="BP374">
        <v>2</v>
      </c>
      <c r="BQ374">
        <f>SUM(BP374,BB374,BK374)</f>
        <v>2</v>
      </c>
      <c r="BR374">
        <f t="shared" si="48"/>
        <v>0</v>
      </c>
    </row>
    <row r="375" spans="1:70" hidden="1">
      <c r="A375" s="14" t="str">
        <f t="shared" si="49"/>
        <v>FC_2025_UPZ_1_4</v>
      </c>
      <c r="B375" t="s">
        <v>63</v>
      </c>
      <c r="C375">
        <v>44.8386</v>
      </c>
      <c r="D375">
        <v>-124.05875</v>
      </c>
      <c r="E375" s="8">
        <v>45820</v>
      </c>
      <c r="F375">
        <v>2025</v>
      </c>
      <c r="G375" t="s">
        <v>64</v>
      </c>
      <c r="H375" t="s">
        <v>45</v>
      </c>
      <c r="I375">
        <v>1</v>
      </c>
      <c r="J375">
        <v>4</v>
      </c>
      <c r="K375" t="s">
        <v>43</v>
      </c>
      <c r="L375" s="23">
        <v>23</v>
      </c>
      <c r="M375" s="23">
        <v>23</v>
      </c>
      <c r="N375" s="23">
        <v>0</v>
      </c>
      <c r="O375" s="23">
        <v>0</v>
      </c>
      <c r="P375" s="23">
        <v>4</v>
      </c>
      <c r="Q375" s="23" t="s">
        <v>44</v>
      </c>
      <c r="R375" s="23" t="s">
        <v>44</v>
      </c>
      <c r="S375" s="23">
        <v>0</v>
      </c>
      <c r="T375" s="23">
        <v>2</v>
      </c>
      <c r="U375" s="23">
        <v>23</v>
      </c>
      <c r="V375"/>
      <c r="W375"/>
      <c r="X375"/>
      <c r="Y375"/>
      <c r="Z375"/>
      <c r="AG375" s="34">
        <v>23</v>
      </c>
      <c r="AH375">
        <v>1</v>
      </c>
      <c r="AI375">
        <v>34</v>
      </c>
      <c r="AJ375">
        <v>1</v>
      </c>
      <c r="AK375">
        <v>0</v>
      </c>
      <c r="AL375">
        <v>30</v>
      </c>
      <c r="AM375">
        <v>5</v>
      </c>
      <c r="AN375">
        <v>5</v>
      </c>
      <c r="AO375">
        <v>0</v>
      </c>
      <c r="AP375">
        <v>24</v>
      </c>
      <c r="AQ375" s="21">
        <f t="shared" si="56"/>
        <v>1</v>
      </c>
      <c r="AR375" s="26">
        <f t="shared" si="52"/>
        <v>100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 s="6">
        <f t="shared" si="53"/>
        <v>1</v>
      </c>
      <c r="BM375" s="6">
        <f t="shared" si="50"/>
        <v>1</v>
      </c>
      <c r="BN375">
        <v>34</v>
      </c>
      <c r="BO375">
        <f t="shared" si="57"/>
        <v>34</v>
      </c>
      <c r="BP375">
        <v>1</v>
      </c>
      <c r="BQ375">
        <f>SUM(BP375,BB375,BK375)</f>
        <v>1</v>
      </c>
      <c r="BR375">
        <f t="shared" si="48"/>
        <v>0</v>
      </c>
    </row>
    <row r="376" spans="1:70" hidden="1">
      <c r="A376" s="16" t="str">
        <f t="shared" si="49"/>
        <v>FC_2025_UPZ_1_5</v>
      </c>
      <c r="B376" t="s">
        <v>63</v>
      </c>
      <c r="C376">
        <v>44.8386</v>
      </c>
      <c r="D376">
        <v>-124.05875</v>
      </c>
      <c r="E376" s="8">
        <v>45820</v>
      </c>
      <c r="F376">
        <v>2025</v>
      </c>
      <c r="G376" t="s">
        <v>64</v>
      </c>
      <c r="H376" t="s">
        <v>45</v>
      </c>
      <c r="I376">
        <v>1</v>
      </c>
      <c r="J376">
        <v>5</v>
      </c>
      <c r="K376" t="s">
        <v>46</v>
      </c>
      <c r="L376" s="23">
        <v>32</v>
      </c>
      <c r="M376" s="23">
        <v>32</v>
      </c>
      <c r="N376" s="23">
        <v>0</v>
      </c>
      <c r="O376" s="23">
        <v>0</v>
      </c>
      <c r="P376" s="23">
        <v>2</v>
      </c>
      <c r="Q376" s="23" t="s">
        <v>44</v>
      </c>
      <c r="R376" s="23" t="s">
        <v>44</v>
      </c>
      <c r="S376" s="23">
        <v>0</v>
      </c>
      <c r="T376" s="23">
        <v>0</v>
      </c>
      <c r="U376" s="23">
        <v>35</v>
      </c>
      <c r="AG376" s="34">
        <v>35</v>
      </c>
      <c r="AH376">
        <v>0</v>
      </c>
      <c r="AI376">
        <v>34</v>
      </c>
      <c r="AJ376">
        <v>0</v>
      </c>
      <c r="AK376">
        <v>0</v>
      </c>
      <c r="AL376">
        <v>21</v>
      </c>
      <c r="AM376">
        <v>7</v>
      </c>
      <c r="AN376">
        <v>3</v>
      </c>
      <c r="AO376">
        <v>0</v>
      </c>
      <c r="AP376">
        <v>35</v>
      </c>
      <c r="AQ376" s="21">
        <f t="shared" si="56"/>
        <v>0</v>
      </c>
      <c r="AR376" s="12">
        <f t="shared" si="52"/>
        <v>100</v>
      </c>
      <c r="AS376">
        <v>0</v>
      </c>
      <c r="AT376">
        <v>2</v>
      </c>
      <c r="AU376">
        <v>0</v>
      </c>
      <c r="AV376">
        <v>4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s="6">
        <f t="shared" si="53"/>
        <v>6</v>
      </c>
      <c r="BM376" s="6">
        <f t="shared" si="50"/>
        <v>6</v>
      </c>
      <c r="BN376">
        <v>34</v>
      </c>
      <c r="BO376">
        <f t="shared" si="57"/>
        <v>34</v>
      </c>
      <c r="BP376">
        <v>0</v>
      </c>
      <c r="BQ376">
        <f>SUM(BP376,BB376,BK376)</f>
        <v>0</v>
      </c>
      <c r="BR376">
        <f t="shared" si="48"/>
        <v>0</v>
      </c>
    </row>
    <row r="377" spans="1:70" hidden="1">
      <c r="A377" s="14" t="str">
        <f t="shared" si="49"/>
        <v>FC_2025_UPZ_2_1</v>
      </c>
      <c r="B377" t="s">
        <v>63</v>
      </c>
      <c r="C377">
        <v>44.8386</v>
      </c>
      <c r="D377">
        <v>-124.05875</v>
      </c>
      <c r="E377" s="8">
        <v>45820</v>
      </c>
      <c r="F377">
        <v>2025</v>
      </c>
      <c r="G377" t="s">
        <v>64</v>
      </c>
      <c r="H377" t="s">
        <v>45</v>
      </c>
      <c r="I377">
        <v>2</v>
      </c>
      <c r="J377">
        <v>1</v>
      </c>
      <c r="K377" t="s">
        <v>46</v>
      </c>
      <c r="L377" s="23">
        <v>6</v>
      </c>
      <c r="M377" s="23">
        <v>6</v>
      </c>
      <c r="N377" s="23">
        <v>0</v>
      </c>
      <c r="O377" s="23">
        <v>0</v>
      </c>
      <c r="P377" s="23">
        <v>0</v>
      </c>
      <c r="Q377" s="23" t="s">
        <v>44</v>
      </c>
      <c r="R377" s="23" t="s">
        <v>44</v>
      </c>
      <c r="S377" s="23">
        <v>0</v>
      </c>
      <c r="T377" s="23">
        <v>1</v>
      </c>
      <c r="U377" s="23">
        <v>3</v>
      </c>
      <c r="V377"/>
      <c r="W377"/>
      <c r="X377"/>
      <c r="Y377"/>
      <c r="Z377"/>
      <c r="AG377" s="34">
        <v>3</v>
      </c>
      <c r="AH377">
        <v>2</v>
      </c>
      <c r="AI377">
        <v>46</v>
      </c>
      <c r="AJ377">
        <v>0</v>
      </c>
      <c r="AK377">
        <v>0</v>
      </c>
      <c r="AL377">
        <v>10</v>
      </c>
      <c r="AM377">
        <v>3</v>
      </c>
      <c r="AN377">
        <v>23</v>
      </c>
      <c r="AO377">
        <v>4</v>
      </c>
      <c r="AP377">
        <v>12</v>
      </c>
      <c r="AQ377" s="21">
        <f t="shared" si="56"/>
        <v>9</v>
      </c>
      <c r="AR377" s="26">
        <f t="shared" si="52"/>
        <v>100</v>
      </c>
      <c r="AS377">
        <v>0</v>
      </c>
      <c r="AT377">
        <v>6</v>
      </c>
      <c r="AU377">
        <v>0</v>
      </c>
      <c r="AV377">
        <v>0</v>
      </c>
      <c r="AW377">
        <v>0</v>
      </c>
      <c r="AX377">
        <v>10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 s="6">
        <f t="shared" si="53"/>
        <v>16</v>
      </c>
      <c r="BM377" s="6">
        <f t="shared" si="50"/>
        <v>16</v>
      </c>
      <c r="BN377">
        <v>46</v>
      </c>
      <c r="BO377">
        <f t="shared" si="57"/>
        <v>46</v>
      </c>
      <c r="BP377">
        <v>0</v>
      </c>
      <c r="BQ377">
        <f>SUM(BP377,BB377,BK377)</f>
        <v>0</v>
      </c>
      <c r="BR377">
        <f t="shared" si="48"/>
        <v>0</v>
      </c>
    </row>
    <row r="378" spans="1:70" hidden="1">
      <c r="A378" s="16" t="str">
        <f t="shared" si="49"/>
        <v>FC_2025_UPZ_2_2</v>
      </c>
      <c r="B378" t="s">
        <v>63</v>
      </c>
      <c r="C378">
        <v>44.8386</v>
      </c>
      <c r="D378">
        <v>-124.05875</v>
      </c>
      <c r="E378" s="8">
        <v>45820</v>
      </c>
      <c r="F378">
        <v>2025</v>
      </c>
      <c r="G378" t="s">
        <v>64</v>
      </c>
      <c r="H378" t="s">
        <v>45</v>
      </c>
      <c r="I378">
        <v>2</v>
      </c>
      <c r="J378">
        <v>2</v>
      </c>
      <c r="K378" t="s">
        <v>46</v>
      </c>
      <c r="L378" s="23">
        <v>24</v>
      </c>
      <c r="M378" s="23">
        <v>24</v>
      </c>
      <c r="N378" s="23">
        <v>0</v>
      </c>
      <c r="O378" s="23">
        <v>0</v>
      </c>
      <c r="P378" s="23">
        <v>3</v>
      </c>
      <c r="Q378" s="23" t="s">
        <v>44</v>
      </c>
      <c r="R378" s="23" t="s">
        <v>44</v>
      </c>
      <c r="S378" s="23">
        <v>0</v>
      </c>
      <c r="T378" s="23">
        <v>2</v>
      </c>
      <c r="U378" s="23">
        <v>20</v>
      </c>
      <c r="AG378" s="34">
        <v>20</v>
      </c>
      <c r="AH378">
        <v>0</v>
      </c>
      <c r="AI378">
        <v>58</v>
      </c>
      <c r="AJ378">
        <v>0</v>
      </c>
      <c r="AK378">
        <v>0</v>
      </c>
      <c r="AL378">
        <v>16</v>
      </c>
      <c r="AM378">
        <v>2</v>
      </c>
      <c r="AN378">
        <v>4</v>
      </c>
      <c r="AO378">
        <v>0</v>
      </c>
      <c r="AP378">
        <v>20</v>
      </c>
      <c r="AQ378" s="21">
        <f t="shared" si="56"/>
        <v>0</v>
      </c>
      <c r="AR378" s="12">
        <f t="shared" si="52"/>
        <v>100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s="6">
        <f t="shared" si="53"/>
        <v>1</v>
      </c>
      <c r="BM378" s="6">
        <f t="shared" si="50"/>
        <v>1</v>
      </c>
      <c r="BN378">
        <v>58</v>
      </c>
      <c r="BO378">
        <f t="shared" si="57"/>
        <v>58</v>
      </c>
      <c r="BP378">
        <v>0</v>
      </c>
      <c r="BQ378">
        <f>SUM(BP378,BB378,BK378)</f>
        <v>0</v>
      </c>
      <c r="BR378">
        <f t="shared" si="48"/>
        <v>0</v>
      </c>
    </row>
    <row r="379" spans="1:70" hidden="1">
      <c r="A379" s="16" t="str">
        <f t="shared" si="49"/>
        <v>FC_2025_UPZ_2_3</v>
      </c>
      <c r="B379" t="s">
        <v>63</v>
      </c>
      <c r="C379">
        <v>44.8386</v>
      </c>
      <c r="D379">
        <v>-124.05875</v>
      </c>
      <c r="E379" s="8">
        <v>45820</v>
      </c>
      <c r="F379">
        <v>2025</v>
      </c>
      <c r="G379" t="s">
        <v>64</v>
      </c>
      <c r="H379" t="s">
        <v>45</v>
      </c>
      <c r="I379">
        <v>2</v>
      </c>
      <c r="J379">
        <v>3</v>
      </c>
      <c r="K379" t="s">
        <v>46</v>
      </c>
      <c r="L379" s="23">
        <v>18</v>
      </c>
      <c r="M379" s="23">
        <v>18</v>
      </c>
      <c r="N379" s="23">
        <v>0</v>
      </c>
      <c r="O379" s="23">
        <v>0</v>
      </c>
      <c r="P379" s="23">
        <v>0</v>
      </c>
      <c r="Q379" s="23" t="s">
        <v>44</v>
      </c>
      <c r="R379" s="23" t="s">
        <v>44</v>
      </c>
      <c r="S379" s="23">
        <v>0</v>
      </c>
      <c r="T379" s="23">
        <v>2</v>
      </c>
      <c r="U379" s="23">
        <v>14</v>
      </c>
      <c r="AG379" s="34">
        <v>14</v>
      </c>
      <c r="AH379">
        <v>0</v>
      </c>
      <c r="AI379">
        <v>53</v>
      </c>
      <c r="AJ379">
        <v>0</v>
      </c>
      <c r="AK379">
        <v>0</v>
      </c>
      <c r="AL379">
        <v>11</v>
      </c>
      <c r="AM379">
        <v>3</v>
      </c>
      <c r="AN379">
        <v>19</v>
      </c>
      <c r="AO379">
        <v>0</v>
      </c>
      <c r="AP379">
        <v>14</v>
      </c>
      <c r="AQ379" s="21">
        <f t="shared" si="56"/>
        <v>0</v>
      </c>
      <c r="AR379" s="12">
        <f t="shared" si="52"/>
        <v>100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 s="6">
        <f t="shared" si="53"/>
        <v>5</v>
      </c>
      <c r="BM379" s="6">
        <f t="shared" si="50"/>
        <v>5</v>
      </c>
      <c r="BN379">
        <v>53</v>
      </c>
      <c r="BO379">
        <f t="shared" si="57"/>
        <v>53</v>
      </c>
      <c r="BP379">
        <v>0</v>
      </c>
      <c r="BQ379">
        <f>SUM(BP379,BB379,BK379)</f>
        <v>0</v>
      </c>
      <c r="BR379">
        <f t="shared" si="48"/>
        <v>0</v>
      </c>
    </row>
    <row r="380" spans="1:70" hidden="1">
      <c r="A380" s="16" t="str">
        <f t="shared" si="49"/>
        <v>FC_2025_UPZ_2_4</v>
      </c>
      <c r="B380" t="s">
        <v>63</v>
      </c>
      <c r="C380">
        <v>44.8386</v>
      </c>
      <c r="D380">
        <v>-124.05875</v>
      </c>
      <c r="E380" s="8">
        <v>45820</v>
      </c>
      <c r="F380">
        <v>2025</v>
      </c>
      <c r="G380" t="s">
        <v>64</v>
      </c>
      <c r="H380" t="s">
        <v>45</v>
      </c>
      <c r="I380">
        <v>2</v>
      </c>
      <c r="J380">
        <v>4</v>
      </c>
      <c r="K380" t="s">
        <v>43</v>
      </c>
      <c r="L380" s="23">
        <v>38</v>
      </c>
      <c r="M380" s="23">
        <v>38</v>
      </c>
      <c r="N380" s="23">
        <v>0</v>
      </c>
      <c r="O380" s="23">
        <v>0</v>
      </c>
      <c r="P380" s="23">
        <v>1</v>
      </c>
      <c r="Q380" s="23" t="s">
        <v>44</v>
      </c>
      <c r="R380" s="23" t="s">
        <v>44</v>
      </c>
      <c r="S380" s="23">
        <v>0</v>
      </c>
      <c r="T380" s="23">
        <v>1</v>
      </c>
      <c r="U380" s="23">
        <v>28</v>
      </c>
      <c r="AG380" s="34">
        <v>28</v>
      </c>
      <c r="AH380">
        <v>0</v>
      </c>
      <c r="AI380">
        <v>53</v>
      </c>
      <c r="AJ380">
        <v>0</v>
      </c>
      <c r="AK380">
        <v>0</v>
      </c>
      <c r="AL380">
        <v>14</v>
      </c>
      <c r="AM380">
        <v>2</v>
      </c>
      <c r="AN380">
        <v>3</v>
      </c>
      <c r="AO380">
        <v>0</v>
      </c>
      <c r="AP380">
        <v>28</v>
      </c>
      <c r="AQ380" s="21">
        <f t="shared" si="56"/>
        <v>0</v>
      </c>
      <c r="AR380" s="12">
        <f t="shared" si="52"/>
        <v>100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 s="6">
        <f t="shared" si="53"/>
        <v>0</v>
      </c>
      <c r="BM380" s="6">
        <f t="shared" si="50"/>
        <v>0</v>
      </c>
      <c r="BN380">
        <v>53</v>
      </c>
      <c r="BO380">
        <f t="shared" si="57"/>
        <v>53</v>
      </c>
      <c r="BP380">
        <v>0</v>
      </c>
      <c r="BQ380">
        <f>SUM(BP380,BB380,BK380)</f>
        <v>0</v>
      </c>
      <c r="BR380">
        <f t="shared" ref="BR380:BR443" si="58">BQ380-BP380</f>
        <v>0</v>
      </c>
    </row>
    <row r="381" spans="1:70" s="13" customFormat="1" hidden="1">
      <c r="A381" s="14" t="str">
        <f t="shared" si="49"/>
        <v>FC_2025_UPZ_2_5</v>
      </c>
      <c r="B381" s="13" t="s">
        <v>63</v>
      </c>
      <c r="C381" s="13">
        <v>44.8386</v>
      </c>
      <c r="D381" s="13">
        <v>-124.05875</v>
      </c>
      <c r="E381" s="27">
        <v>45820</v>
      </c>
      <c r="F381" s="13">
        <v>2025</v>
      </c>
      <c r="G381" s="13" t="s">
        <v>64</v>
      </c>
      <c r="H381" s="13" t="s">
        <v>45</v>
      </c>
      <c r="I381" s="13">
        <v>2</v>
      </c>
      <c r="J381" s="13">
        <v>5</v>
      </c>
      <c r="K381" s="13" t="s">
        <v>43</v>
      </c>
      <c r="L381" s="23">
        <v>12</v>
      </c>
      <c r="M381" s="23">
        <v>12</v>
      </c>
      <c r="N381" s="23">
        <v>0</v>
      </c>
      <c r="O381" s="23">
        <v>0</v>
      </c>
      <c r="P381" s="23">
        <v>1</v>
      </c>
      <c r="Q381" s="23" t="s">
        <v>44</v>
      </c>
      <c r="R381" s="23" t="s">
        <v>44</v>
      </c>
      <c r="S381" s="23">
        <v>0</v>
      </c>
      <c r="T381" s="23">
        <v>1</v>
      </c>
      <c r="U381" s="23">
        <v>10</v>
      </c>
      <c r="AG381" s="34">
        <v>7</v>
      </c>
      <c r="AH381" s="13">
        <v>6</v>
      </c>
      <c r="AI381" s="13">
        <v>62</v>
      </c>
      <c r="AJ381" s="13">
        <v>0</v>
      </c>
      <c r="AK381" s="13">
        <v>13</v>
      </c>
      <c r="AL381" s="13">
        <v>11</v>
      </c>
      <c r="AM381" s="13">
        <v>1</v>
      </c>
      <c r="AN381" s="13">
        <v>0</v>
      </c>
      <c r="AO381" s="13">
        <v>0</v>
      </c>
      <c r="AP381" s="13">
        <v>7</v>
      </c>
      <c r="AQ381" s="29">
        <f t="shared" si="56"/>
        <v>0</v>
      </c>
      <c r="AR381" s="30">
        <f t="shared" si="52"/>
        <v>100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25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6">
        <f t="shared" si="53"/>
        <v>25</v>
      </c>
      <c r="BM381" s="6">
        <f t="shared" si="50"/>
        <v>25</v>
      </c>
      <c r="BN381" s="13">
        <v>62</v>
      </c>
      <c r="BO381">
        <f t="shared" si="57"/>
        <v>62</v>
      </c>
      <c r="BP381" s="13">
        <v>0</v>
      </c>
      <c r="BQ381">
        <f>SUM(BP381,BB381,BK381)</f>
        <v>0</v>
      </c>
      <c r="BR381">
        <f t="shared" si="58"/>
        <v>0</v>
      </c>
    </row>
    <row r="382" spans="1:70" hidden="1">
      <c r="A382" s="16" t="str">
        <f t="shared" si="49"/>
        <v>SH_2025_AZ_1_1</v>
      </c>
      <c r="B382" t="s">
        <v>52</v>
      </c>
      <c r="C382">
        <v>44.249229999999997</v>
      </c>
      <c r="D382">
        <v>-124.11539999999999</v>
      </c>
      <c r="E382" s="8">
        <v>45822</v>
      </c>
      <c r="F382">
        <v>2025</v>
      </c>
      <c r="G382" t="s">
        <v>50</v>
      </c>
      <c r="H382" t="s">
        <v>42</v>
      </c>
      <c r="I382">
        <v>1</v>
      </c>
      <c r="J382">
        <v>1</v>
      </c>
      <c r="K382" t="s">
        <v>43</v>
      </c>
      <c r="L382" s="23">
        <v>0</v>
      </c>
      <c r="M382" s="23">
        <v>0</v>
      </c>
      <c r="N382" s="23">
        <v>0</v>
      </c>
      <c r="O382" s="23">
        <v>0</v>
      </c>
      <c r="P382" s="23">
        <v>0</v>
      </c>
      <c r="Q382" s="23" t="s">
        <v>44</v>
      </c>
      <c r="R382" s="23" t="s">
        <v>44</v>
      </c>
      <c r="S382" s="23">
        <v>0</v>
      </c>
      <c r="T382" s="23">
        <v>0</v>
      </c>
      <c r="U382" s="23">
        <f t="shared" ref="U382:U401" si="59">T382+M382</f>
        <v>0</v>
      </c>
      <c r="V382" s="18" t="s">
        <v>44</v>
      </c>
      <c r="W382" s="18" t="s">
        <v>44</v>
      </c>
      <c r="X382" s="18" t="s">
        <v>44</v>
      </c>
      <c r="Y382" s="18" t="s">
        <v>44</v>
      </c>
      <c r="Z382" s="18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s="34">
        <v>0</v>
      </c>
      <c r="AH382">
        <v>56</v>
      </c>
      <c r="AI382">
        <v>16</v>
      </c>
      <c r="AJ382">
        <v>0</v>
      </c>
      <c r="AK382">
        <v>0</v>
      </c>
      <c r="AL382">
        <v>6</v>
      </c>
      <c r="AM382">
        <v>1</v>
      </c>
      <c r="AN382">
        <v>7</v>
      </c>
      <c r="AO382">
        <v>14</v>
      </c>
      <c r="AP382">
        <v>0</v>
      </c>
      <c r="AQ382" s="21">
        <f t="shared" si="56"/>
        <v>0</v>
      </c>
      <c r="AR382" s="12">
        <f t="shared" si="52"/>
        <v>100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92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 s="6">
        <f t="shared" si="53"/>
        <v>92</v>
      </c>
      <c r="BM382" s="6">
        <f t="shared" si="50"/>
        <v>92</v>
      </c>
      <c r="BN382">
        <v>16</v>
      </c>
      <c r="BO382">
        <f t="shared" si="57"/>
        <v>16</v>
      </c>
      <c r="BP382">
        <v>0</v>
      </c>
      <c r="BQ382">
        <f>SUM(BP382,BB382,BK382)</f>
        <v>0</v>
      </c>
      <c r="BR382">
        <f t="shared" si="58"/>
        <v>0</v>
      </c>
    </row>
    <row r="383" spans="1:70" hidden="1">
      <c r="A383" s="16" t="str">
        <f t="shared" si="49"/>
        <v>SH_2025_AZ_1_2</v>
      </c>
      <c r="B383" t="s">
        <v>52</v>
      </c>
      <c r="C383">
        <v>44.249229999999997</v>
      </c>
      <c r="D383">
        <v>-124.11539999999999</v>
      </c>
      <c r="E383" s="8">
        <v>45822</v>
      </c>
      <c r="F383">
        <v>2025</v>
      </c>
      <c r="G383" t="s">
        <v>50</v>
      </c>
      <c r="H383" t="s">
        <v>42</v>
      </c>
      <c r="I383">
        <v>1</v>
      </c>
      <c r="J383">
        <v>2</v>
      </c>
      <c r="K383" t="s">
        <v>43</v>
      </c>
      <c r="L383" s="23">
        <v>0</v>
      </c>
      <c r="M383" s="23">
        <v>0</v>
      </c>
      <c r="N383" s="23">
        <v>0</v>
      </c>
      <c r="O383" s="23">
        <v>0</v>
      </c>
      <c r="P383" s="23">
        <v>0</v>
      </c>
      <c r="Q383" s="23" t="s">
        <v>44</v>
      </c>
      <c r="R383" s="23" t="s">
        <v>44</v>
      </c>
      <c r="S383" s="23">
        <v>0</v>
      </c>
      <c r="T383" s="23">
        <v>0</v>
      </c>
      <c r="U383" s="23">
        <f t="shared" si="59"/>
        <v>0</v>
      </c>
      <c r="V383" s="18" t="s">
        <v>44</v>
      </c>
      <c r="W383" s="18" t="s">
        <v>44</v>
      </c>
      <c r="X383" s="18" t="s">
        <v>44</v>
      </c>
      <c r="Y383" s="18" t="s">
        <v>44</v>
      </c>
      <c r="Z383" s="18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s="34">
        <v>0</v>
      </c>
      <c r="AH383">
        <v>34</v>
      </c>
      <c r="AI383">
        <v>39</v>
      </c>
      <c r="AJ383">
        <v>0</v>
      </c>
      <c r="AK383">
        <v>8</v>
      </c>
      <c r="AL383">
        <v>0</v>
      </c>
      <c r="AM383">
        <v>0</v>
      </c>
      <c r="AN383">
        <v>0</v>
      </c>
      <c r="AO383">
        <v>19</v>
      </c>
      <c r="AP383">
        <v>0</v>
      </c>
      <c r="AQ383" s="21">
        <f t="shared" si="56"/>
        <v>0</v>
      </c>
      <c r="AR383" s="12">
        <f t="shared" si="52"/>
        <v>100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</v>
      </c>
      <c r="AY383">
        <v>0</v>
      </c>
      <c r="AZ383">
        <v>17</v>
      </c>
      <c r="BA383">
        <v>0</v>
      </c>
      <c r="BB383">
        <v>0</v>
      </c>
      <c r="BC383">
        <v>97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 s="6">
        <f t="shared" si="53"/>
        <v>117</v>
      </c>
      <c r="BM383" s="6">
        <f t="shared" si="50"/>
        <v>117</v>
      </c>
      <c r="BN383">
        <v>39</v>
      </c>
      <c r="BO383">
        <f t="shared" si="57"/>
        <v>39</v>
      </c>
      <c r="BP383">
        <v>0</v>
      </c>
      <c r="BQ383">
        <f>SUM(BP383,BB383,BK383)</f>
        <v>0</v>
      </c>
      <c r="BR383">
        <f t="shared" si="58"/>
        <v>0</v>
      </c>
    </row>
    <row r="384" spans="1:70" hidden="1">
      <c r="A384" s="16" t="str">
        <f t="shared" si="49"/>
        <v>SH_2025_AZ_1_3</v>
      </c>
      <c r="B384" t="s">
        <v>52</v>
      </c>
      <c r="C384">
        <v>44.249229999999997</v>
      </c>
      <c r="D384">
        <v>-124.11539999999999</v>
      </c>
      <c r="E384" s="8">
        <v>45822</v>
      </c>
      <c r="F384">
        <v>2025</v>
      </c>
      <c r="G384" t="s">
        <v>50</v>
      </c>
      <c r="H384" t="s">
        <v>42</v>
      </c>
      <c r="I384">
        <v>1</v>
      </c>
      <c r="J384">
        <v>3</v>
      </c>
      <c r="K384" t="s">
        <v>43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 t="s">
        <v>44</v>
      </c>
      <c r="R384" s="23" t="s">
        <v>44</v>
      </c>
      <c r="S384" s="23">
        <v>0</v>
      </c>
      <c r="T384" s="23">
        <v>0</v>
      </c>
      <c r="U384" s="23">
        <f t="shared" si="59"/>
        <v>0</v>
      </c>
      <c r="V384" s="18" t="s">
        <v>44</v>
      </c>
      <c r="W384" s="18" t="s">
        <v>44</v>
      </c>
      <c r="X384" s="18" t="s">
        <v>44</v>
      </c>
      <c r="Y384" s="18" t="s">
        <v>44</v>
      </c>
      <c r="Z384" s="18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s="34">
        <v>0</v>
      </c>
      <c r="AH384">
        <v>1</v>
      </c>
      <c r="AI384">
        <v>28</v>
      </c>
      <c r="AJ384">
        <v>0</v>
      </c>
      <c r="AK384">
        <v>59</v>
      </c>
      <c r="AL384">
        <v>1</v>
      </c>
      <c r="AM384">
        <v>0</v>
      </c>
      <c r="AN384">
        <v>0</v>
      </c>
      <c r="AO384">
        <v>11</v>
      </c>
      <c r="AP384">
        <v>0</v>
      </c>
      <c r="AQ384" s="21">
        <f t="shared" si="56"/>
        <v>0</v>
      </c>
      <c r="AR384" s="12">
        <f t="shared" si="52"/>
        <v>100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4</v>
      </c>
      <c r="AY384">
        <v>0</v>
      </c>
      <c r="AZ384">
        <v>65</v>
      </c>
      <c r="BA384">
        <v>0</v>
      </c>
      <c r="BB384">
        <v>0</v>
      </c>
      <c r="BC384">
        <v>14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 s="6">
        <f t="shared" si="53"/>
        <v>83</v>
      </c>
      <c r="BM384" s="6">
        <f t="shared" si="50"/>
        <v>83</v>
      </c>
      <c r="BN384">
        <v>28</v>
      </c>
      <c r="BO384">
        <f t="shared" si="57"/>
        <v>28</v>
      </c>
      <c r="BP384">
        <v>0</v>
      </c>
      <c r="BQ384">
        <f>SUM(BP384,BB384,BK384)</f>
        <v>0</v>
      </c>
      <c r="BR384">
        <f t="shared" si="58"/>
        <v>0</v>
      </c>
    </row>
    <row r="385" spans="1:70" hidden="1">
      <c r="A385" s="16" t="str">
        <f t="shared" si="49"/>
        <v>SH_2025_AZ_1_4</v>
      </c>
      <c r="B385" t="s">
        <v>52</v>
      </c>
      <c r="C385">
        <v>44.249229999999997</v>
      </c>
      <c r="D385">
        <v>-124.11539999999999</v>
      </c>
      <c r="E385" s="8">
        <v>45822</v>
      </c>
      <c r="F385">
        <v>2025</v>
      </c>
      <c r="G385" t="s">
        <v>50</v>
      </c>
      <c r="H385" t="s">
        <v>42</v>
      </c>
      <c r="I385">
        <v>1</v>
      </c>
      <c r="J385">
        <v>4</v>
      </c>
      <c r="K385" t="s">
        <v>43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 t="s">
        <v>44</v>
      </c>
      <c r="R385" s="23" t="s">
        <v>44</v>
      </c>
      <c r="S385" s="23">
        <v>0</v>
      </c>
      <c r="T385" s="23">
        <v>0</v>
      </c>
      <c r="U385" s="23">
        <f t="shared" si="59"/>
        <v>0</v>
      </c>
      <c r="V385" s="18" t="s">
        <v>44</v>
      </c>
      <c r="W385" s="18" t="s">
        <v>44</v>
      </c>
      <c r="X385" s="18" t="s">
        <v>44</v>
      </c>
      <c r="Y385" s="18" t="s">
        <v>44</v>
      </c>
      <c r="Z385" s="18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s="34">
        <v>0</v>
      </c>
      <c r="AH385">
        <v>12</v>
      </c>
      <c r="AI385">
        <v>74</v>
      </c>
      <c r="AJ385">
        <v>2</v>
      </c>
      <c r="AK385">
        <v>0</v>
      </c>
      <c r="AL385">
        <v>4</v>
      </c>
      <c r="AM385">
        <v>1</v>
      </c>
      <c r="AN385">
        <v>0</v>
      </c>
      <c r="AO385">
        <v>6</v>
      </c>
      <c r="AP385">
        <v>1</v>
      </c>
      <c r="AQ385" s="21">
        <f t="shared" si="56"/>
        <v>1</v>
      </c>
      <c r="AR385" s="12">
        <f t="shared" si="52"/>
        <v>100</v>
      </c>
      <c r="AS385">
        <v>17</v>
      </c>
      <c r="AT385">
        <v>2</v>
      </c>
      <c r="AU385">
        <v>0</v>
      </c>
      <c r="AV385">
        <v>0</v>
      </c>
      <c r="AW385">
        <v>0</v>
      </c>
      <c r="AX385">
        <v>43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 s="6">
        <f t="shared" si="53"/>
        <v>62</v>
      </c>
      <c r="BM385" s="6">
        <f t="shared" si="50"/>
        <v>62</v>
      </c>
      <c r="BN385">
        <v>74</v>
      </c>
      <c r="BO385">
        <f t="shared" si="57"/>
        <v>74</v>
      </c>
      <c r="BP385">
        <v>2</v>
      </c>
      <c r="BQ385">
        <f>SUM(BP385,BB385,BK385)</f>
        <v>2</v>
      </c>
      <c r="BR385">
        <f t="shared" si="58"/>
        <v>0</v>
      </c>
    </row>
    <row r="386" spans="1:70" hidden="1">
      <c r="A386" s="16" t="str">
        <f t="shared" ref="A386:A449" si="60">_xlfn.CONCAT(B386,"_",F386, "_",H386, "_",I386,"_",J386)</f>
        <v>SH_2025_AZ_1_5</v>
      </c>
      <c r="B386" t="s">
        <v>52</v>
      </c>
      <c r="C386">
        <v>44.249229999999997</v>
      </c>
      <c r="D386">
        <v>-124.11539999999999</v>
      </c>
      <c r="E386" s="8">
        <v>45822</v>
      </c>
      <c r="F386">
        <v>2025</v>
      </c>
      <c r="G386" t="s">
        <v>50</v>
      </c>
      <c r="H386" t="s">
        <v>42</v>
      </c>
      <c r="I386">
        <v>1</v>
      </c>
      <c r="J386">
        <v>5</v>
      </c>
      <c r="K386" t="s">
        <v>43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 t="s">
        <v>44</v>
      </c>
      <c r="R386" s="23" t="s">
        <v>44</v>
      </c>
      <c r="S386" s="23">
        <v>0</v>
      </c>
      <c r="T386" s="23">
        <v>0</v>
      </c>
      <c r="U386" s="23">
        <f t="shared" si="59"/>
        <v>0</v>
      </c>
      <c r="V386" s="18" t="s">
        <v>44</v>
      </c>
      <c r="W386" s="18" t="s">
        <v>44</v>
      </c>
      <c r="X386" s="18" t="s">
        <v>44</v>
      </c>
      <c r="Y386" s="18" t="s">
        <v>44</v>
      </c>
      <c r="Z386" s="18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s="34">
        <v>0</v>
      </c>
      <c r="AH386">
        <v>50</v>
      </c>
      <c r="AI386">
        <v>14</v>
      </c>
      <c r="AJ386">
        <v>0</v>
      </c>
      <c r="AK386">
        <v>0.1</v>
      </c>
      <c r="AL386">
        <v>0</v>
      </c>
      <c r="AM386">
        <v>1</v>
      </c>
      <c r="AN386">
        <v>0</v>
      </c>
      <c r="AO386">
        <v>35</v>
      </c>
      <c r="AP386">
        <v>0</v>
      </c>
      <c r="AQ386" s="21">
        <f t="shared" si="56"/>
        <v>0</v>
      </c>
      <c r="AR386" s="12">
        <f t="shared" si="52"/>
        <v>100.1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100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 s="6">
        <f t="shared" si="53"/>
        <v>100</v>
      </c>
      <c r="BM386" s="6">
        <f t="shared" ref="BM386:BM449" si="61">SUM(AS386:BJ386)</f>
        <v>100</v>
      </c>
      <c r="BN386">
        <v>14</v>
      </c>
      <c r="BO386">
        <f t="shared" si="57"/>
        <v>14</v>
      </c>
      <c r="BP386">
        <v>0</v>
      </c>
      <c r="BQ386">
        <f>SUM(BP386,BB386,BK386)</f>
        <v>0</v>
      </c>
      <c r="BR386">
        <f t="shared" si="58"/>
        <v>0</v>
      </c>
    </row>
    <row r="387" spans="1:70" hidden="1">
      <c r="A387" s="16" t="str">
        <f t="shared" si="60"/>
        <v>SH_2025_AZ_2_1</v>
      </c>
      <c r="B387" t="s">
        <v>52</v>
      </c>
      <c r="C387">
        <v>44.249229999999997</v>
      </c>
      <c r="D387">
        <v>-124.11539999999999</v>
      </c>
      <c r="E387" s="8">
        <v>45822</v>
      </c>
      <c r="F387">
        <v>2025</v>
      </c>
      <c r="G387" t="s">
        <v>50</v>
      </c>
      <c r="H387" t="s">
        <v>42</v>
      </c>
      <c r="I387">
        <v>2</v>
      </c>
      <c r="J387">
        <v>1</v>
      </c>
      <c r="K387" t="s">
        <v>43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 t="s">
        <v>44</v>
      </c>
      <c r="R387" s="23" t="s">
        <v>44</v>
      </c>
      <c r="S387" s="23">
        <v>0</v>
      </c>
      <c r="T387" s="23">
        <v>0</v>
      </c>
      <c r="U387" s="23">
        <f t="shared" si="59"/>
        <v>0</v>
      </c>
      <c r="V387" s="18" t="s">
        <v>44</v>
      </c>
      <c r="W387" s="18" t="s">
        <v>44</v>
      </c>
      <c r="X387" s="18" t="s">
        <v>44</v>
      </c>
      <c r="Y387" s="18" t="s">
        <v>44</v>
      </c>
      <c r="Z387" s="18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s="34">
        <v>0</v>
      </c>
      <c r="AH387">
        <v>9</v>
      </c>
      <c r="AI387">
        <v>68</v>
      </c>
      <c r="AJ387">
        <v>3</v>
      </c>
      <c r="AK387">
        <v>4</v>
      </c>
      <c r="AL387">
        <v>0</v>
      </c>
      <c r="AM387">
        <v>0</v>
      </c>
      <c r="AN387">
        <v>0</v>
      </c>
      <c r="AO387">
        <v>16</v>
      </c>
      <c r="AP387">
        <v>0</v>
      </c>
      <c r="AQ387" s="21">
        <f t="shared" si="56"/>
        <v>0</v>
      </c>
      <c r="AR387" s="12">
        <f t="shared" ref="AR387:AR450" si="62">SUM(AH387:AP387)</f>
        <v>100</v>
      </c>
      <c r="AS387">
        <v>35</v>
      </c>
      <c r="AT387">
        <v>24</v>
      </c>
      <c r="AU387">
        <v>0</v>
      </c>
      <c r="AV387">
        <v>0</v>
      </c>
      <c r="AW387">
        <v>0</v>
      </c>
      <c r="AX387">
        <v>43</v>
      </c>
      <c r="AY387">
        <v>0</v>
      </c>
      <c r="AZ387">
        <v>6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s="6">
        <f t="shared" ref="BL387:BL450" si="63">SUM(AS387:AT387,AV387:AW387,AX387:BA387,BC387:BF387,BJ387)</f>
        <v>108</v>
      </c>
      <c r="BM387" s="6">
        <f t="shared" si="61"/>
        <v>108</v>
      </c>
      <c r="BN387">
        <v>68</v>
      </c>
      <c r="BO387">
        <f t="shared" si="57"/>
        <v>68</v>
      </c>
      <c r="BP387">
        <v>3</v>
      </c>
      <c r="BQ387">
        <f>SUM(BP387,BB387,BK387)</f>
        <v>3</v>
      </c>
      <c r="BR387">
        <f t="shared" si="58"/>
        <v>0</v>
      </c>
    </row>
    <row r="388" spans="1:70" hidden="1">
      <c r="A388" s="16" t="str">
        <f t="shared" si="60"/>
        <v>SH_2025_AZ_2_2</v>
      </c>
      <c r="B388" t="s">
        <v>52</v>
      </c>
      <c r="C388">
        <v>44.249229999999997</v>
      </c>
      <c r="D388">
        <v>-124.11539999999999</v>
      </c>
      <c r="E388" s="8">
        <v>45822</v>
      </c>
      <c r="F388">
        <v>2025</v>
      </c>
      <c r="G388" t="s">
        <v>50</v>
      </c>
      <c r="H388" t="s">
        <v>42</v>
      </c>
      <c r="I388">
        <v>2</v>
      </c>
      <c r="J388">
        <v>2</v>
      </c>
      <c r="K388" t="s">
        <v>43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 t="s">
        <v>44</v>
      </c>
      <c r="R388" s="23" t="s">
        <v>44</v>
      </c>
      <c r="S388" s="23">
        <v>0</v>
      </c>
      <c r="T388" s="23">
        <v>0</v>
      </c>
      <c r="U388" s="23">
        <f t="shared" si="59"/>
        <v>0</v>
      </c>
      <c r="V388" s="18" t="s">
        <v>44</v>
      </c>
      <c r="W388" s="18" t="s">
        <v>44</v>
      </c>
      <c r="X388" s="18" t="s">
        <v>44</v>
      </c>
      <c r="Y388" s="18" t="s">
        <v>44</v>
      </c>
      <c r="Z388" s="1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s="34">
        <v>0</v>
      </c>
      <c r="AH388">
        <v>3</v>
      </c>
      <c r="AI388">
        <v>67</v>
      </c>
      <c r="AJ388">
        <v>2</v>
      </c>
      <c r="AK388">
        <v>17</v>
      </c>
      <c r="AL388">
        <v>2</v>
      </c>
      <c r="AM388">
        <v>0</v>
      </c>
      <c r="AN388">
        <v>0</v>
      </c>
      <c r="AO388">
        <v>9</v>
      </c>
      <c r="AP388">
        <v>0</v>
      </c>
      <c r="AQ388" s="21">
        <f t="shared" si="56"/>
        <v>0</v>
      </c>
      <c r="AR388" s="12">
        <f t="shared" si="62"/>
        <v>100</v>
      </c>
      <c r="AS388">
        <v>96</v>
      </c>
      <c r="AT388">
        <v>26</v>
      </c>
      <c r="AU388">
        <v>0</v>
      </c>
      <c r="AV388">
        <v>0</v>
      </c>
      <c r="AW388">
        <v>0</v>
      </c>
      <c r="AX388">
        <v>4</v>
      </c>
      <c r="AY388">
        <v>0</v>
      </c>
      <c r="AZ388">
        <v>26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 s="6">
        <f t="shared" si="63"/>
        <v>152</v>
      </c>
      <c r="BM388" s="6">
        <f t="shared" si="61"/>
        <v>152</v>
      </c>
      <c r="BN388">
        <v>67</v>
      </c>
      <c r="BO388">
        <f t="shared" si="57"/>
        <v>67</v>
      </c>
      <c r="BP388">
        <v>2</v>
      </c>
      <c r="BQ388">
        <f>SUM(BP388,BB388,BK388)</f>
        <v>2</v>
      </c>
      <c r="BR388">
        <f t="shared" si="58"/>
        <v>0</v>
      </c>
    </row>
    <row r="389" spans="1:70" hidden="1">
      <c r="A389" s="16" t="str">
        <f t="shared" si="60"/>
        <v>SH_2025_AZ_2_3</v>
      </c>
      <c r="B389" t="s">
        <v>52</v>
      </c>
      <c r="C389">
        <v>44.249229999999997</v>
      </c>
      <c r="D389">
        <v>-124.11539999999999</v>
      </c>
      <c r="E389" s="8">
        <v>45822</v>
      </c>
      <c r="F389">
        <v>2025</v>
      </c>
      <c r="G389" t="s">
        <v>50</v>
      </c>
      <c r="H389" t="s">
        <v>42</v>
      </c>
      <c r="I389">
        <v>2</v>
      </c>
      <c r="J389">
        <v>3</v>
      </c>
      <c r="K389" t="s">
        <v>43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 t="s">
        <v>44</v>
      </c>
      <c r="R389" s="23" t="s">
        <v>44</v>
      </c>
      <c r="S389" s="23">
        <v>0</v>
      </c>
      <c r="T389" s="23">
        <v>0</v>
      </c>
      <c r="U389" s="23">
        <f t="shared" si="59"/>
        <v>0</v>
      </c>
      <c r="V389" s="18" t="s">
        <v>44</v>
      </c>
      <c r="W389" s="18" t="s">
        <v>44</v>
      </c>
      <c r="X389" s="18" t="s">
        <v>44</v>
      </c>
      <c r="Y389" s="18" t="s">
        <v>44</v>
      </c>
      <c r="Z389" s="18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s="34">
        <v>0</v>
      </c>
      <c r="AH389">
        <v>0</v>
      </c>
      <c r="AI389">
        <v>70</v>
      </c>
      <c r="AJ389">
        <v>0</v>
      </c>
      <c r="AK389">
        <v>1</v>
      </c>
      <c r="AL389">
        <v>1</v>
      </c>
      <c r="AM389">
        <v>0</v>
      </c>
      <c r="AN389">
        <v>0.1</v>
      </c>
      <c r="AO389">
        <v>28</v>
      </c>
      <c r="AP389">
        <v>0</v>
      </c>
      <c r="AQ389" s="21">
        <f t="shared" si="56"/>
        <v>0</v>
      </c>
      <c r="AR389" s="12">
        <f t="shared" si="62"/>
        <v>100.1</v>
      </c>
      <c r="AS389">
        <v>15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 s="6">
        <f t="shared" si="63"/>
        <v>16</v>
      </c>
      <c r="BM389" s="6">
        <f t="shared" si="61"/>
        <v>16</v>
      </c>
      <c r="BN389">
        <v>70</v>
      </c>
      <c r="BO389">
        <f t="shared" si="57"/>
        <v>70</v>
      </c>
      <c r="BP389">
        <v>0</v>
      </c>
      <c r="BQ389">
        <f>SUM(BP389,BB389,BK389)</f>
        <v>0</v>
      </c>
      <c r="BR389">
        <f t="shared" si="58"/>
        <v>0</v>
      </c>
    </row>
    <row r="390" spans="1:70" hidden="1">
      <c r="A390" s="16" t="str">
        <f t="shared" si="60"/>
        <v>SH_2025_AZ_2_4</v>
      </c>
      <c r="B390" t="s">
        <v>52</v>
      </c>
      <c r="C390">
        <v>44.249229999999997</v>
      </c>
      <c r="D390">
        <v>-124.11539999999999</v>
      </c>
      <c r="E390" s="8">
        <v>45822</v>
      </c>
      <c r="F390">
        <v>2025</v>
      </c>
      <c r="G390" t="s">
        <v>50</v>
      </c>
      <c r="H390" t="s">
        <v>42</v>
      </c>
      <c r="I390">
        <v>2</v>
      </c>
      <c r="J390">
        <v>4</v>
      </c>
      <c r="K390" t="s">
        <v>43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 t="s">
        <v>44</v>
      </c>
      <c r="R390" s="23" t="s">
        <v>44</v>
      </c>
      <c r="S390" s="23">
        <v>0</v>
      </c>
      <c r="T390" s="23">
        <v>0</v>
      </c>
      <c r="U390" s="23">
        <f t="shared" si="59"/>
        <v>0</v>
      </c>
      <c r="V390" s="18" t="s">
        <v>44</v>
      </c>
      <c r="W390" s="18" t="s">
        <v>44</v>
      </c>
      <c r="X390" s="18" t="s">
        <v>44</v>
      </c>
      <c r="Y390" s="18" t="s">
        <v>44</v>
      </c>
      <c r="Z390" s="18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s="34">
        <v>0</v>
      </c>
      <c r="AH390">
        <v>0</v>
      </c>
      <c r="AI390">
        <v>62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38</v>
      </c>
      <c r="AP390">
        <v>0</v>
      </c>
      <c r="AQ390" s="21">
        <f t="shared" si="56"/>
        <v>0</v>
      </c>
      <c r="AR390" s="12">
        <f t="shared" si="62"/>
        <v>100</v>
      </c>
      <c r="AS390">
        <v>25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 s="6">
        <f t="shared" si="63"/>
        <v>25</v>
      </c>
      <c r="BM390" s="6">
        <f t="shared" si="61"/>
        <v>25</v>
      </c>
      <c r="BN390">
        <v>62</v>
      </c>
      <c r="BO390">
        <f t="shared" si="57"/>
        <v>62</v>
      </c>
      <c r="BP390">
        <v>0</v>
      </c>
      <c r="BQ390">
        <f>SUM(BP390,BB390,BK390)</f>
        <v>0</v>
      </c>
      <c r="BR390">
        <f t="shared" si="58"/>
        <v>0</v>
      </c>
    </row>
    <row r="391" spans="1:70" hidden="1">
      <c r="A391" s="16" t="str">
        <f t="shared" si="60"/>
        <v>SH_2025_AZ_2_5</v>
      </c>
      <c r="B391" t="s">
        <v>52</v>
      </c>
      <c r="C391">
        <v>44.249229999999997</v>
      </c>
      <c r="D391">
        <v>-124.11539999999999</v>
      </c>
      <c r="E391" s="8">
        <v>45822</v>
      </c>
      <c r="F391">
        <v>2025</v>
      </c>
      <c r="G391" t="s">
        <v>50</v>
      </c>
      <c r="H391" t="s">
        <v>42</v>
      </c>
      <c r="I391">
        <v>2</v>
      </c>
      <c r="J391">
        <v>5</v>
      </c>
      <c r="K391" t="s">
        <v>46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 t="s">
        <v>44</v>
      </c>
      <c r="R391" s="23" t="s">
        <v>44</v>
      </c>
      <c r="S391" s="23">
        <v>0</v>
      </c>
      <c r="T391" s="23">
        <v>0</v>
      </c>
      <c r="U391" s="23">
        <f t="shared" si="59"/>
        <v>0</v>
      </c>
      <c r="V391" s="18" t="s">
        <v>44</v>
      </c>
      <c r="W391" s="18" t="s">
        <v>44</v>
      </c>
      <c r="X391" s="18" t="s">
        <v>44</v>
      </c>
      <c r="Y391" s="18" t="s">
        <v>44</v>
      </c>
      <c r="Z391" s="18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s="34">
        <v>0</v>
      </c>
      <c r="AH391">
        <v>5</v>
      </c>
      <c r="AI391">
        <v>48</v>
      </c>
      <c r="AJ391">
        <v>2</v>
      </c>
      <c r="AK391">
        <v>0</v>
      </c>
      <c r="AL391">
        <v>2</v>
      </c>
      <c r="AM391">
        <v>6</v>
      </c>
      <c r="AN391">
        <v>0</v>
      </c>
      <c r="AO391">
        <v>11</v>
      </c>
      <c r="AP391">
        <v>26</v>
      </c>
      <c r="AQ391" s="21">
        <f t="shared" si="56"/>
        <v>26</v>
      </c>
      <c r="AR391" s="12">
        <f t="shared" si="62"/>
        <v>100</v>
      </c>
      <c r="AS391">
        <v>2</v>
      </c>
      <c r="AT391">
        <v>15</v>
      </c>
      <c r="AU391">
        <v>0</v>
      </c>
      <c r="AV391">
        <v>0</v>
      </c>
      <c r="AW391">
        <v>0</v>
      </c>
      <c r="AX391">
        <v>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 s="6">
        <f t="shared" si="63"/>
        <v>21</v>
      </c>
      <c r="BM391" s="6">
        <f t="shared" si="61"/>
        <v>21</v>
      </c>
      <c r="BN391">
        <v>48</v>
      </c>
      <c r="BO391">
        <f t="shared" si="57"/>
        <v>48</v>
      </c>
      <c r="BP391">
        <v>2</v>
      </c>
      <c r="BQ391">
        <f>SUM(BP391,BB391,BK391)</f>
        <v>2</v>
      </c>
      <c r="BR391">
        <f t="shared" si="58"/>
        <v>0</v>
      </c>
    </row>
    <row r="392" spans="1:70" hidden="1">
      <c r="A392" s="16" t="str">
        <f t="shared" si="60"/>
        <v>SH_2025_UPZ_1_1</v>
      </c>
      <c r="B392" t="s">
        <v>52</v>
      </c>
      <c r="C392">
        <v>44.249229999999997</v>
      </c>
      <c r="D392">
        <v>-124.11539999999999</v>
      </c>
      <c r="E392" s="8">
        <v>45822</v>
      </c>
      <c r="F392">
        <v>2025</v>
      </c>
      <c r="G392" t="s">
        <v>50</v>
      </c>
      <c r="H392" t="s">
        <v>45</v>
      </c>
      <c r="I392">
        <v>1</v>
      </c>
      <c r="J392">
        <v>1</v>
      </c>
      <c r="K392" t="s">
        <v>46</v>
      </c>
      <c r="L392" s="23">
        <v>2</v>
      </c>
      <c r="M392" s="23">
        <v>2</v>
      </c>
      <c r="N392" s="23">
        <v>0</v>
      </c>
      <c r="O392" s="23">
        <v>0</v>
      </c>
      <c r="P392" s="23">
        <v>0</v>
      </c>
      <c r="Q392" s="23" t="s">
        <v>44</v>
      </c>
      <c r="R392" s="23" t="s">
        <v>44</v>
      </c>
      <c r="S392" s="23">
        <v>0</v>
      </c>
      <c r="T392" s="23">
        <v>0</v>
      </c>
      <c r="U392" s="23">
        <f t="shared" si="59"/>
        <v>2</v>
      </c>
      <c r="AG392" s="34">
        <v>2</v>
      </c>
      <c r="AH392">
        <v>8</v>
      </c>
      <c r="AI392">
        <v>55</v>
      </c>
      <c r="AJ392">
        <v>2</v>
      </c>
      <c r="AK392">
        <v>6</v>
      </c>
      <c r="AL392">
        <v>6</v>
      </c>
      <c r="AM392">
        <v>8</v>
      </c>
      <c r="AN392">
        <v>7</v>
      </c>
      <c r="AO392">
        <v>5</v>
      </c>
      <c r="AP392">
        <v>3</v>
      </c>
      <c r="AQ392" s="21">
        <f t="shared" si="56"/>
        <v>1</v>
      </c>
      <c r="AR392" s="12">
        <f t="shared" si="62"/>
        <v>100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32</v>
      </c>
      <c r="AY392">
        <v>0</v>
      </c>
      <c r="AZ392">
        <v>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 s="6">
        <f t="shared" si="63"/>
        <v>40</v>
      </c>
      <c r="BM392" s="6">
        <f t="shared" si="61"/>
        <v>40</v>
      </c>
      <c r="BN392">
        <v>55</v>
      </c>
      <c r="BO392">
        <f t="shared" si="57"/>
        <v>55</v>
      </c>
      <c r="BP392">
        <v>2</v>
      </c>
      <c r="BQ392">
        <f>SUM(BP392,BB392,BK392)</f>
        <v>2</v>
      </c>
      <c r="BR392">
        <f t="shared" si="58"/>
        <v>0</v>
      </c>
    </row>
    <row r="393" spans="1:70" hidden="1">
      <c r="A393" s="16" t="str">
        <f t="shared" si="60"/>
        <v>SH_2025_UPZ_1_2</v>
      </c>
      <c r="B393" t="s">
        <v>52</v>
      </c>
      <c r="C393">
        <v>44.249229999999997</v>
      </c>
      <c r="D393">
        <v>-124.11539999999999</v>
      </c>
      <c r="E393" s="8">
        <v>45822</v>
      </c>
      <c r="F393">
        <v>2025</v>
      </c>
      <c r="G393" t="s">
        <v>50</v>
      </c>
      <c r="H393" t="s">
        <v>45</v>
      </c>
      <c r="I393">
        <v>1</v>
      </c>
      <c r="J393">
        <v>2</v>
      </c>
      <c r="K393" t="s">
        <v>46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 t="s">
        <v>44</v>
      </c>
      <c r="R393" s="23" t="s">
        <v>44</v>
      </c>
      <c r="S393" s="23">
        <v>0</v>
      </c>
      <c r="T393" s="23">
        <v>0</v>
      </c>
      <c r="U393" s="23">
        <f t="shared" si="59"/>
        <v>0</v>
      </c>
      <c r="AG393" s="34">
        <v>0</v>
      </c>
      <c r="AH393">
        <v>12</v>
      </c>
      <c r="AI393">
        <v>24</v>
      </c>
      <c r="AJ393">
        <v>0</v>
      </c>
      <c r="AK393">
        <v>0</v>
      </c>
      <c r="AL393">
        <v>18</v>
      </c>
      <c r="AM393">
        <v>5</v>
      </c>
      <c r="AN393">
        <v>1</v>
      </c>
      <c r="AO393">
        <v>0</v>
      </c>
      <c r="AP393">
        <v>40</v>
      </c>
      <c r="AQ393" s="21">
        <f t="shared" si="56"/>
        <v>40</v>
      </c>
      <c r="AR393" s="12">
        <f t="shared" si="62"/>
        <v>100</v>
      </c>
      <c r="AS393">
        <v>0</v>
      </c>
      <c r="AT393">
        <v>69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 s="6">
        <f t="shared" si="63"/>
        <v>73</v>
      </c>
      <c r="BM393" s="6">
        <f t="shared" si="61"/>
        <v>73</v>
      </c>
      <c r="BN393">
        <v>24</v>
      </c>
      <c r="BO393">
        <f t="shared" si="57"/>
        <v>24</v>
      </c>
      <c r="BP393">
        <v>0</v>
      </c>
      <c r="BQ393">
        <f>SUM(BP393,BB393,BK393)</f>
        <v>0</v>
      </c>
      <c r="BR393">
        <f t="shared" si="58"/>
        <v>0</v>
      </c>
    </row>
    <row r="394" spans="1:70" hidden="1">
      <c r="A394" s="16" t="str">
        <f t="shared" si="60"/>
        <v>SH_2025_UPZ_1_3</v>
      </c>
      <c r="B394" t="s">
        <v>52</v>
      </c>
      <c r="C394">
        <v>44.249229999999997</v>
      </c>
      <c r="D394">
        <v>-124.11539999999999</v>
      </c>
      <c r="E394" s="8">
        <v>45822</v>
      </c>
      <c r="F394">
        <v>2025</v>
      </c>
      <c r="G394" t="s">
        <v>50</v>
      </c>
      <c r="H394" t="s">
        <v>45</v>
      </c>
      <c r="I394">
        <v>1</v>
      </c>
      <c r="J394">
        <v>3</v>
      </c>
      <c r="K394" t="s">
        <v>46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 t="s">
        <v>44</v>
      </c>
      <c r="R394" s="23" t="s">
        <v>44</v>
      </c>
      <c r="S394" s="23">
        <v>0</v>
      </c>
      <c r="T394" s="23">
        <v>0</v>
      </c>
      <c r="U394" s="23">
        <f t="shared" si="59"/>
        <v>0</v>
      </c>
      <c r="AG394" s="34">
        <v>0</v>
      </c>
      <c r="AH394">
        <v>7</v>
      </c>
      <c r="AI394">
        <v>10</v>
      </c>
      <c r="AJ394">
        <v>0</v>
      </c>
      <c r="AK394">
        <v>0</v>
      </c>
      <c r="AL394">
        <v>3</v>
      </c>
      <c r="AM394">
        <v>3</v>
      </c>
      <c r="AN394">
        <v>5</v>
      </c>
      <c r="AO394">
        <v>0</v>
      </c>
      <c r="AP394">
        <v>72</v>
      </c>
      <c r="AQ394" s="21">
        <f t="shared" si="56"/>
        <v>72</v>
      </c>
      <c r="AR394" s="12">
        <f t="shared" si="62"/>
        <v>100</v>
      </c>
      <c r="AS394">
        <v>0</v>
      </c>
      <c r="AT394">
        <v>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 s="6">
        <f t="shared" si="63"/>
        <v>32</v>
      </c>
      <c r="BM394" s="6">
        <f t="shared" si="61"/>
        <v>32</v>
      </c>
      <c r="BN394">
        <v>10</v>
      </c>
      <c r="BO394">
        <f t="shared" si="57"/>
        <v>10</v>
      </c>
      <c r="BP394">
        <v>0</v>
      </c>
      <c r="BQ394">
        <f>SUM(BP394,BB394,BK394)</f>
        <v>0</v>
      </c>
      <c r="BR394">
        <f t="shared" si="58"/>
        <v>0</v>
      </c>
    </row>
    <row r="395" spans="1:70" hidden="1">
      <c r="A395" s="16" t="str">
        <f t="shared" si="60"/>
        <v>SH_2025_UPZ_1_4</v>
      </c>
      <c r="B395" t="s">
        <v>52</v>
      </c>
      <c r="C395">
        <v>44.249229999999997</v>
      </c>
      <c r="D395">
        <v>-124.11539999999999</v>
      </c>
      <c r="E395" s="8">
        <v>45822</v>
      </c>
      <c r="F395">
        <v>2025</v>
      </c>
      <c r="G395" t="s">
        <v>50</v>
      </c>
      <c r="H395" t="s">
        <v>45</v>
      </c>
      <c r="I395">
        <v>1</v>
      </c>
      <c r="J395">
        <v>4</v>
      </c>
      <c r="K395" t="s">
        <v>46</v>
      </c>
      <c r="L395" s="23">
        <v>0</v>
      </c>
      <c r="M395" s="23">
        <v>1</v>
      </c>
      <c r="N395" s="23">
        <v>0</v>
      </c>
      <c r="O395" s="23">
        <v>0</v>
      </c>
      <c r="P395" s="23">
        <v>0</v>
      </c>
      <c r="Q395" s="23" t="s">
        <v>44</v>
      </c>
      <c r="R395" s="23" t="s">
        <v>44</v>
      </c>
      <c r="S395" s="23">
        <v>0</v>
      </c>
      <c r="T395" s="23">
        <v>1</v>
      </c>
      <c r="U395" s="23">
        <f t="shared" si="59"/>
        <v>2</v>
      </c>
      <c r="AG395" s="34">
        <v>0</v>
      </c>
      <c r="AH395">
        <v>11</v>
      </c>
      <c r="AI395">
        <v>32</v>
      </c>
      <c r="AJ395">
        <v>2</v>
      </c>
      <c r="AK395">
        <v>0</v>
      </c>
      <c r="AL395">
        <v>6</v>
      </c>
      <c r="AM395">
        <v>8</v>
      </c>
      <c r="AN395">
        <v>15</v>
      </c>
      <c r="AO395">
        <v>15</v>
      </c>
      <c r="AP395">
        <v>11</v>
      </c>
      <c r="AQ395" s="21">
        <f t="shared" si="56"/>
        <v>11</v>
      </c>
      <c r="AR395" s="12">
        <f t="shared" si="62"/>
        <v>100</v>
      </c>
      <c r="AS395">
        <v>7</v>
      </c>
      <c r="AT395">
        <v>44</v>
      </c>
      <c r="AU395">
        <v>0</v>
      </c>
      <c r="AV395">
        <v>0</v>
      </c>
      <c r="AW395">
        <v>0</v>
      </c>
      <c r="AX395">
        <v>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 s="6">
        <f t="shared" si="63"/>
        <v>56</v>
      </c>
      <c r="BM395" s="6">
        <f t="shared" si="61"/>
        <v>56</v>
      </c>
      <c r="BN395">
        <v>32</v>
      </c>
      <c r="BO395">
        <f t="shared" si="57"/>
        <v>32</v>
      </c>
      <c r="BP395">
        <v>2</v>
      </c>
      <c r="BQ395">
        <f>SUM(BP395,BB395,BK395)</f>
        <v>2</v>
      </c>
      <c r="BR395">
        <f t="shared" si="58"/>
        <v>0</v>
      </c>
    </row>
    <row r="396" spans="1:70" hidden="1">
      <c r="A396" s="16" t="str">
        <f t="shared" si="60"/>
        <v>SH_2025_UPZ_1_5</v>
      </c>
      <c r="B396" t="s">
        <v>52</v>
      </c>
      <c r="C396">
        <v>44.249229999999997</v>
      </c>
      <c r="D396">
        <v>-124.11539999999999</v>
      </c>
      <c r="E396" s="8">
        <v>45822</v>
      </c>
      <c r="F396">
        <v>2025</v>
      </c>
      <c r="G396" t="s">
        <v>50</v>
      </c>
      <c r="H396" t="s">
        <v>45</v>
      </c>
      <c r="I396">
        <v>1</v>
      </c>
      <c r="J396">
        <v>5</v>
      </c>
      <c r="K396" t="s">
        <v>46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 t="s">
        <v>44</v>
      </c>
      <c r="R396" s="23" t="s">
        <v>44</v>
      </c>
      <c r="S396" s="23">
        <v>0</v>
      </c>
      <c r="T396" s="23">
        <v>0</v>
      </c>
      <c r="U396" s="23">
        <f t="shared" si="59"/>
        <v>0</v>
      </c>
      <c r="AG396" s="34">
        <v>0</v>
      </c>
      <c r="AH396">
        <v>14</v>
      </c>
      <c r="AI396">
        <v>54</v>
      </c>
      <c r="AJ396">
        <v>2</v>
      </c>
      <c r="AK396">
        <v>0</v>
      </c>
      <c r="AL396">
        <v>2</v>
      </c>
      <c r="AM396">
        <v>3</v>
      </c>
      <c r="AN396">
        <v>9</v>
      </c>
      <c r="AO396">
        <v>7</v>
      </c>
      <c r="AP396">
        <v>9</v>
      </c>
      <c r="AQ396" s="21">
        <f t="shared" si="56"/>
        <v>9</v>
      </c>
      <c r="AR396" s="12">
        <f t="shared" si="62"/>
        <v>100</v>
      </c>
      <c r="AS396">
        <v>0</v>
      </c>
      <c r="AT396">
        <v>60</v>
      </c>
      <c r="AU396">
        <v>0</v>
      </c>
      <c r="AV396">
        <v>0</v>
      </c>
      <c r="AW396">
        <v>0</v>
      </c>
      <c r="AX396">
        <v>40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 s="6">
        <f t="shared" si="63"/>
        <v>100</v>
      </c>
      <c r="BM396" s="6">
        <f t="shared" si="61"/>
        <v>100</v>
      </c>
      <c r="BN396">
        <v>54</v>
      </c>
      <c r="BO396">
        <f t="shared" si="57"/>
        <v>54</v>
      </c>
      <c r="BP396">
        <v>2</v>
      </c>
      <c r="BQ396">
        <f>SUM(BP396,BB396,BK396)</f>
        <v>2</v>
      </c>
      <c r="BR396">
        <f t="shared" si="58"/>
        <v>0</v>
      </c>
    </row>
    <row r="397" spans="1:70" hidden="1">
      <c r="A397" s="16" t="str">
        <f t="shared" si="60"/>
        <v>SH_2025_UPZ_2_1</v>
      </c>
      <c r="B397" t="s">
        <v>52</v>
      </c>
      <c r="C397">
        <v>44.249229999999997</v>
      </c>
      <c r="D397">
        <v>-124.11539999999999</v>
      </c>
      <c r="E397" s="8">
        <v>45822</v>
      </c>
      <c r="F397">
        <v>2025</v>
      </c>
      <c r="G397" t="s">
        <v>50</v>
      </c>
      <c r="H397" t="s">
        <v>45</v>
      </c>
      <c r="I397">
        <v>2</v>
      </c>
      <c r="J397">
        <v>1</v>
      </c>
      <c r="K397" t="s">
        <v>46</v>
      </c>
      <c r="L397" s="23">
        <v>3</v>
      </c>
      <c r="M397" s="23">
        <v>2</v>
      </c>
      <c r="N397" s="23">
        <v>1</v>
      </c>
      <c r="O397" s="23">
        <v>0</v>
      </c>
      <c r="P397" s="23">
        <v>0</v>
      </c>
      <c r="Q397" s="23" t="s">
        <v>44</v>
      </c>
      <c r="R397" s="23" t="s">
        <v>44</v>
      </c>
      <c r="S397" s="23">
        <v>0</v>
      </c>
      <c r="T397" s="23">
        <v>0</v>
      </c>
      <c r="U397" s="23">
        <f t="shared" si="59"/>
        <v>2</v>
      </c>
      <c r="V397" s="18">
        <v>3.9</v>
      </c>
      <c r="W397" s="18">
        <v>3.2</v>
      </c>
      <c r="X397" s="18">
        <v>3</v>
      </c>
      <c r="Y397" s="18" t="s">
        <v>44</v>
      </c>
      <c r="Z397" s="18" t="s">
        <v>44</v>
      </c>
      <c r="AG397" s="34">
        <v>2</v>
      </c>
      <c r="AH397">
        <v>0</v>
      </c>
      <c r="AI397">
        <v>33</v>
      </c>
      <c r="AJ397">
        <v>0</v>
      </c>
      <c r="AK397">
        <v>2</v>
      </c>
      <c r="AL397">
        <v>0</v>
      </c>
      <c r="AM397">
        <v>2</v>
      </c>
      <c r="AN397">
        <v>60</v>
      </c>
      <c r="AO397">
        <v>1</v>
      </c>
      <c r="AP397">
        <v>2</v>
      </c>
      <c r="AQ397" s="21">
        <f t="shared" si="56"/>
        <v>0</v>
      </c>
      <c r="AR397" s="12">
        <f t="shared" si="62"/>
        <v>100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 s="6">
        <f t="shared" si="63"/>
        <v>0</v>
      </c>
      <c r="BM397" s="6">
        <f t="shared" si="61"/>
        <v>0</v>
      </c>
      <c r="BN397">
        <v>33</v>
      </c>
      <c r="BO397">
        <f t="shared" si="57"/>
        <v>33</v>
      </c>
      <c r="BP397">
        <v>0</v>
      </c>
      <c r="BQ397">
        <f>SUM(BP397,BB397,BK397)</f>
        <v>0</v>
      </c>
      <c r="BR397">
        <f t="shared" si="58"/>
        <v>0</v>
      </c>
    </row>
    <row r="398" spans="1:70" hidden="1">
      <c r="A398" s="16" t="str">
        <f t="shared" si="60"/>
        <v>SH_2025_UPZ_2_2</v>
      </c>
      <c r="B398" t="s">
        <v>52</v>
      </c>
      <c r="C398">
        <v>44.249229999999997</v>
      </c>
      <c r="D398">
        <v>-124.11539999999999</v>
      </c>
      <c r="E398" s="8">
        <v>45822</v>
      </c>
      <c r="F398">
        <v>2025</v>
      </c>
      <c r="G398" t="s">
        <v>50</v>
      </c>
      <c r="H398" t="s">
        <v>45</v>
      </c>
      <c r="I398">
        <v>2</v>
      </c>
      <c r="J398">
        <v>2</v>
      </c>
      <c r="K398" t="s">
        <v>46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 t="s">
        <v>44</v>
      </c>
      <c r="R398" s="23" t="s">
        <v>44</v>
      </c>
      <c r="S398" s="23">
        <v>0</v>
      </c>
      <c r="T398" s="23">
        <v>0</v>
      </c>
      <c r="U398" s="23">
        <f t="shared" si="59"/>
        <v>0</v>
      </c>
      <c r="V398" s="18">
        <v>3.8</v>
      </c>
      <c r="W398" s="18">
        <v>3.1</v>
      </c>
      <c r="X398" s="18" t="s">
        <v>44</v>
      </c>
      <c r="Y398" s="18" t="s">
        <v>44</v>
      </c>
      <c r="Z398" s="18" t="s">
        <v>44</v>
      </c>
      <c r="AG398" s="34">
        <v>0</v>
      </c>
      <c r="AH398">
        <v>0</v>
      </c>
      <c r="AI398">
        <v>55</v>
      </c>
      <c r="AJ398">
        <v>0.1</v>
      </c>
      <c r="AK398">
        <v>0</v>
      </c>
      <c r="AL398">
        <v>2</v>
      </c>
      <c r="AM398">
        <v>1</v>
      </c>
      <c r="AN398">
        <v>36</v>
      </c>
      <c r="AO398">
        <v>0</v>
      </c>
      <c r="AP398">
        <v>6</v>
      </c>
      <c r="AQ398" s="21">
        <f t="shared" si="56"/>
        <v>6</v>
      </c>
      <c r="AR398" s="12">
        <f t="shared" si="62"/>
        <v>100.1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s="6">
        <f t="shared" si="63"/>
        <v>1</v>
      </c>
      <c r="BM398" s="6">
        <f t="shared" si="61"/>
        <v>1</v>
      </c>
      <c r="BN398">
        <v>55</v>
      </c>
      <c r="BO398">
        <f t="shared" si="57"/>
        <v>55</v>
      </c>
      <c r="BP398">
        <v>0.1</v>
      </c>
      <c r="BQ398">
        <f>SUM(BP398,BB398,BK398)</f>
        <v>0.1</v>
      </c>
      <c r="BR398">
        <f t="shared" si="58"/>
        <v>0</v>
      </c>
    </row>
    <row r="399" spans="1:70" hidden="1">
      <c r="A399" s="16" t="str">
        <f t="shared" si="60"/>
        <v>SH_2025_UPZ_2_3</v>
      </c>
      <c r="B399" t="s">
        <v>52</v>
      </c>
      <c r="C399">
        <v>44.249229999999997</v>
      </c>
      <c r="D399">
        <v>-124.11539999999999</v>
      </c>
      <c r="E399" s="8">
        <v>45822</v>
      </c>
      <c r="F399">
        <v>2025</v>
      </c>
      <c r="G399" t="s">
        <v>50</v>
      </c>
      <c r="H399" t="s">
        <v>45</v>
      </c>
      <c r="I399">
        <v>2</v>
      </c>
      <c r="J399">
        <v>3</v>
      </c>
      <c r="K399" t="s">
        <v>83</v>
      </c>
      <c r="L399" s="23">
        <v>2</v>
      </c>
      <c r="M399" s="23">
        <v>1</v>
      </c>
      <c r="N399" s="23">
        <v>1</v>
      </c>
      <c r="O399" s="23">
        <v>0</v>
      </c>
      <c r="P399" s="23">
        <v>0</v>
      </c>
      <c r="Q399" s="23" t="s">
        <v>44</v>
      </c>
      <c r="R399" s="23" t="s">
        <v>44</v>
      </c>
      <c r="S399" s="23">
        <v>0</v>
      </c>
      <c r="T399" s="23">
        <v>0</v>
      </c>
      <c r="U399" s="23">
        <f t="shared" si="59"/>
        <v>1</v>
      </c>
      <c r="V399" s="18">
        <v>3</v>
      </c>
      <c r="W399" s="18" t="s">
        <v>44</v>
      </c>
      <c r="X399" s="18" t="s">
        <v>44</v>
      </c>
      <c r="Y399" s="18" t="s">
        <v>44</v>
      </c>
      <c r="Z399" s="18" t="s">
        <v>44</v>
      </c>
      <c r="AG399" s="34">
        <v>2</v>
      </c>
      <c r="AH399">
        <v>4</v>
      </c>
      <c r="AI399">
        <v>20</v>
      </c>
      <c r="AJ399">
        <v>1</v>
      </c>
      <c r="AK399">
        <v>0</v>
      </c>
      <c r="AL399">
        <v>0</v>
      </c>
      <c r="AM399">
        <v>0</v>
      </c>
      <c r="AN399">
        <v>73</v>
      </c>
      <c r="AO399">
        <v>0</v>
      </c>
      <c r="AP399">
        <v>2</v>
      </c>
      <c r="AQ399" s="21">
        <f t="shared" si="56"/>
        <v>0</v>
      </c>
      <c r="AR399" s="12">
        <f t="shared" si="62"/>
        <v>100</v>
      </c>
      <c r="AS399">
        <v>0</v>
      </c>
      <c r="AT399">
        <v>13</v>
      </c>
      <c r="AU399">
        <v>0</v>
      </c>
      <c r="AV399">
        <v>0</v>
      </c>
      <c r="AW399">
        <v>0</v>
      </c>
      <c r="AX399">
        <v>7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 s="6">
        <f t="shared" si="63"/>
        <v>20</v>
      </c>
      <c r="BM399" s="6">
        <f t="shared" si="61"/>
        <v>20</v>
      </c>
      <c r="BN399">
        <v>20</v>
      </c>
      <c r="BO399">
        <f t="shared" si="57"/>
        <v>20</v>
      </c>
      <c r="BP399">
        <v>1</v>
      </c>
      <c r="BQ399">
        <f>SUM(BP399,BB399,BK399)</f>
        <v>1</v>
      </c>
      <c r="BR399">
        <f t="shared" si="58"/>
        <v>0</v>
      </c>
    </row>
    <row r="400" spans="1:70" hidden="1">
      <c r="A400" s="16" t="str">
        <f t="shared" si="60"/>
        <v>SH_2025_UPZ_2_4</v>
      </c>
      <c r="B400" t="s">
        <v>52</v>
      </c>
      <c r="C400">
        <v>44.249229999999997</v>
      </c>
      <c r="D400">
        <v>-124.11539999999999</v>
      </c>
      <c r="E400" s="8">
        <v>45822</v>
      </c>
      <c r="F400">
        <v>2025</v>
      </c>
      <c r="G400" t="s">
        <v>50</v>
      </c>
      <c r="H400" t="s">
        <v>45</v>
      </c>
      <c r="I400">
        <v>2</v>
      </c>
      <c r="J400">
        <v>4</v>
      </c>
      <c r="K400" t="s">
        <v>83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 t="s">
        <v>44</v>
      </c>
      <c r="R400" s="23" t="s">
        <v>44</v>
      </c>
      <c r="S400" s="23">
        <v>0</v>
      </c>
      <c r="T400" s="23">
        <v>1</v>
      </c>
      <c r="U400" s="23">
        <f t="shared" si="59"/>
        <v>1</v>
      </c>
      <c r="V400" s="18" t="s">
        <v>44</v>
      </c>
      <c r="W400" s="18" t="s">
        <v>44</v>
      </c>
      <c r="X400" s="18" t="s">
        <v>44</v>
      </c>
      <c r="Y400" s="18" t="s">
        <v>44</v>
      </c>
      <c r="Z400" s="18" t="s">
        <v>44</v>
      </c>
      <c r="AG400" s="34">
        <v>0</v>
      </c>
      <c r="AH400">
        <v>0</v>
      </c>
      <c r="AI400">
        <v>4</v>
      </c>
      <c r="AJ400">
        <v>0</v>
      </c>
      <c r="AK400">
        <v>0</v>
      </c>
      <c r="AL400">
        <v>0</v>
      </c>
      <c r="AM400">
        <v>0</v>
      </c>
      <c r="AN400">
        <v>94</v>
      </c>
      <c r="AO400">
        <v>0</v>
      </c>
      <c r="AP400">
        <v>2</v>
      </c>
      <c r="AQ400" s="21">
        <f t="shared" si="56"/>
        <v>2</v>
      </c>
      <c r="AR400" s="12">
        <f t="shared" si="62"/>
        <v>100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 s="6">
        <f t="shared" si="63"/>
        <v>0</v>
      </c>
      <c r="BM400" s="6">
        <f t="shared" si="61"/>
        <v>0</v>
      </c>
      <c r="BN400">
        <v>4</v>
      </c>
      <c r="BO400">
        <f t="shared" si="57"/>
        <v>4</v>
      </c>
      <c r="BP400">
        <v>0</v>
      </c>
      <c r="BQ400">
        <f>SUM(BP400,BB400,BK400)</f>
        <v>0</v>
      </c>
      <c r="BR400">
        <f t="shared" si="58"/>
        <v>0</v>
      </c>
    </row>
    <row r="401" spans="1:70" hidden="1">
      <c r="A401" s="16" t="str">
        <f t="shared" si="60"/>
        <v>SH_2025_UPZ_2_5</v>
      </c>
      <c r="B401" t="s">
        <v>52</v>
      </c>
      <c r="C401">
        <v>44.249229999999997</v>
      </c>
      <c r="D401">
        <v>-124.11539999999999</v>
      </c>
      <c r="E401" s="8">
        <v>45822</v>
      </c>
      <c r="F401">
        <v>2025</v>
      </c>
      <c r="G401" t="s">
        <v>50</v>
      </c>
      <c r="H401" t="s">
        <v>45</v>
      </c>
      <c r="I401">
        <v>2</v>
      </c>
      <c r="J401">
        <v>5</v>
      </c>
      <c r="K401" t="s">
        <v>83</v>
      </c>
      <c r="L401" s="23">
        <v>0</v>
      </c>
      <c r="M401" s="23">
        <v>1</v>
      </c>
      <c r="N401" s="23">
        <v>0</v>
      </c>
      <c r="O401" s="23">
        <v>0</v>
      </c>
      <c r="P401" s="23">
        <v>0</v>
      </c>
      <c r="Q401" s="23" t="s">
        <v>44</v>
      </c>
      <c r="R401" s="23" t="s">
        <v>44</v>
      </c>
      <c r="S401" s="23">
        <v>0</v>
      </c>
      <c r="T401" s="23">
        <v>2</v>
      </c>
      <c r="U401" s="23">
        <f t="shared" si="59"/>
        <v>3</v>
      </c>
      <c r="V401" s="18" t="s">
        <v>44</v>
      </c>
      <c r="W401" s="18" t="s">
        <v>44</v>
      </c>
      <c r="X401" s="18" t="s">
        <v>44</v>
      </c>
      <c r="Y401" s="18" t="s">
        <v>44</v>
      </c>
      <c r="Z401" s="18" t="s">
        <v>44</v>
      </c>
      <c r="AG401" s="34">
        <v>1</v>
      </c>
      <c r="AH401">
        <v>0</v>
      </c>
      <c r="AI401">
        <v>22</v>
      </c>
      <c r="AJ401">
        <v>1</v>
      </c>
      <c r="AK401">
        <v>0</v>
      </c>
      <c r="AL401">
        <v>7</v>
      </c>
      <c r="AM401">
        <v>0</v>
      </c>
      <c r="AN401">
        <v>62</v>
      </c>
      <c r="AO401">
        <v>0</v>
      </c>
      <c r="AP401">
        <v>8</v>
      </c>
      <c r="AQ401" s="21">
        <f t="shared" si="56"/>
        <v>7</v>
      </c>
      <c r="AR401" s="12">
        <f t="shared" si="62"/>
        <v>100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 s="6">
        <f t="shared" si="63"/>
        <v>3</v>
      </c>
      <c r="BM401" s="6">
        <f t="shared" si="61"/>
        <v>3</v>
      </c>
      <c r="BN401">
        <v>22</v>
      </c>
      <c r="BO401">
        <f t="shared" si="57"/>
        <v>22</v>
      </c>
      <c r="BP401">
        <v>1</v>
      </c>
      <c r="BQ401">
        <f>SUM(BP401,BB401,BK401)</f>
        <v>1</v>
      </c>
      <c r="BR401">
        <f t="shared" si="58"/>
        <v>0</v>
      </c>
    </row>
    <row r="402" spans="1:70" hidden="1">
      <c r="A402" s="16" t="str">
        <f t="shared" si="60"/>
        <v>YB_2025_AZ_1_1</v>
      </c>
      <c r="B402" t="s">
        <v>49</v>
      </c>
      <c r="C402">
        <v>44.311399999999999</v>
      </c>
      <c r="D402">
        <v>-124.1086</v>
      </c>
      <c r="E402" s="8">
        <v>45821</v>
      </c>
      <c r="F402">
        <v>2025</v>
      </c>
      <c r="G402" t="s">
        <v>50</v>
      </c>
      <c r="H402" t="s">
        <v>42</v>
      </c>
      <c r="I402">
        <v>1</v>
      </c>
      <c r="J402">
        <v>1</v>
      </c>
      <c r="K402" t="s">
        <v>46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 t="s">
        <v>44</v>
      </c>
      <c r="R402" s="23" t="s">
        <v>44</v>
      </c>
      <c r="S402" s="23">
        <v>0</v>
      </c>
      <c r="T402" s="23">
        <v>0</v>
      </c>
      <c r="U402" s="23">
        <v>0</v>
      </c>
      <c r="V402" s="18" t="s">
        <v>44</v>
      </c>
      <c r="W402" s="18" t="s">
        <v>44</v>
      </c>
      <c r="X402" s="18" t="s">
        <v>44</v>
      </c>
      <c r="Y402" s="18" t="s">
        <v>44</v>
      </c>
      <c r="Z402" s="18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s="34">
        <v>0</v>
      </c>
      <c r="AH402">
        <v>11</v>
      </c>
      <c r="AI402">
        <v>13</v>
      </c>
      <c r="AJ402">
        <v>0</v>
      </c>
      <c r="AK402">
        <v>0</v>
      </c>
      <c r="AL402">
        <v>14</v>
      </c>
      <c r="AM402">
        <v>13</v>
      </c>
      <c r="AN402">
        <v>1</v>
      </c>
      <c r="AO402">
        <v>0.1</v>
      </c>
      <c r="AP402">
        <v>48</v>
      </c>
      <c r="AQ402" s="21">
        <f t="shared" si="56"/>
        <v>48</v>
      </c>
      <c r="AR402" s="12">
        <f t="shared" si="62"/>
        <v>100.1</v>
      </c>
      <c r="AS402">
        <v>0</v>
      </c>
      <c r="AT402">
        <v>57</v>
      </c>
      <c r="AU402">
        <v>0</v>
      </c>
      <c r="AV402">
        <v>0</v>
      </c>
      <c r="AW402">
        <v>0</v>
      </c>
      <c r="AX402">
        <v>10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 s="6">
        <f t="shared" si="63"/>
        <v>67</v>
      </c>
      <c r="BM402" s="6">
        <f t="shared" si="61"/>
        <v>67</v>
      </c>
      <c r="BN402">
        <v>13</v>
      </c>
      <c r="BO402">
        <f t="shared" si="57"/>
        <v>13</v>
      </c>
      <c r="BP402">
        <v>0</v>
      </c>
      <c r="BQ402">
        <f>SUM(BP402,BB402,BK402)</f>
        <v>0</v>
      </c>
      <c r="BR402">
        <f t="shared" si="58"/>
        <v>0</v>
      </c>
    </row>
    <row r="403" spans="1:70" hidden="1">
      <c r="A403" s="16" t="str">
        <f t="shared" si="60"/>
        <v>YB_2025_AZ_1_2</v>
      </c>
      <c r="B403" t="s">
        <v>49</v>
      </c>
      <c r="C403">
        <v>44.311399999999999</v>
      </c>
      <c r="D403">
        <v>-124.1086</v>
      </c>
      <c r="E403" s="8">
        <v>45821</v>
      </c>
      <c r="F403">
        <v>2025</v>
      </c>
      <c r="G403" t="s">
        <v>50</v>
      </c>
      <c r="H403" t="s">
        <v>42</v>
      </c>
      <c r="I403">
        <v>1</v>
      </c>
      <c r="J403">
        <v>2</v>
      </c>
      <c r="K403" t="s">
        <v>46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 t="s">
        <v>44</v>
      </c>
      <c r="R403" s="23" t="s">
        <v>44</v>
      </c>
      <c r="S403" s="23">
        <v>0</v>
      </c>
      <c r="T403" s="23">
        <v>0</v>
      </c>
      <c r="U403" s="23">
        <v>0</v>
      </c>
      <c r="V403" s="18" t="s">
        <v>44</v>
      </c>
      <c r="W403" s="18" t="s">
        <v>44</v>
      </c>
      <c r="X403" s="18" t="s">
        <v>44</v>
      </c>
      <c r="Y403" s="18" t="s">
        <v>44</v>
      </c>
      <c r="Z403" s="18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s="34">
        <v>0</v>
      </c>
      <c r="AH403">
        <v>12</v>
      </c>
      <c r="AI403">
        <v>67</v>
      </c>
      <c r="AJ403">
        <v>0</v>
      </c>
      <c r="AK403">
        <v>0</v>
      </c>
      <c r="AL403">
        <v>4</v>
      </c>
      <c r="AM403">
        <v>3</v>
      </c>
      <c r="AN403">
        <v>10</v>
      </c>
      <c r="AO403">
        <v>0.1</v>
      </c>
      <c r="AP403">
        <v>4</v>
      </c>
      <c r="AQ403" s="21">
        <f t="shared" si="56"/>
        <v>4</v>
      </c>
      <c r="AR403" s="12">
        <f t="shared" si="62"/>
        <v>100.1</v>
      </c>
      <c r="AS403">
        <v>0</v>
      </c>
      <c r="AT403">
        <v>52</v>
      </c>
      <c r="AU403">
        <v>0</v>
      </c>
      <c r="AV403">
        <v>0</v>
      </c>
      <c r="AW403">
        <v>0</v>
      </c>
      <c r="AX403">
        <v>11</v>
      </c>
      <c r="AY403">
        <v>0</v>
      </c>
      <c r="AZ403">
        <v>0</v>
      </c>
      <c r="BA403">
        <v>0</v>
      </c>
      <c r="BB403">
        <v>0</v>
      </c>
      <c r="BC403">
        <v>7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 s="6">
        <f t="shared" si="63"/>
        <v>70</v>
      </c>
      <c r="BM403" s="6">
        <f t="shared" si="61"/>
        <v>70</v>
      </c>
      <c r="BN403">
        <v>67</v>
      </c>
      <c r="BO403">
        <f t="shared" si="57"/>
        <v>67</v>
      </c>
      <c r="BP403">
        <v>0</v>
      </c>
      <c r="BQ403">
        <f>SUM(BP403,BB403,BK403)</f>
        <v>0</v>
      </c>
      <c r="BR403">
        <f t="shared" si="58"/>
        <v>0</v>
      </c>
    </row>
    <row r="404" spans="1:70" hidden="1">
      <c r="A404" s="16" t="str">
        <f t="shared" si="60"/>
        <v>YB_2025_AZ_1_3</v>
      </c>
      <c r="B404" t="s">
        <v>49</v>
      </c>
      <c r="C404">
        <v>44.311399999999999</v>
      </c>
      <c r="D404">
        <v>-124.1086</v>
      </c>
      <c r="E404" s="8">
        <v>45821</v>
      </c>
      <c r="F404">
        <v>2025</v>
      </c>
      <c r="G404" t="s">
        <v>50</v>
      </c>
      <c r="H404" t="s">
        <v>42</v>
      </c>
      <c r="I404">
        <v>1</v>
      </c>
      <c r="J404">
        <v>3</v>
      </c>
      <c r="K404" t="s">
        <v>46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 t="s">
        <v>44</v>
      </c>
      <c r="R404" s="23" t="s">
        <v>44</v>
      </c>
      <c r="S404" s="23">
        <v>0</v>
      </c>
      <c r="T404" s="23">
        <v>0</v>
      </c>
      <c r="U404" s="23">
        <v>0</v>
      </c>
      <c r="V404" s="18" t="s">
        <v>44</v>
      </c>
      <c r="W404" s="18" t="s">
        <v>44</v>
      </c>
      <c r="X404" s="18" t="s">
        <v>44</v>
      </c>
      <c r="Y404" s="18" t="s">
        <v>44</v>
      </c>
      <c r="Z404" s="18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s="34">
        <v>0</v>
      </c>
      <c r="AH404">
        <v>14</v>
      </c>
      <c r="AI404">
        <v>57</v>
      </c>
      <c r="AJ404">
        <v>0</v>
      </c>
      <c r="AK404">
        <v>0</v>
      </c>
      <c r="AL404">
        <v>12</v>
      </c>
      <c r="AM404">
        <v>4</v>
      </c>
      <c r="AN404">
        <v>8</v>
      </c>
      <c r="AO404">
        <v>0</v>
      </c>
      <c r="AP404">
        <v>5</v>
      </c>
      <c r="AQ404" s="21">
        <f t="shared" si="56"/>
        <v>5</v>
      </c>
      <c r="AR404" s="12">
        <f t="shared" si="62"/>
        <v>100</v>
      </c>
      <c r="AS404">
        <v>0</v>
      </c>
      <c r="AT404">
        <v>82</v>
      </c>
      <c r="AU404">
        <v>0</v>
      </c>
      <c r="AV404">
        <v>0</v>
      </c>
      <c r="AW404">
        <v>0</v>
      </c>
      <c r="AX404">
        <v>7</v>
      </c>
      <c r="AY404">
        <v>0</v>
      </c>
      <c r="AZ404">
        <v>2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 s="6">
        <f t="shared" si="63"/>
        <v>91</v>
      </c>
      <c r="BM404" s="6">
        <f t="shared" si="61"/>
        <v>91</v>
      </c>
      <c r="BN404">
        <v>57</v>
      </c>
      <c r="BO404">
        <f t="shared" si="57"/>
        <v>57</v>
      </c>
      <c r="BP404">
        <v>0</v>
      </c>
      <c r="BQ404">
        <f>SUM(BP404,BB404,BK404)</f>
        <v>0</v>
      </c>
      <c r="BR404">
        <f t="shared" si="58"/>
        <v>0</v>
      </c>
    </row>
    <row r="405" spans="1:70" hidden="1">
      <c r="A405" s="16" t="str">
        <f t="shared" si="60"/>
        <v>YB_2025_AZ_1_4</v>
      </c>
      <c r="B405" t="s">
        <v>49</v>
      </c>
      <c r="C405">
        <v>44.311399999999999</v>
      </c>
      <c r="D405">
        <v>-124.1086</v>
      </c>
      <c r="E405" s="8">
        <v>45821</v>
      </c>
      <c r="F405">
        <v>2025</v>
      </c>
      <c r="G405" t="s">
        <v>50</v>
      </c>
      <c r="H405" t="s">
        <v>42</v>
      </c>
      <c r="I405">
        <v>1</v>
      </c>
      <c r="J405">
        <v>4</v>
      </c>
      <c r="K405" t="s">
        <v>46</v>
      </c>
      <c r="L405" s="23">
        <v>0</v>
      </c>
      <c r="M405" s="23">
        <v>0</v>
      </c>
      <c r="N405" s="23">
        <v>0</v>
      </c>
      <c r="O405" s="23">
        <v>0</v>
      </c>
      <c r="P405" s="23">
        <v>0</v>
      </c>
      <c r="Q405" s="23" t="s">
        <v>44</v>
      </c>
      <c r="R405" s="23" t="s">
        <v>44</v>
      </c>
      <c r="S405" s="23">
        <v>0</v>
      </c>
      <c r="T405" s="23">
        <v>0</v>
      </c>
      <c r="U405" s="23">
        <v>0</v>
      </c>
      <c r="V405" s="18" t="s">
        <v>44</v>
      </c>
      <c r="W405" s="18" t="s">
        <v>44</v>
      </c>
      <c r="X405" s="18" t="s">
        <v>44</v>
      </c>
      <c r="Y405" s="18" t="s">
        <v>44</v>
      </c>
      <c r="Z405" s="18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s="34">
        <v>0</v>
      </c>
      <c r="AH405">
        <v>17</v>
      </c>
      <c r="AI405">
        <v>69</v>
      </c>
      <c r="AJ405">
        <v>0</v>
      </c>
      <c r="AK405">
        <v>0</v>
      </c>
      <c r="AL405">
        <v>10</v>
      </c>
      <c r="AM405">
        <v>1</v>
      </c>
      <c r="AN405">
        <v>2</v>
      </c>
      <c r="AO405">
        <v>0</v>
      </c>
      <c r="AP405">
        <v>1</v>
      </c>
      <c r="AQ405" s="21">
        <f t="shared" si="56"/>
        <v>1</v>
      </c>
      <c r="AR405" s="12">
        <f t="shared" si="62"/>
        <v>100</v>
      </c>
      <c r="AS405">
        <v>0</v>
      </c>
      <c r="AT405">
        <v>63</v>
      </c>
      <c r="AU405">
        <v>0</v>
      </c>
      <c r="AV405">
        <v>0</v>
      </c>
      <c r="AW405">
        <v>0</v>
      </c>
      <c r="AX405">
        <v>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 s="6">
        <f t="shared" si="63"/>
        <v>70</v>
      </c>
      <c r="BM405" s="6">
        <f t="shared" si="61"/>
        <v>70</v>
      </c>
      <c r="BN405">
        <v>69</v>
      </c>
      <c r="BO405">
        <f t="shared" si="57"/>
        <v>69</v>
      </c>
      <c r="BP405">
        <v>0</v>
      </c>
      <c r="BQ405">
        <f>SUM(BP405,BB405,BK405)</f>
        <v>0</v>
      </c>
      <c r="BR405">
        <f t="shared" si="58"/>
        <v>0</v>
      </c>
    </row>
    <row r="406" spans="1:70" hidden="1">
      <c r="A406" s="16" t="str">
        <f t="shared" si="60"/>
        <v>YB_2025_AZ_1_5</v>
      </c>
      <c r="B406" t="s">
        <v>49</v>
      </c>
      <c r="C406">
        <v>44.311399999999999</v>
      </c>
      <c r="D406">
        <v>-124.1086</v>
      </c>
      <c r="E406" s="8">
        <v>45821</v>
      </c>
      <c r="F406">
        <v>2025</v>
      </c>
      <c r="G406" t="s">
        <v>50</v>
      </c>
      <c r="H406" t="s">
        <v>42</v>
      </c>
      <c r="I406">
        <v>1</v>
      </c>
      <c r="J406">
        <v>5</v>
      </c>
      <c r="K406" t="s">
        <v>46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 t="s">
        <v>44</v>
      </c>
      <c r="R406" s="23" t="s">
        <v>44</v>
      </c>
      <c r="S406" s="23">
        <v>0</v>
      </c>
      <c r="T406" s="23">
        <v>0</v>
      </c>
      <c r="U406" s="23">
        <v>0</v>
      </c>
      <c r="V406" s="18" t="s">
        <v>44</v>
      </c>
      <c r="W406" s="18" t="s">
        <v>44</v>
      </c>
      <c r="X406" s="18" t="s">
        <v>44</v>
      </c>
      <c r="Y406" s="18" t="s">
        <v>44</v>
      </c>
      <c r="Z406" s="18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s="34">
        <v>0</v>
      </c>
      <c r="AH406">
        <v>39</v>
      </c>
      <c r="AI406">
        <v>28</v>
      </c>
      <c r="AJ406">
        <v>0</v>
      </c>
      <c r="AK406">
        <v>0</v>
      </c>
      <c r="AL406">
        <v>4</v>
      </c>
      <c r="AM406">
        <v>1</v>
      </c>
      <c r="AN406">
        <v>14</v>
      </c>
      <c r="AO406">
        <v>6</v>
      </c>
      <c r="AP406">
        <v>8</v>
      </c>
      <c r="AQ406" s="21">
        <f t="shared" si="56"/>
        <v>8</v>
      </c>
      <c r="AR406" s="12">
        <f t="shared" si="62"/>
        <v>100</v>
      </c>
      <c r="AS406">
        <v>2</v>
      </c>
      <c r="AT406">
        <v>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89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 s="6">
        <f t="shared" si="63"/>
        <v>98</v>
      </c>
      <c r="BM406" s="6">
        <f t="shared" si="61"/>
        <v>98</v>
      </c>
      <c r="BN406">
        <v>28</v>
      </c>
      <c r="BO406">
        <f t="shared" si="57"/>
        <v>28</v>
      </c>
      <c r="BP406">
        <v>0</v>
      </c>
      <c r="BQ406">
        <f>SUM(BP406,BB406,BK406)</f>
        <v>0</v>
      </c>
      <c r="BR406">
        <f t="shared" si="58"/>
        <v>0</v>
      </c>
    </row>
    <row r="407" spans="1:70" hidden="1">
      <c r="A407" s="16" t="str">
        <f t="shared" si="60"/>
        <v>YB_2025_AZ_2_1</v>
      </c>
      <c r="B407" t="s">
        <v>49</v>
      </c>
      <c r="C407">
        <v>44.311399999999999</v>
      </c>
      <c r="D407">
        <v>-124.1086</v>
      </c>
      <c r="E407" s="8">
        <v>45821</v>
      </c>
      <c r="F407">
        <v>2025</v>
      </c>
      <c r="G407" t="s">
        <v>50</v>
      </c>
      <c r="H407" t="s">
        <v>42</v>
      </c>
      <c r="I407">
        <v>2</v>
      </c>
      <c r="J407">
        <v>1</v>
      </c>
      <c r="K407" t="s">
        <v>46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 t="s">
        <v>44</v>
      </c>
      <c r="R407" s="23" t="s">
        <v>44</v>
      </c>
      <c r="S407" s="23">
        <v>0</v>
      </c>
      <c r="T407" s="23">
        <v>0</v>
      </c>
      <c r="U407" s="23">
        <v>0</v>
      </c>
      <c r="V407" s="18" t="s">
        <v>44</v>
      </c>
      <c r="W407" s="18" t="s">
        <v>44</v>
      </c>
      <c r="X407" s="18" t="s">
        <v>44</v>
      </c>
      <c r="Y407" s="18" t="s">
        <v>44</v>
      </c>
      <c r="Z407" s="18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s="34">
        <v>0</v>
      </c>
      <c r="AH407">
        <v>40</v>
      </c>
      <c r="AI407">
        <v>2</v>
      </c>
      <c r="AJ407">
        <v>0</v>
      </c>
      <c r="AK407">
        <v>0</v>
      </c>
      <c r="AL407">
        <v>35</v>
      </c>
      <c r="AM407">
        <v>6</v>
      </c>
      <c r="AN407">
        <v>1</v>
      </c>
      <c r="AO407">
        <v>4</v>
      </c>
      <c r="AP407">
        <v>12</v>
      </c>
      <c r="AQ407" s="21">
        <f t="shared" si="56"/>
        <v>12</v>
      </c>
      <c r="AR407" s="12">
        <f t="shared" si="62"/>
        <v>100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 s="6">
        <f t="shared" si="63"/>
        <v>92</v>
      </c>
      <c r="BM407" s="6">
        <f t="shared" si="61"/>
        <v>92</v>
      </c>
      <c r="BN407">
        <v>2</v>
      </c>
      <c r="BO407">
        <f t="shared" si="57"/>
        <v>2</v>
      </c>
      <c r="BP407">
        <v>0</v>
      </c>
      <c r="BQ407">
        <f>SUM(BP407,BB407,BK407)</f>
        <v>0</v>
      </c>
      <c r="BR407">
        <f t="shared" si="58"/>
        <v>0</v>
      </c>
    </row>
    <row r="408" spans="1:70" hidden="1">
      <c r="A408" s="16" t="str">
        <f t="shared" si="60"/>
        <v>YB_2025_AZ_2_2</v>
      </c>
      <c r="B408" t="s">
        <v>49</v>
      </c>
      <c r="C408">
        <v>44.311399999999999</v>
      </c>
      <c r="D408">
        <v>-124.1086</v>
      </c>
      <c r="E408" s="8">
        <v>45821</v>
      </c>
      <c r="F408">
        <v>2025</v>
      </c>
      <c r="G408" t="s">
        <v>50</v>
      </c>
      <c r="H408" t="s">
        <v>42</v>
      </c>
      <c r="I408">
        <v>2</v>
      </c>
      <c r="J408">
        <v>2</v>
      </c>
      <c r="K408" t="s">
        <v>46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 t="s">
        <v>44</v>
      </c>
      <c r="R408" s="23" t="s">
        <v>44</v>
      </c>
      <c r="S408" s="23">
        <v>0</v>
      </c>
      <c r="T408" s="23">
        <v>0</v>
      </c>
      <c r="U408" s="23">
        <v>0</v>
      </c>
      <c r="V408" s="18" t="s">
        <v>44</v>
      </c>
      <c r="W408" s="18" t="s">
        <v>44</v>
      </c>
      <c r="X408" s="18" t="s">
        <v>44</v>
      </c>
      <c r="Y408" s="18" t="s">
        <v>44</v>
      </c>
      <c r="Z408" s="1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s="34">
        <v>0</v>
      </c>
      <c r="AI408">
        <v>0.1</v>
      </c>
      <c r="AJ408">
        <v>0</v>
      </c>
      <c r="AK408">
        <v>0</v>
      </c>
      <c r="AL408">
        <v>26</v>
      </c>
      <c r="AM408">
        <v>11</v>
      </c>
      <c r="AN408">
        <v>8</v>
      </c>
      <c r="AO408">
        <v>0</v>
      </c>
      <c r="AP408">
        <v>55</v>
      </c>
      <c r="AQ408" s="21">
        <f t="shared" si="56"/>
        <v>55</v>
      </c>
      <c r="AR408" s="12">
        <f t="shared" si="62"/>
        <v>100.1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99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5</v>
      </c>
      <c r="BK408">
        <v>0</v>
      </c>
      <c r="BL408" s="6">
        <f t="shared" si="63"/>
        <v>104</v>
      </c>
      <c r="BM408" s="6">
        <f t="shared" si="61"/>
        <v>104</v>
      </c>
      <c r="BN408">
        <v>0.1</v>
      </c>
      <c r="BO408">
        <f t="shared" si="57"/>
        <v>0.1</v>
      </c>
      <c r="BP408">
        <v>0</v>
      </c>
      <c r="BQ408">
        <f>SUM(BP408,BB408,BK408)</f>
        <v>0</v>
      </c>
      <c r="BR408">
        <f t="shared" si="58"/>
        <v>0</v>
      </c>
    </row>
    <row r="409" spans="1:70" hidden="1">
      <c r="A409" s="16" t="str">
        <f t="shared" si="60"/>
        <v>YB_2025_AZ_2_3</v>
      </c>
      <c r="B409" t="s">
        <v>49</v>
      </c>
      <c r="C409">
        <v>44.311399999999999</v>
      </c>
      <c r="D409">
        <v>-124.1086</v>
      </c>
      <c r="E409" s="8">
        <v>45821</v>
      </c>
      <c r="F409">
        <v>2025</v>
      </c>
      <c r="G409" t="s">
        <v>50</v>
      </c>
      <c r="H409" t="s">
        <v>42</v>
      </c>
      <c r="I409">
        <v>2</v>
      </c>
      <c r="J409">
        <v>3</v>
      </c>
      <c r="K409" t="s">
        <v>46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 t="s">
        <v>44</v>
      </c>
      <c r="R409" s="23" t="s">
        <v>44</v>
      </c>
      <c r="S409" s="23">
        <v>0</v>
      </c>
      <c r="T409" s="23">
        <v>0</v>
      </c>
      <c r="U409" s="23">
        <v>0</v>
      </c>
      <c r="V409" s="18" t="s">
        <v>44</v>
      </c>
      <c r="W409" s="18" t="s">
        <v>44</v>
      </c>
      <c r="X409" s="18" t="s">
        <v>44</v>
      </c>
      <c r="Y409" s="18" t="s">
        <v>44</v>
      </c>
      <c r="Z409" s="18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s="34">
        <v>0</v>
      </c>
      <c r="AH409">
        <v>7</v>
      </c>
      <c r="AI409">
        <v>46</v>
      </c>
      <c r="AJ409">
        <v>0</v>
      </c>
      <c r="AK409">
        <v>0</v>
      </c>
      <c r="AL409">
        <v>0.1</v>
      </c>
      <c r="AM409">
        <v>1</v>
      </c>
      <c r="AN409">
        <v>4</v>
      </c>
      <c r="AO409">
        <v>0</v>
      </c>
      <c r="AP409">
        <v>42</v>
      </c>
      <c r="AQ409" s="21">
        <f t="shared" si="56"/>
        <v>42</v>
      </c>
      <c r="AR409" s="12">
        <f t="shared" si="62"/>
        <v>100.1</v>
      </c>
      <c r="AS409">
        <v>0</v>
      </c>
      <c r="AT409">
        <v>34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 s="6">
        <f t="shared" si="63"/>
        <v>34</v>
      </c>
      <c r="BM409" s="6">
        <f t="shared" si="61"/>
        <v>34</v>
      </c>
      <c r="BN409">
        <v>46</v>
      </c>
      <c r="BO409">
        <f t="shared" si="57"/>
        <v>46</v>
      </c>
      <c r="BP409">
        <v>0</v>
      </c>
      <c r="BQ409">
        <f>SUM(BP409,BB409,BK409)</f>
        <v>0</v>
      </c>
      <c r="BR409">
        <f t="shared" si="58"/>
        <v>0</v>
      </c>
    </row>
    <row r="410" spans="1:70" hidden="1">
      <c r="A410" s="16" t="str">
        <f t="shared" si="60"/>
        <v>YB_2025_AZ_2_4</v>
      </c>
      <c r="B410" t="s">
        <v>49</v>
      </c>
      <c r="C410">
        <v>44.311399999999999</v>
      </c>
      <c r="D410">
        <v>-124.1086</v>
      </c>
      <c r="E410" s="8">
        <v>45821</v>
      </c>
      <c r="F410">
        <v>2025</v>
      </c>
      <c r="G410" t="s">
        <v>50</v>
      </c>
      <c r="H410" t="s">
        <v>42</v>
      </c>
      <c r="I410">
        <v>2</v>
      </c>
      <c r="J410">
        <v>4</v>
      </c>
      <c r="K410" t="s">
        <v>46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 t="s">
        <v>44</v>
      </c>
      <c r="R410" s="23" t="s">
        <v>44</v>
      </c>
      <c r="S410" s="23">
        <v>0</v>
      </c>
      <c r="T410" s="23">
        <v>0</v>
      </c>
      <c r="U410" s="23">
        <v>0</v>
      </c>
      <c r="V410" s="18" t="s">
        <v>44</v>
      </c>
      <c r="W410" s="18" t="s">
        <v>44</v>
      </c>
      <c r="X410" s="18" t="s">
        <v>44</v>
      </c>
      <c r="Y410" s="18" t="s">
        <v>44</v>
      </c>
      <c r="Z410" s="18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s="34">
        <v>0</v>
      </c>
      <c r="AH410">
        <v>2</v>
      </c>
      <c r="AI410">
        <v>32</v>
      </c>
      <c r="AJ410">
        <v>0</v>
      </c>
      <c r="AK410">
        <v>15</v>
      </c>
      <c r="AL410">
        <v>2</v>
      </c>
      <c r="AM410">
        <v>5</v>
      </c>
      <c r="AN410">
        <v>7</v>
      </c>
      <c r="AO410">
        <v>9</v>
      </c>
      <c r="AP410">
        <v>28</v>
      </c>
      <c r="AQ410" s="21">
        <f t="shared" si="56"/>
        <v>28</v>
      </c>
      <c r="AR410" s="12">
        <f t="shared" si="62"/>
        <v>100</v>
      </c>
      <c r="AS410">
        <v>0</v>
      </c>
      <c r="AT410">
        <v>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13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 s="6">
        <f t="shared" si="63"/>
        <v>22</v>
      </c>
      <c r="BM410" s="6">
        <f t="shared" si="61"/>
        <v>22</v>
      </c>
      <c r="BN410">
        <v>32</v>
      </c>
      <c r="BO410">
        <f t="shared" si="57"/>
        <v>32</v>
      </c>
      <c r="BP410">
        <v>0</v>
      </c>
      <c r="BQ410">
        <f>SUM(BP410,BB410,BK410)</f>
        <v>0</v>
      </c>
      <c r="BR410">
        <f t="shared" si="58"/>
        <v>0</v>
      </c>
    </row>
    <row r="411" spans="1:70" hidden="1">
      <c r="A411" s="16" t="str">
        <f t="shared" si="60"/>
        <v>YB_2025_AZ_2_5</v>
      </c>
      <c r="B411" t="s">
        <v>49</v>
      </c>
      <c r="C411">
        <v>44.311399999999999</v>
      </c>
      <c r="D411">
        <v>-124.1086</v>
      </c>
      <c r="E411" s="8">
        <v>45821</v>
      </c>
      <c r="F411">
        <v>2025</v>
      </c>
      <c r="G411" t="s">
        <v>50</v>
      </c>
      <c r="H411" t="s">
        <v>42</v>
      </c>
      <c r="I411">
        <v>2</v>
      </c>
      <c r="J411">
        <v>5</v>
      </c>
      <c r="K411" t="s">
        <v>46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 t="s">
        <v>44</v>
      </c>
      <c r="R411" s="23" t="s">
        <v>44</v>
      </c>
      <c r="S411" s="23">
        <v>0</v>
      </c>
      <c r="T411" s="23">
        <v>0</v>
      </c>
      <c r="U411" s="23">
        <v>0</v>
      </c>
      <c r="V411" s="18" t="s">
        <v>44</v>
      </c>
      <c r="W411" s="18" t="s">
        <v>44</v>
      </c>
      <c r="X411" s="18" t="s">
        <v>44</v>
      </c>
      <c r="Y411" s="18" t="s">
        <v>44</v>
      </c>
      <c r="Z411" s="18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s="34">
        <v>0</v>
      </c>
      <c r="AH411">
        <v>67</v>
      </c>
      <c r="AI411">
        <v>5</v>
      </c>
      <c r="AJ411">
        <v>0</v>
      </c>
      <c r="AK411">
        <v>14</v>
      </c>
      <c r="AL411">
        <v>3</v>
      </c>
      <c r="AM411">
        <v>3</v>
      </c>
      <c r="AN411">
        <v>3</v>
      </c>
      <c r="AO411">
        <v>4</v>
      </c>
      <c r="AP411">
        <v>1</v>
      </c>
      <c r="AQ411" s="21">
        <f t="shared" si="56"/>
        <v>1</v>
      </c>
      <c r="AR411" s="12">
        <f t="shared" si="62"/>
        <v>100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95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 s="6">
        <f t="shared" si="63"/>
        <v>95</v>
      </c>
      <c r="BM411" s="6">
        <f t="shared" si="61"/>
        <v>95</v>
      </c>
      <c r="BN411">
        <v>5</v>
      </c>
      <c r="BO411">
        <f t="shared" si="57"/>
        <v>5</v>
      </c>
      <c r="BP411">
        <v>0</v>
      </c>
      <c r="BQ411">
        <f>SUM(BP411,BB411,BK411)</f>
        <v>0</v>
      </c>
      <c r="BR411">
        <f t="shared" si="58"/>
        <v>0</v>
      </c>
    </row>
    <row r="412" spans="1:70" hidden="1">
      <c r="A412" s="16" t="str">
        <f t="shared" si="60"/>
        <v>YB_2025_UPZ_1_1</v>
      </c>
      <c r="B412" t="s">
        <v>49</v>
      </c>
      <c r="C412">
        <v>44.311399999999999</v>
      </c>
      <c r="D412">
        <v>-124.1086</v>
      </c>
      <c r="E412" s="8">
        <v>45821</v>
      </c>
      <c r="F412">
        <v>2025</v>
      </c>
      <c r="G412" t="s">
        <v>50</v>
      </c>
      <c r="H412" t="s">
        <v>45</v>
      </c>
      <c r="I412">
        <v>1</v>
      </c>
      <c r="J412">
        <v>1</v>
      </c>
      <c r="K412" t="s">
        <v>46</v>
      </c>
      <c r="L412" s="23">
        <v>1</v>
      </c>
      <c r="M412" s="23">
        <v>0</v>
      </c>
      <c r="N412" s="23">
        <v>1</v>
      </c>
      <c r="O412" s="23">
        <v>0</v>
      </c>
      <c r="P412" s="23">
        <v>0</v>
      </c>
      <c r="Q412" s="23" t="s">
        <v>44</v>
      </c>
      <c r="R412" s="23" t="s">
        <v>44</v>
      </c>
      <c r="S412" s="23">
        <v>0</v>
      </c>
      <c r="T412" s="23">
        <v>0</v>
      </c>
      <c r="U412" s="23">
        <v>1</v>
      </c>
      <c r="X412" s="18" t="s">
        <v>44</v>
      </c>
      <c r="Y412" s="18" t="s">
        <v>44</v>
      </c>
      <c r="Z412" s="18" t="s">
        <v>44</v>
      </c>
      <c r="AH412">
        <v>0</v>
      </c>
      <c r="AI412">
        <v>39</v>
      </c>
      <c r="AJ412">
        <v>0</v>
      </c>
      <c r="AK412">
        <v>0</v>
      </c>
      <c r="AL412">
        <v>3</v>
      </c>
      <c r="AM412">
        <v>4</v>
      </c>
      <c r="AN412">
        <v>15</v>
      </c>
      <c r="AO412">
        <v>0.1</v>
      </c>
      <c r="AP412">
        <v>39</v>
      </c>
      <c r="AQ412" s="21">
        <f t="shared" ref="AQ412:AQ475" si="64">AP412-AG412</f>
        <v>39</v>
      </c>
      <c r="AR412" s="12">
        <f t="shared" si="62"/>
        <v>100.1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 s="6">
        <f t="shared" si="63"/>
        <v>0</v>
      </c>
      <c r="BM412" s="6">
        <f t="shared" si="61"/>
        <v>0</v>
      </c>
      <c r="BN412">
        <v>39</v>
      </c>
      <c r="BO412">
        <f t="shared" si="57"/>
        <v>39</v>
      </c>
      <c r="BP412">
        <v>0</v>
      </c>
      <c r="BQ412">
        <f>SUM(BP412,BB412,BK412)</f>
        <v>0</v>
      </c>
      <c r="BR412">
        <f t="shared" si="58"/>
        <v>0</v>
      </c>
    </row>
    <row r="413" spans="1:70" hidden="1">
      <c r="A413" s="16" t="str">
        <f t="shared" si="60"/>
        <v>YB_2025_UPZ_1_2</v>
      </c>
      <c r="B413" t="s">
        <v>49</v>
      </c>
      <c r="C413">
        <v>44.311399999999999</v>
      </c>
      <c r="D413">
        <v>-124.1086</v>
      </c>
      <c r="E413" s="8">
        <v>45821</v>
      </c>
      <c r="F413">
        <v>2025</v>
      </c>
      <c r="G413" t="s">
        <v>50</v>
      </c>
      <c r="H413" t="s">
        <v>45</v>
      </c>
      <c r="I413">
        <v>1</v>
      </c>
      <c r="J413">
        <v>2</v>
      </c>
      <c r="K413" t="s">
        <v>47</v>
      </c>
      <c r="L413" s="23">
        <v>2</v>
      </c>
      <c r="M413" s="23">
        <v>0</v>
      </c>
      <c r="N413" s="23">
        <v>2</v>
      </c>
      <c r="O413" s="23">
        <v>0</v>
      </c>
      <c r="P413" s="23">
        <v>0</v>
      </c>
      <c r="Q413" s="23" t="s">
        <v>44</v>
      </c>
      <c r="R413" s="23" t="s">
        <v>44</v>
      </c>
      <c r="S413" s="23">
        <v>0</v>
      </c>
      <c r="T413" s="23">
        <v>0</v>
      </c>
      <c r="U413" s="23">
        <v>2</v>
      </c>
      <c r="W413" s="18" t="s">
        <v>44</v>
      </c>
      <c r="X413" s="18" t="s">
        <v>44</v>
      </c>
      <c r="Y413" s="18" t="s">
        <v>44</v>
      </c>
      <c r="Z413" s="18" t="s">
        <v>44</v>
      </c>
      <c r="AH413">
        <v>0</v>
      </c>
      <c r="AI413">
        <v>1</v>
      </c>
      <c r="AJ413">
        <v>0</v>
      </c>
      <c r="AK413">
        <v>0</v>
      </c>
      <c r="AL413">
        <v>74</v>
      </c>
      <c r="AM413">
        <v>7</v>
      </c>
      <c r="AN413">
        <v>12</v>
      </c>
      <c r="AO413">
        <v>0</v>
      </c>
      <c r="AP413">
        <v>6</v>
      </c>
      <c r="AQ413" s="21">
        <f t="shared" si="64"/>
        <v>6</v>
      </c>
      <c r="AR413" s="12">
        <f t="shared" si="62"/>
        <v>100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3</v>
      </c>
      <c r="BK413">
        <v>0</v>
      </c>
      <c r="BL413" s="6">
        <f t="shared" si="63"/>
        <v>3</v>
      </c>
      <c r="BM413" s="6">
        <f t="shared" si="61"/>
        <v>3</v>
      </c>
      <c r="BN413">
        <v>1</v>
      </c>
      <c r="BO413">
        <f t="shared" si="57"/>
        <v>1</v>
      </c>
      <c r="BP413">
        <v>0</v>
      </c>
      <c r="BQ413">
        <f>SUM(BP413,BB413,BK413)</f>
        <v>0</v>
      </c>
      <c r="BR413">
        <f t="shared" si="58"/>
        <v>0</v>
      </c>
    </row>
    <row r="414" spans="1:70" hidden="1">
      <c r="A414" s="16" t="str">
        <f t="shared" si="60"/>
        <v>YB_2025_UPZ_1_3</v>
      </c>
      <c r="B414" t="s">
        <v>49</v>
      </c>
      <c r="C414">
        <v>44.311399999999999</v>
      </c>
      <c r="D414">
        <v>-124.1086</v>
      </c>
      <c r="E414" s="8">
        <v>45821</v>
      </c>
      <c r="F414">
        <v>2025</v>
      </c>
      <c r="G414" t="s">
        <v>50</v>
      </c>
      <c r="H414" t="s">
        <v>45</v>
      </c>
      <c r="I414">
        <v>1</v>
      </c>
      <c r="J414">
        <v>3</v>
      </c>
      <c r="K414" t="s">
        <v>43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 t="s">
        <v>44</v>
      </c>
      <c r="R414" s="23" t="s">
        <v>44</v>
      </c>
      <c r="S414" s="23">
        <v>0</v>
      </c>
      <c r="T414" s="23">
        <v>0</v>
      </c>
      <c r="U414" s="23">
        <v>0</v>
      </c>
      <c r="W414" s="18" t="s">
        <v>44</v>
      </c>
      <c r="X414" s="18" t="s">
        <v>44</v>
      </c>
      <c r="Y414" s="18" t="s">
        <v>44</v>
      </c>
      <c r="Z414" s="18" t="s">
        <v>44</v>
      </c>
      <c r="AG414" s="34">
        <v>0</v>
      </c>
      <c r="AH414">
        <v>3</v>
      </c>
      <c r="AI414">
        <v>6</v>
      </c>
      <c r="AJ414">
        <v>0</v>
      </c>
      <c r="AK414">
        <v>0</v>
      </c>
      <c r="AL414">
        <v>8</v>
      </c>
      <c r="AM414">
        <v>0</v>
      </c>
      <c r="AN414">
        <v>79</v>
      </c>
      <c r="AO414">
        <v>0.1</v>
      </c>
      <c r="AP414">
        <v>4</v>
      </c>
      <c r="AQ414" s="21">
        <f t="shared" si="64"/>
        <v>4</v>
      </c>
      <c r="AR414" s="12">
        <f t="shared" si="62"/>
        <v>100.1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 s="6">
        <f t="shared" si="63"/>
        <v>12</v>
      </c>
      <c r="BM414" s="6">
        <f t="shared" si="61"/>
        <v>12</v>
      </c>
      <c r="BN414">
        <v>6</v>
      </c>
      <c r="BO414">
        <f t="shared" si="57"/>
        <v>6</v>
      </c>
      <c r="BP414">
        <v>0</v>
      </c>
      <c r="BQ414">
        <f>SUM(BP414,BB414,BK414)</f>
        <v>0</v>
      </c>
      <c r="BR414">
        <f t="shared" si="58"/>
        <v>0</v>
      </c>
    </row>
    <row r="415" spans="1:70" hidden="1">
      <c r="A415" s="16" t="str">
        <f t="shared" si="60"/>
        <v>YB_2025_UPZ_1_4</v>
      </c>
      <c r="B415" t="s">
        <v>49</v>
      </c>
      <c r="C415">
        <v>44.311399999999999</v>
      </c>
      <c r="D415">
        <v>-124.1086</v>
      </c>
      <c r="E415" s="8">
        <v>45821</v>
      </c>
      <c r="F415">
        <v>2025</v>
      </c>
      <c r="G415" t="s">
        <v>50</v>
      </c>
      <c r="H415" t="s">
        <v>45</v>
      </c>
      <c r="I415">
        <v>1</v>
      </c>
      <c r="J415">
        <v>4</v>
      </c>
      <c r="K415" t="s">
        <v>43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 t="s">
        <v>44</v>
      </c>
      <c r="R415" s="23" t="s">
        <v>44</v>
      </c>
      <c r="S415" s="23">
        <v>0</v>
      </c>
      <c r="T415" s="23">
        <v>0</v>
      </c>
      <c r="U415" s="23">
        <v>0</v>
      </c>
      <c r="W415" s="18" t="s">
        <v>44</v>
      </c>
      <c r="X415" s="18" t="s">
        <v>44</v>
      </c>
      <c r="Y415" s="18" t="s">
        <v>44</v>
      </c>
      <c r="Z415" s="18" t="s">
        <v>44</v>
      </c>
      <c r="AG415" s="34">
        <v>0</v>
      </c>
      <c r="AH415">
        <v>0</v>
      </c>
      <c r="AI415">
        <v>57</v>
      </c>
      <c r="AJ415">
        <v>0</v>
      </c>
      <c r="AK415">
        <v>0</v>
      </c>
      <c r="AL415">
        <v>0.1</v>
      </c>
      <c r="AM415">
        <v>4</v>
      </c>
      <c r="AN415">
        <v>12</v>
      </c>
      <c r="AO415">
        <v>0</v>
      </c>
      <c r="AP415">
        <v>27</v>
      </c>
      <c r="AQ415" s="21">
        <f t="shared" si="64"/>
        <v>27</v>
      </c>
      <c r="AR415" s="12">
        <f t="shared" si="62"/>
        <v>100.1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 s="6">
        <f t="shared" si="63"/>
        <v>0</v>
      </c>
      <c r="BM415" s="6">
        <f t="shared" si="61"/>
        <v>0</v>
      </c>
      <c r="BN415">
        <v>57</v>
      </c>
      <c r="BO415">
        <f t="shared" si="57"/>
        <v>57</v>
      </c>
      <c r="BP415">
        <v>0</v>
      </c>
      <c r="BQ415">
        <f>SUM(BP415,BB415,BK415)</f>
        <v>0</v>
      </c>
      <c r="BR415">
        <f t="shared" si="58"/>
        <v>0</v>
      </c>
    </row>
    <row r="416" spans="1:70" hidden="1">
      <c r="A416" s="16" t="str">
        <f t="shared" si="60"/>
        <v>YB_2025_UPZ_1_5</v>
      </c>
      <c r="B416" t="s">
        <v>49</v>
      </c>
      <c r="C416">
        <v>44.311399999999999</v>
      </c>
      <c r="D416">
        <v>-124.1086</v>
      </c>
      <c r="E416" s="8">
        <v>45821</v>
      </c>
      <c r="F416">
        <v>2025</v>
      </c>
      <c r="G416" t="s">
        <v>50</v>
      </c>
      <c r="H416" t="s">
        <v>45</v>
      </c>
      <c r="I416">
        <v>1</v>
      </c>
      <c r="J416">
        <v>5</v>
      </c>
      <c r="K416" t="s">
        <v>47</v>
      </c>
      <c r="L416" s="23">
        <v>2</v>
      </c>
      <c r="M416" s="23">
        <v>0</v>
      </c>
      <c r="N416" s="23">
        <v>2</v>
      </c>
      <c r="O416" s="23">
        <v>0</v>
      </c>
      <c r="P416" s="23">
        <v>0</v>
      </c>
      <c r="Q416" s="23" t="s">
        <v>44</v>
      </c>
      <c r="R416" s="23" t="s">
        <v>44</v>
      </c>
      <c r="S416" s="23">
        <v>0</v>
      </c>
      <c r="T416" s="23">
        <v>0</v>
      </c>
      <c r="U416" s="23">
        <v>1</v>
      </c>
      <c r="X416" s="18" t="s">
        <v>44</v>
      </c>
      <c r="Y416" s="18" t="s">
        <v>44</v>
      </c>
      <c r="Z416" s="18" t="s">
        <v>44</v>
      </c>
      <c r="AH416">
        <v>2</v>
      </c>
      <c r="AI416">
        <v>77</v>
      </c>
      <c r="AJ416">
        <v>0</v>
      </c>
      <c r="AK416">
        <v>0</v>
      </c>
      <c r="AL416">
        <v>4</v>
      </c>
      <c r="AM416">
        <v>1</v>
      </c>
      <c r="AN416">
        <v>15</v>
      </c>
      <c r="AO416">
        <v>0</v>
      </c>
      <c r="AP416">
        <v>1</v>
      </c>
      <c r="AQ416" s="21">
        <f t="shared" si="64"/>
        <v>1</v>
      </c>
      <c r="AR416" s="12">
        <f t="shared" si="62"/>
        <v>100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 s="6">
        <f t="shared" si="63"/>
        <v>7</v>
      </c>
      <c r="BM416" s="6">
        <f t="shared" si="61"/>
        <v>7</v>
      </c>
      <c r="BN416">
        <v>77</v>
      </c>
      <c r="BO416">
        <f t="shared" ref="BO416:BO479" si="65">SUM(BN416,AU416,BG416,BH416,BI416)</f>
        <v>77</v>
      </c>
      <c r="BP416">
        <v>0</v>
      </c>
      <c r="BQ416">
        <f>SUM(BP416,BB416,BK416)</f>
        <v>0</v>
      </c>
      <c r="BR416">
        <f t="shared" si="58"/>
        <v>0</v>
      </c>
    </row>
    <row r="417" spans="1:70" hidden="1">
      <c r="A417" s="16" t="str">
        <f t="shared" si="60"/>
        <v>WC_2025_AZ_1_1</v>
      </c>
      <c r="B417" t="s">
        <v>65</v>
      </c>
      <c r="C417">
        <v>42.222900000000003</v>
      </c>
      <c r="D417">
        <v>-124.383</v>
      </c>
      <c r="E417" s="8">
        <v>45833</v>
      </c>
      <c r="F417">
        <v>2025</v>
      </c>
      <c r="G417" t="s">
        <v>66</v>
      </c>
      <c r="H417" t="s">
        <v>42</v>
      </c>
      <c r="I417">
        <v>1</v>
      </c>
      <c r="J417">
        <v>1</v>
      </c>
      <c r="K417" t="s">
        <v>47</v>
      </c>
      <c r="L417" s="23">
        <v>1</v>
      </c>
      <c r="M417" s="23">
        <v>1</v>
      </c>
      <c r="N417" s="23">
        <v>0</v>
      </c>
      <c r="O417" s="23">
        <v>0</v>
      </c>
      <c r="P417" s="23">
        <v>0</v>
      </c>
      <c r="Q417" s="23" t="s">
        <v>44</v>
      </c>
      <c r="R417" s="23">
        <v>0</v>
      </c>
      <c r="S417" s="23">
        <v>0</v>
      </c>
      <c r="T417" s="23">
        <v>0</v>
      </c>
      <c r="U417" s="23">
        <v>0</v>
      </c>
      <c r="V417" s="41" t="s">
        <v>44</v>
      </c>
      <c r="W417" s="41" t="s">
        <v>44</v>
      </c>
      <c r="X417" s="41" t="s">
        <v>44</v>
      </c>
      <c r="Y417" s="41" t="s">
        <v>44</v>
      </c>
      <c r="Z417" s="41" t="s">
        <v>44</v>
      </c>
      <c r="AA417" s="42" t="s">
        <v>44</v>
      </c>
      <c r="AB417" s="42" t="s">
        <v>44</v>
      </c>
      <c r="AC417" s="42" t="s">
        <v>44</v>
      </c>
      <c r="AD417" s="42" t="s">
        <v>44</v>
      </c>
      <c r="AE417" s="42" t="s">
        <v>44</v>
      </c>
      <c r="AF417" s="42" t="s">
        <v>44</v>
      </c>
      <c r="AG417" s="34">
        <v>1</v>
      </c>
      <c r="AH417">
        <v>0</v>
      </c>
      <c r="AI417">
        <v>93</v>
      </c>
      <c r="AJ417">
        <v>3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2</v>
      </c>
      <c r="AQ417" s="21">
        <f t="shared" si="64"/>
        <v>1</v>
      </c>
      <c r="AR417" s="12">
        <f t="shared" si="62"/>
        <v>100</v>
      </c>
      <c r="AS417">
        <v>0</v>
      </c>
      <c r="AT417">
        <v>0</v>
      </c>
      <c r="AU417">
        <v>32</v>
      </c>
      <c r="AV417">
        <v>0</v>
      </c>
      <c r="AW417">
        <v>0</v>
      </c>
      <c r="AX417">
        <v>25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 s="6">
        <f t="shared" si="63"/>
        <v>25</v>
      </c>
      <c r="BM417" s="6">
        <f t="shared" si="61"/>
        <v>57</v>
      </c>
    </row>
    <row r="418" spans="1:70" hidden="1">
      <c r="A418" s="16" t="str">
        <f t="shared" si="60"/>
        <v>WC_2025_AZ_1_2</v>
      </c>
      <c r="B418" t="s">
        <v>65</v>
      </c>
      <c r="C418">
        <v>42.222900000000003</v>
      </c>
      <c r="D418">
        <v>-124.383</v>
      </c>
      <c r="E418" s="8">
        <v>45833</v>
      </c>
      <c r="F418">
        <v>2025</v>
      </c>
      <c r="G418" t="s">
        <v>66</v>
      </c>
      <c r="H418" t="s">
        <v>42</v>
      </c>
      <c r="I418">
        <v>1</v>
      </c>
      <c r="J418">
        <v>2</v>
      </c>
      <c r="K418" t="s">
        <v>47</v>
      </c>
      <c r="L418" s="23">
        <v>1</v>
      </c>
      <c r="M418" s="23">
        <v>0</v>
      </c>
      <c r="N418" s="23">
        <v>1</v>
      </c>
      <c r="O418" s="23">
        <v>0</v>
      </c>
      <c r="P418" s="23">
        <v>0</v>
      </c>
      <c r="Q418" s="23" t="s">
        <v>44</v>
      </c>
      <c r="R418" s="23">
        <v>0</v>
      </c>
      <c r="S418" s="23">
        <v>0</v>
      </c>
      <c r="T418" s="23">
        <v>0</v>
      </c>
      <c r="U418" s="23">
        <v>0</v>
      </c>
      <c r="V418" s="41" t="s">
        <v>44</v>
      </c>
      <c r="W418" s="41" t="s">
        <v>44</v>
      </c>
      <c r="X418" s="41" t="s">
        <v>44</v>
      </c>
      <c r="Y418" s="41" t="s">
        <v>44</v>
      </c>
      <c r="Z418" s="41" t="s">
        <v>44</v>
      </c>
      <c r="AA418" s="42" t="s">
        <v>44</v>
      </c>
      <c r="AB418" s="42" t="s">
        <v>44</v>
      </c>
      <c r="AC418" s="42" t="s">
        <v>44</v>
      </c>
      <c r="AD418" s="42" t="s">
        <v>44</v>
      </c>
      <c r="AE418" s="42" t="s">
        <v>44</v>
      </c>
      <c r="AF418" s="42" t="s">
        <v>44</v>
      </c>
      <c r="AG418" s="34">
        <v>0</v>
      </c>
      <c r="AH418">
        <v>0</v>
      </c>
      <c r="AI418">
        <v>88</v>
      </c>
      <c r="AJ418">
        <v>3</v>
      </c>
      <c r="AK418">
        <v>0</v>
      </c>
      <c r="AL418">
        <v>0</v>
      </c>
      <c r="AM418">
        <v>5</v>
      </c>
      <c r="AN418">
        <v>0</v>
      </c>
      <c r="AO418">
        <v>2</v>
      </c>
      <c r="AP418">
        <v>2</v>
      </c>
      <c r="AQ418" s="21">
        <f t="shared" si="64"/>
        <v>2</v>
      </c>
      <c r="AR418" s="12">
        <f t="shared" si="62"/>
        <v>100</v>
      </c>
      <c r="AS418">
        <v>0</v>
      </c>
      <c r="AT418">
        <v>0</v>
      </c>
      <c r="AU418">
        <v>21</v>
      </c>
      <c r="AV418">
        <v>0</v>
      </c>
      <c r="AW418">
        <v>0</v>
      </c>
      <c r="AX418">
        <v>22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 s="6">
        <f t="shared" si="63"/>
        <v>22</v>
      </c>
      <c r="BM418" s="6">
        <f t="shared" si="61"/>
        <v>43</v>
      </c>
    </row>
    <row r="419" spans="1:70" hidden="1">
      <c r="A419" s="16" t="str">
        <f t="shared" si="60"/>
        <v>WC_2025_AZ_1_3</v>
      </c>
      <c r="B419" t="s">
        <v>65</v>
      </c>
      <c r="C419">
        <v>42.222900000000003</v>
      </c>
      <c r="D419">
        <v>-124.383</v>
      </c>
      <c r="E419" s="8">
        <v>45833</v>
      </c>
      <c r="F419">
        <v>2025</v>
      </c>
      <c r="G419" t="s">
        <v>66</v>
      </c>
      <c r="H419" t="s">
        <v>42</v>
      </c>
      <c r="I419">
        <v>1</v>
      </c>
      <c r="J419">
        <v>3</v>
      </c>
      <c r="K419" t="s">
        <v>47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 t="s">
        <v>44</v>
      </c>
      <c r="R419" s="23">
        <v>0</v>
      </c>
      <c r="S419" s="23">
        <v>0</v>
      </c>
      <c r="T419" s="23">
        <v>0</v>
      </c>
      <c r="U419" s="23">
        <v>0</v>
      </c>
      <c r="V419" s="41" t="s">
        <v>44</v>
      </c>
      <c r="W419" s="41" t="s">
        <v>44</v>
      </c>
      <c r="X419" s="41" t="s">
        <v>44</v>
      </c>
      <c r="Y419" s="41" t="s">
        <v>44</v>
      </c>
      <c r="Z419" s="41" t="s">
        <v>44</v>
      </c>
      <c r="AA419" s="42" t="s">
        <v>44</v>
      </c>
      <c r="AB419" s="42" t="s">
        <v>44</v>
      </c>
      <c r="AC419" s="42" t="s">
        <v>44</v>
      </c>
      <c r="AD419" s="42" t="s">
        <v>44</v>
      </c>
      <c r="AE419" s="42" t="s">
        <v>44</v>
      </c>
      <c r="AF419" s="42" t="s">
        <v>44</v>
      </c>
      <c r="AG419" s="34">
        <v>0</v>
      </c>
      <c r="AH419">
        <v>3</v>
      </c>
      <c r="AI419">
        <v>45</v>
      </c>
      <c r="AJ419">
        <v>21</v>
      </c>
      <c r="AK419">
        <v>0</v>
      </c>
      <c r="AL419">
        <v>0</v>
      </c>
      <c r="AM419">
        <v>11</v>
      </c>
      <c r="AN419">
        <v>7</v>
      </c>
      <c r="AO419">
        <v>0</v>
      </c>
      <c r="AP419">
        <v>13</v>
      </c>
      <c r="AQ419" s="21">
        <f t="shared" si="64"/>
        <v>13</v>
      </c>
      <c r="AR419" s="12">
        <f t="shared" si="62"/>
        <v>100</v>
      </c>
      <c r="AS419">
        <v>0</v>
      </c>
      <c r="AT419">
        <v>0</v>
      </c>
      <c r="AU419">
        <v>9</v>
      </c>
      <c r="AV419">
        <v>0</v>
      </c>
      <c r="AW419">
        <v>0</v>
      </c>
      <c r="AX419">
        <v>11</v>
      </c>
      <c r="AY419">
        <v>0</v>
      </c>
      <c r="AZ419">
        <v>0</v>
      </c>
      <c r="BA419">
        <v>0</v>
      </c>
      <c r="BB419">
        <v>21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 s="6">
        <f t="shared" si="63"/>
        <v>11</v>
      </c>
      <c r="BM419" s="6">
        <f t="shared" si="61"/>
        <v>41</v>
      </c>
    </row>
    <row r="420" spans="1:70" hidden="1">
      <c r="A420" s="16" t="str">
        <f t="shared" si="60"/>
        <v>WC_2025_AZ_1_4</v>
      </c>
      <c r="B420" t="s">
        <v>65</v>
      </c>
      <c r="C420">
        <v>42.222900000000003</v>
      </c>
      <c r="D420">
        <v>-124.383</v>
      </c>
      <c r="E420" s="8">
        <v>45833</v>
      </c>
      <c r="F420">
        <v>2025</v>
      </c>
      <c r="G420" t="s">
        <v>66</v>
      </c>
      <c r="H420" t="s">
        <v>42</v>
      </c>
      <c r="I420">
        <v>1</v>
      </c>
      <c r="J420">
        <v>4</v>
      </c>
      <c r="K420" t="s">
        <v>47</v>
      </c>
      <c r="L420" s="23">
        <v>9</v>
      </c>
      <c r="M420" s="23">
        <v>1</v>
      </c>
      <c r="N420" s="23">
        <v>8</v>
      </c>
      <c r="O420" s="23">
        <v>0</v>
      </c>
      <c r="P420" s="23">
        <v>0</v>
      </c>
      <c r="Q420" s="23" t="s">
        <v>44</v>
      </c>
      <c r="R420" s="23">
        <v>0</v>
      </c>
      <c r="S420" s="23">
        <v>0</v>
      </c>
      <c r="T420" s="23">
        <v>0</v>
      </c>
      <c r="U420" s="23">
        <v>0</v>
      </c>
      <c r="V420" s="41" t="s">
        <v>44</v>
      </c>
      <c r="W420" s="41" t="s">
        <v>44</v>
      </c>
      <c r="X420" s="41" t="s">
        <v>44</v>
      </c>
      <c r="Y420" s="41" t="s">
        <v>44</v>
      </c>
      <c r="Z420" s="41" t="s">
        <v>44</v>
      </c>
      <c r="AA420" s="42" t="s">
        <v>44</v>
      </c>
      <c r="AB420" s="42" t="s">
        <v>44</v>
      </c>
      <c r="AC420" s="42" t="s">
        <v>44</v>
      </c>
      <c r="AD420" s="42" t="s">
        <v>44</v>
      </c>
      <c r="AE420" s="42" t="s">
        <v>44</v>
      </c>
      <c r="AF420" s="42" t="s">
        <v>44</v>
      </c>
      <c r="AG420" s="34">
        <v>1</v>
      </c>
      <c r="AH420">
        <v>0</v>
      </c>
      <c r="AI420">
        <v>72</v>
      </c>
      <c r="AJ420">
        <v>21</v>
      </c>
      <c r="AK420">
        <v>0</v>
      </c>
      <c r="AL420">
        <v>2</v>
      </c>
      <c r="AM420">
        <v>2</v>
      </c>
      <c r="AN420">
        <v>2</v>
      </c>
      <c r="AO420">
        <v>0</v>
      </c>
      <c r="AP420">
        <v>1</v>
      </c>
      <c r="AQ420" s="21">
        <f t="shared" si="64"/>
        <v>0</v>
      </c>
      <c r="AR420" s="12">
        <f t="shared" si="62"/>
        <v>100</v>
      </c>
      <c r="AS420">
        <v>10</v>
      </c>
      <c r="AT420">
        <v>0</v>
      </c>
      <c r="AU420">
        <v>15</v>
      </c>
      <c r="AV420">
        <v>0</v>
      </c>
      <c r="AW420">
        <v>0</v>
      </c>
      <c r="AX420">
        <v>24</v>
      </c>
      <c r="AY420">
        <v>0</v>
      </c>
      <c r="AZ420">
        <v>0</v>
      </c>
      <c r="BA420">
        <v>0</v>
      </c>
      <c r="BB420">
        <v>12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s="6">
        <f t="shared" si="63"/>
        <v>34</v>
      </c>
      <c r="BM420" s="6">
        <f t="shared" si="61"/>
        <v>61</v>
      </c>
    </row>
    <row r="421" spans="1:70" hidden="1">
      <c r="A421" s="16" t="str">
        <f t="shared" si="60"/>
        <v>WC_2025_AZ_1_5</v>
      </c>
      <c r="B421" t="s">
        <v>65</v>
      </c>
      <c r="C421">
        <v>42.222900000000003</v>
      </c>
      <c r="D421">
        <v>-124.383</v>
      </c>
      <c r="E421" s="8">
        <v>45833</v>
      </c>
      <c r="F421">
        <v>2025</v>
      </c>
      <c r="G421" t="s">
        <v>66</v>
      </c>
      <c r="H421" t="s">
        <v>42</v>
      </c>
      <c r="I421">
        <v>1</v>
      </c>
      <c r="J421">
        <v>5</v>
      </c>
      <c r="K421" t="s">
        <v>46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 t="s">
        <v>44</v>
      </c>
      <c r="R421" s="23">
        <v>0</v>
      </c>
      <c r="S421" s="23">
        <v>0</v>
      </c>
      <c r="T421" s="23">
        <v>0</v>
      </c>
      <c r="U421" s="23">
        <v>0</v>
      </c>
      <c r="V421" s="41" t="s">
        <v>44</v>
      </c>
      <c r="W421" s="41" t="s">
        <v>44</v>
      </c>
      <c r="X421" s="41" t="s">
        <v>44</v>
      </c>
      <c r="Y421" s="41" t="s">
        <v>44</v>
      </c>
      <c r="Z421" s="41" t="s">
        <v>44</v>
      </c>
      <c r="AA421" s="42" t="s">
        <v>44</v>
      </c>
      <c r="AB421" s="42" t="s">
        <v>44</v>
      </c>
      <c r="AC421" s="42" t="s">
        <v>44</v>
      </c>
      <c r="AD421" s="42" t="s">
        <v>44</v>
      </c>
      <c r="AE421" s="42" t="s">
        <v>44</v>
      </c>
      <c r="AF421" s="42" t="s">
        <v>44</v>
      </c>
      <c r="AG421" s="34">
        <v>0</v>
      </c>
      <c r="AH421">
        <v>0</v>
      </c>
      <c r="AI421">
        <v>87</v>
      </c>
      <c r="AJ421">
        <v>10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1</v>
      </c>
      <c r="AQ421" s="21">
        <f t="shared" si="64"/>
        <v>1</v>
      </c>
      <c r="AR421" s="12">
        <f t="shared" si="62"/>
        <v>100</v>
      </c>
      <c r="AS421">
        <v>0</v>
      </c>
      <c r="AT421">
        <v>2</v>
      </c>
      <c r="AU421">
        <v>22</v>
      </c>
      <c r="AV421">
        <v>0</v>
      </c>
      <c r="AW421">
        <v>0</v>
      </c>
      <c r="AX421">
        <v>60</v>
      </c>
      <c r="AY421">
        <v>0</v>
      </c>
      <c r="AZ421">
        <v>0</v>
      </c>
      <c r="BA421">
        <v>0</v>
      </c>
      <c r="BB421">
        <v>7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 s="6">
        <f t="shared" si="63"/>
        <v>62</v>
      </c>
      <c r="BM421" s="6">
        <f t="shared" si="61"/>
        <v>91</v>
      </c>
    </row>
    <row r="422" spans="1:70" hidden="1">
      <c r="A422" s="16" t="str">
        <f t="shared" si="60"/>
        <v>WC_2025_AZ_2_1</v>
      </c>
      <c r="B422" t="s">
        <v>65</v>
      </c>
      <c r="C422">
        <v>42.222900000000003</v>
      </c>
      <c r="D422">
        <v>-124.383</v>
      </c>
      <c r="E422" s="8">
        <v>45833</v>
      </c>
      <c r="F422">
        <v>2025</v>
      </c>
      <c r="G422" t="s">
        <v>66</v>
      </c>
      <c r="H422" t="s">
        <v>42</v>
      </c>
      <c r="I422">
        <v>2</v>
      </c>
      <c r="J422">
        <v>1</v>
      </c>
      <c r="K422" t="s">
        <v>47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 t="s">
        <v>44</v>
      </c>
      <c r="R422" s="23">
        <v>0</v>
      </c>
      <c r="S422" s="23">
        <v>0</v>
      </c>
      <c r="T422" s="23">
        <v>0</v>
      </c>
      <c r="U422" s="23">
        <v>0</v>
      </c>
      <c r="V422" s="41" t="s">
        <v>44</v>
      </c>
      <c r="W422" s="41" t="s">
        <v>44</v>
      </c>
      <c r="X422" s="41" t="s">
        <v>44</v>
      </c>
      <c r="Y422" s="41" t="s">
        <v>44</v>
      </c>
      <c r="Z422" s="41" t="s">
        <v>44</v>
      </c>
      <c r="AA422" s="42" t="s">
        <v>44</v>
      </c>
      <c r="AB422" s="42" t="s">
        <v>44</v>
      </c>
      <c r="AC422" s="42" t="s">
        <v>44</v>
      </c>
      <c r="AD422" s="42" t="s">
        <v>44</v>
      </c>
      <c r="AE422" s="42" t="s">
        <v>44</v>
      </c>
      <c r="AF422" s="42" t="s">
        <v>44</v>
      </c>
      <c r="AG422" s="34">
        <v>0</v>
      </c>
      <c r="AH422">
        <v>6</v>
      </c>
      <c r="AI422">
        <v>42</v>
      </c>
      <c r="AJ422">
        <v>6</v>
      </c>
      <c r="AK422">
        <v>0</v>
      </c>
      <c r="AL422">
        <v>1</v>
      </c>
      <c r="AM422">
        <v>0</v>
      </c>
      <c r="AN422">
        <v>1</v>
      </c>
      <c r="AO422">
        <v>38</v>
      </c>
      <c r="AP422">
        <v>6</v>
      </c>
      <c r="AQ422" s="21">
        <f t="shared" si="64"/>
        <v>6</v>
      </c>
      <c r="AR422" s="12">
        <f t="shared" si="62"/>
        <v>100</v>
      </c>
      <c r="AS422">
        <v>0</v>
      </c>
      <c r="AT422">
        <v>30</v>
      </c>
      <c r="AU422">
        <v>0</v>
      </c>
      <c r="AV422">
        <v>0</v>
      </c>
      <c r="AW422">
        <v>36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 s="6">
        <f t="shared" si="63"/>
        <v>66</v>
      </c>
      <c r="BM422" s="6">
        <f t="shared" si="61"/>
        <v>66</v>
      </c>
      <c r="BN422">
        <v>42</v>
      </c>
      <c r="BO422">
        <f t="shared" si="65"/>
        <v>42</v>
      </c>
      <c r="BP422">
        <v>6</v>
      </c>
      <c r="BQ422">
        <f>SUM(BP422,BB422,BK422)</f>
        <v>6</v>
      </c>
      <c r="BR422">
        <f t="shared" si="58"/>
        <v>0</v>
      </c>
    </row>
    <row r="423" spans="1:70" hidden="1">
      <c r="A423" s="16" t="str">
        <f t="shared" si="60"/>
        <v>WC_2025_AZ_2_2</v>
      </c>
      <c r="B423" t="s">
        <v>65</v>
      </c>
      <c r="C423">
        <v>42.222900000000003</v>
      </c>
      <c r="D423">
        <v>-124.383</v>
      </c>
      <c r="E423" s="8">
        <v>45833</v>
      </c>
      <c r="F423">
        <v>2025</v>
      </c>
      <c r="G423" t="s">
        <v>66</v>
      </c>
      <c r="H423" t="s">
        <v>42</v>
      </c>
      <c r="I423">
        <v>2</v>
      </c>
      <c r="J423">
        <v>2</v>
      </c>
      <c r="K423" t="s">
        <v>47</v>
      </c>
      <c r="L423" s="23">
        <v>0</v>
      </c>
      <c r="M423" s="23">
        <v>0</v>
      </c>
      <c r="N423" s="23">
        <v>0</v>
      </c>
      <c r="O423" s="23">
        <v>0</v>
      </c>
      <c r="P423" s="23">
        <v>0</v>
      </c>
      <c r="Q423" s="23" t="s">
        <v>44</v>
      </c>
      <c r="R423" s="23">
        <v>0</v>
      </c>
      <c r="S423" s="23">
        <v>0</v>
      </c>
      <c r="T423" s="23">
        <v>0</v>
      </c>
      <c r="U423" s="23">
        <v>0</v>
      </c>
      <c r="V423" s="41" t="s">
        <v>44</v>
      </c>
      <c r="W423" s="41" t="s">
        <v>44</v>
      </c>
      <c r="X423" s="41" t="s">
        <v>44</v>
      </c>
      <c r="Y423" s="41" t="s">
        <v>44</v>
      </c>
      <c r="Z423" s="41" t="s">
        <v>44</v>
      </c>
      <c r="AA423" s="42" t="s">
        <v>44</v>
      </c>
      <c r="AB423" s="42" t="s">
        <v>44</v>
      </c>
      <c r="AC423" s="42" t="s">
        <v>44</v>
      </c>
      <c r="AD423" s="42" t="s">
        <v>44</v>
      </c>
      <c r="AE423" s="42" t="s">
        <v>44</v>
      </c>
      <c r="AF423" s="42" t="s">
        <v>44</v>
      </c>
      <c r="AG423" s="34">
        <v>0</v>
      </c>
      <c r="AH423">
        <v>10</v>
      </c>
      <c r="AI423">
        <v>41</v>
      </c>
      <c r="AJ423">
        <v>2</v>
      </c>
      <c r="AK423">
        <v>25</v>
      </c>
      <c r="AL423">
        <v>4</v>
      </c>
      <c r="AM423">
        <v>6</v>
      </c>
      <c r="AN423">
        <v>0</v>
      </c>
      <c r="AO423">
        <v>10</v>
      </c>
      <c r="AP423">
        <v>2</v>
      </c>
      <c r="AQ423" s="21">
        <f t="shared" si="64"/>
        <v>2</v>
      </c>
      <c r="AR423" s="12">
        <f t="shared" si="62"/>
        <v>100</v>
      </c>
      <c r="AS423">
        <v>85</v>
      </c>
      <c r="AT423">
        <v>0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 s="6">
        <f t="shared" si="63"/>
        <v>87</v>
      </c>
      <c r="BM423" s="6">
        <f t="shared" si="61"/>
        <v>87</v>
      </c>
      <c r="BN423">
        <v>41</v>
      </c>
      <c r="BO423">
        <f t="shared" si="65"/>
        <v>41</v>
      </c>
      <c r="BP423">
        <v>2</v>
      </c>
      <c r="BQ423">
        <f>SUM(BP423,BB423,BK423)</f>
        <v>2</v>
      </c>
      <c r="BR423">
        <f t="shared" si="58"/>
        <v>0</v>
      </c>
    </row>
    <row r="424" spans="1:70" hidden="1">
      <c r="A424" s="16" t="str">
        <f t="shared" si="60"/>
        <v>WC_2025_AZ_2_3</v>
      </c>
      <c r="B424" t="s">
        <v>65</v>
      </c>
      <c r="C424">
        <v>42.222900000000003</v>
      </c>
      <c r="D424">
        <v>-124.383</v>
      </c>
      <c r="E424" s="8">
        <v>45833</v>
      </c>
      <c r="F424">
        <v>2025</v>
      </c>
      <c r="G424" t="s">
        <v>66</v>
      </c>
      <c r="H424" t="s">
        <v>42</v>
      </c>
      <c r="I424">
        <v>2</v>
      </c>
      <c r="J424">
        <v>3</v>
      </c>
      <c r="K424" t="s">
        <v>47</v>
      </c>
      <c r="L424" s="23">
        <v>12</v>
      </c>
      <c r="M424" s="23">
        <v>0</v>
      </c>
      <c r="N424" s="23">
        <v>0</v>
      </c>
      <c r="O424" s="23">
        <v>12</v>
      </c>
      <c r="P424" s="23">
        <v>6</v>
      </c>
      <c r="Q424" s="23" t="s">
        <v>44</v>
      </c>
      <c r="R424" s="23">
        <v>0</v>
      </c>
      <c r="S424" s="23">
        <v>0</v>
      </c>
      <c r="T424" s="23">
        <v>0</v>
      </c>
      <c r="U424" s="23">
        <v>0</v>
      </c>
      <c r="V424" s="41" t="s">
        <v>44</v>
      </c>
      <c r="W424" s="41" t="s">
        <v>44</v>
      </c>
      <c r="X424" s="41" t="s">
        <v>44</v>
      </c>
      <c r="Y424" s="41" t="s">
        <v>44</v>
      </c>
      <c r="Z424" s="41" t="s">
        <v>44</v>
      </c>
      <c r="AA424" s="42" t="s">
        <v>44</v>
      </c>
      <c r="AB424" s="42" t="s">
        <v>44</v>
      </c>
      <c r="AC424" s="42" t="s">
        <v>44</v>
      </c>
      <c r="AD424" s="42" t="s">
        <v>44</v>
      </c>
      <c r="AE424" s="42" t="s">
        <v>44</v>
      </c>
      <c r="AF424" s="42" t="s">
        <v>44</v>
      </c>
      <c r="AG424" s="34">
        <v>20</v>
      </c>
      <c r="AH424">
        <v>1</v>
      </c>
      <c r="AI424">
        <v>20</v>
      </c>
      <c r="AJ424">
        <v>9</v>
      </c>
      <c r="AK424">
        <v>26</v>
      </c>
      <c r="AL424">
        <v>9</v>
      </c>
      <c r="AM424">
        <v>2</v>
      </c>
      <c r="AN424">
        <v>0</v>
      </c>
      <c r="AO424">
        <v>2</v>
      </c>
      <c r="AP424">
        <v>31</v>
      </c>
      <c r="AQ424" s="21">
        <f t="shared" si="64"/>
        <v>11</v>
      </c>
      <c r="AR424" s="12">
        <f t="shared" si="62"/>
        <v>100</v>
      </c>
      <c r="AS424">
        <v>0</v>
      </c>
      <c r="AT424">
        <v>0</v>
      </c>
      <c r="AU424">
        <v>0</v>
      </c>
      <c r="AV424">
        <v>0</v>
      </c>
      <c r="AW424">
        <v>8</v>
      </c>
      <c r="AX424">
        <v>0</v>
      </c>
      <c r="AY424">
        <v>0</v>
      </c>
      <c r="AZ424">
        <v>5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 s="6">
        <f t="shared" si="63"/>
        <v>13</v>
      </c>
      <c r="BM424" s="6">
        <f t="shared" si="61"/>
        <v>13</v>
      </c>
      <c r="BN424">
        <v>20</v>
      </c>
      <c r="BO424">
        <f t="shared" si="65"/>
        <v>20</v>
      </c>
      <c r="BP424">
        <v>9</v>
      </c>
      <c r="BQ424">
        <f>SUM(BP424,BB424,BK424)</f>
        <v>9</v>
      </c>
      <c r="BR424">
        <f t="shared" si="58"/>
        <v>0</v>
      </c>
    </row>
    <row r="425" spans="1:70" hidden="1">
      <c r="A425" s="16" t="str">
        <f t="shared" si="60"/>
        <v>WC_2025_AZ_2_4</v>
      </c>
      <c r="B425" t="s">
        <v>65</v>
      </c>
      <c r="C425">
        <v>42.222900000000003</v>
      </c>
      <c r="D425">
        <v>-124.383</v>
      </c>
      <c r="E425" s="8">
        <v>45833</v>
      </c>
      <c r="F425">
        <v>2025</v>
      </c>
      <c r="G425" t="s">
        <v>66</v>
      </c>
      <c r="H425" t="s">
        <v>42</v>
      </c>
      <c r="I425">
        <v>2</v>
      </c>
      <c r="J425">
        <v>4</v>
      </c>
      <c r="K425" t="s">
        <v>51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 t="s">
        <v>44</v>
      </c>
      <c r="R425" s="23">
        <v>0</v>
      </c>
      <c r="S425" s="23">
        <v>0</v>
      </c>
      <c r="T425" s="23">
        <v>0</v>
      </c>
      <c r="U425" s="23">
        <v>0</v>
      </c>
      <c r="V425" s="41" t="s">
        <v>44</v>
      </c>
      <c r="W425" s="41" t="s">
        <v>44</v>
      </c>
      <c r="X425" s="41" t="s">
        <v>44</v>
      </c>
      <c r="Y425" s="41" t="s">
        <v>44</v>
      </c>
      <c r="Z425" s="41" t="s">
        <v>44</v>
      </c>
      <c r="AA425" s="42" t="s">
        <v>44</v>
      </c>
      <c r="AB425" s="42" t="s">
        <v>44</v>
      </c>
      <c r="AC425" s="42" t="s">
        <v>44</v>
      </c>
      <c r="AD425" s="42" t="s">
        <v>44</v>
      </c>
      <c r="AE425" s="42" t="s">
        <v>44</v>
      </c>
      <c r="AF425" s="42" t="s">
        <v>44</v>
      </c>
      <c r="AG425" s="34">
        <v>0</v>
      </c>
      <c r="AH425">
        <v>2</v>
      </c>
      <c r="AI425">
        <v>80</v>
      </c>
      <c r="AJ425">
        <v>1</v>
      </c>
      <c r="AK425">
        <v>0</v>
      </c>
      <c r="AL425">
        <v>0</v>
      </c>
      <c r="AM425">
        <v>1</v>
      </c>
      <c r="AN425">
        <v>5</v>
      </c>
      <c r="AO425">
        <v>2</v>
      </c>
      <c r="AP425">
        <v>9</v>
      </c>
      <c r="AQ425" s="21">
        <f t="shared" si="64"/>
        <v>9</v>
      </c>
      <c r="AR425" s="12">
        <f t="shared" si="62"/>
        <v>100</v>
      </c>
      <c r="AS425">
        <v>0</v>
      </c>
      <c r="AT425">
        <v>8</v>
      </c>
      <c r="AU425">
        <v>0</v>
      </c>
      <c r="AV425">
        <v>0</v>
      </c>
      <c r="AW425">
        <v>0</v>
      </c>
      <c r="AX425">
        <v>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 s="6">
        <f t="shared" si="63"/>
        <v>18</v>
      </c>
      <c r="BM425" s="6">
        <f t="shared" si="61"/>
        <v>18</v>
      </c>
      <c r="BN425">
        <v>80</v>
      </c>
      <c r="BO425">
        <f t="shared" si="65"/>
        <v>80</v>
      </c>
      <c r="BP425">
        <v>1</v>
      </c>
      <c r="BQ425">
        <f>SUM(BP425,BB425,BK425)</f>
        <v>1</v>
      </c>
      <c r="BR425">
        <f t="shared" si="58"/>
        <v>0</v>
      </c>
    </row>
    <row r="426" spans="1:70" hidden="1">
      <c r="A426" s="16" t="str">
        <f t="shared" si="60"/>
        <v>WC_2025_AZ_2_5</v>
      </c>
      <c r="B426" t="s">
        <v>65</v>
      </c>
      <c r="C426">
        <v>42.222900000000003</v>
      </c>
      <c r="D426">
        <v>-124.383</v>
      </c>
      <c r="E426" s="8">
        <v>45833</v>
      </c>
      <c r="F426">
        <v>2025</v>
      </c>
      <c r="G426" t="s">
        <v>66</v>
      </c>
      <c r="H426" t="s">
        <v>42</v>
      </c>
      <c r="I426">
        <v>2</v>
      </c>
      <c r="J426">
        <v>5</v>
      </c>
      <c r="K426" t="s">
        <v>47</v>
      </c>
      <c r="L426" s="23">
        <v>1</v>
      </c>
      <c r="M426" s="23">
        <v>0</v>
      </c>
      <c r="N426" s="23">
        <v>0</v>
      </c>
      <c r="O426" s="23">
        <v>1</v>
      </c>
      <c r="P426" s="23">
        <v>0</v>
      </c>
      <c r="Q426" s="23" t="s">
        <v>44</v>
      </c>
      <c r="R426" s="23">
        <v>0</v>
      </c>
      <c r="S426" s="23">
        <v>0</v>
      </c>
      <c r="T426" s="23">
        <v>0</v>
      </c>
      <c r="U426" s="23">
        <v>0</v>
      </c>
      <c r="V426" s="41" t="s">
        <v>44</v>
      </c>
      <c r="W426" s="41" t="s">
        <v>44</v>
      </c>
      <c r="X426" s="41" t="s">
        <v>44</v>
      </c>
      <c r="Y426" s="41" t="s">
        <v>44</v>
      </c>
      <c r="Z426" s="41" t="s">
        <v>44</v>
      </c>
      <c r="AA426" s="42" t="s">
        <v>44</v>
      </c>
      <c r="AB426" s="42" t="s">
        <v>44</v>
      </c>
      <c r="AC426" s="42" t="s">
        <v>44</v>
      </c>
      <c r="AD426" s="42" t="s">
        <v>44</v>
      </c>
      <c r="AE426" s="42" t="s">
        <v>44</v>
      </c>
      <c r="AF426" s="42" t="s">
        <v>44</v>
      </c>
      <c r="AG426" s="34">
        <v>1</v>
      </c>
      <c r="AH426">
        <v>2</v>
      </c>
      <c r="AI426">
        <v>44</v>
      </c>
      <c r="AJ426">
        <v>14</v>
      </c>
      <c r="AK426">
        <v>10</v>
      </c>
      <c r="AL426">
        <v>6</v>
      </c>
      <c r="AM426">
        <v>4</v>
      </c>
      <c r="AN426">
        <v>0</v>
      </c>
      <c r="AO426">
        <v>5</v>
      </c>
      <c r="AP426">
        <v>15</v>
      </c>
      <c r="AQ426" s="21">
        <f t="shared" si="64"/>
        <v>14</v>
      </c>
      <c r="AR426" s="12">
        <f t="shared" si="62"/>
        <v>100</v>
      </c>
      <c r="AS426">
        <v>0</v>
      </c>
      <c r="AT426">
        <v>5</v>
      </c>
      <c r="AU426">
        <v>0</v>
      </c>
      <c r="AV426">
        <v>0</v>
      </c>
      <c r="AW426">
        <v>8</v>
      </c>
      <c r="AX426">
        <v>6</v>
      </c>
      <c r="AY426">
        <v>0</v>
      </c>
      <c r="AZ426">
        <v>10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 s="6">
        <f t="shared" si="63"/>
        <v>29</v>
      </c>
      <c r="BM426" s="6">
        <f t="shared" si="61"/>
        <v>29</v>
      </c>
      <c r="BN426">
        <v>44</v>
      </c>
      <c r="BO426">
        <f t="shared" si="65"/>
        <v>44</v>
      </c>
      <c r="BP426">
        <v>14</v>
      </c>
      <c r="BQ426">
        <f>SUM(BP426,BB426,BK426)</f>
        <v>14</v>
      </c>
      <c r="BR426">
        <f t="shared" si="58"/>
        <v>0</v>
      </c>
    </row>
    <row r="427" spans="1:70" s="13" customFormat="1" hidden="1">
      <c r="A427" s="16" t="str">
        <f t="shared" si="60"/>
        <v>WC_2025_UPZ_1_1</v>
      </c>
      <c r="B427" s="13" t="s">
        <v>65</v>
      </c>
      <c r="C427" s="13">
        <v>42.222900000000003</v>
      </c>
      <c r="D427" s="13">
        <v>-124.383</v>
      </c>
      <c r="E427" s="27">
        <v>45833</v>
      </c>
      <c r="F427" s="13">
        <v>2025</v>
      </c>
      <c r="G427" s="13" t="s">
        <v>66</v>
      </c>
      <c r="H427" s="13" t="s">
        <v>45</v>
      </c>
      <c r="I427" s="13">
        <v>1</v>
      </c>
      <c r="J427" s="13">
        <v>1</v>
      </c>
      <c r="K427" s="13" t="s">
        <v>46</v>
      </c>
      <c r="L427" s="23">
        <v>4</v>
      </c>
      <c r="M427" s="23">
        <v>0</v>
      </c>
      <c r="N427" s="23">
        <v>0</v>
      </c>
      <c r="O427" s="23">
        <v>4</v>
      </c>
      <c r="P427" s="23">
        <v>0</v>
      </c>
      <c r="Q427" s="23" t="s">
        <v>44</v>
      </c>
      <c r="R427" s="23">
        <v>0</v>
      </c>
      <c r="S427" s="23">
        <v>0</v>
      </c>
      <c r="T427" s="23">
        <v>2</v>
      </c>
      <c r="U427" s="23">
        <v>2</v>
      </c>
      <c r="V427" s="18"/>
      <c r="W427" s="18"/>
      <c r="X427" s="18"/>
      <c r="Y427" s="18"/>
      <c r="Z427" s="18"/>
      <c r="AG427" s="34">
        <v>6</v>
      </c>
      <c r="AH427" s="13">
        <v>13</v>
      </c>
      <c r="AI427" s="13">
        <v>46</v>
      </c>
      <c r="AJ427" s="13">
        <v>1</v>
      </c>
      <c r="AK427" s="13">
        <v>0</v>
      </c>
      <c r="AL427" s="13">
        <v>17</v>
      </c>
      <c r="AM427" s="13">
        <v>4</v>
      </c>
      <c r="AN427" s="13">
        <v>2</v>
      </c>
      <c r="AO427" s="13">
        <v>0</v>
      </c>
      <c r="AP427" s="13">
        <v>17</v>
      </c>
      <c r="AQ427" s="29">
        <f t="shared" si="64"/>
        <v>11</v>
      </c>
      <c r="AR427" s="30">
        <f t="shared" si="62"/>
        <v>100</v>
      </c>
      <c r="AS427" s="13">
        <v>0</v>
      </c>
      <c r="AT427" s="13">
        <v>16</v>
      </c>
      <c r="AU427" s="13">
        <v>0</v>
      </c>
      <c r="AV427" s="13">
        <v>1</v>
      </c>
      <c r="AW427" s="13">
        <v>14</v>
      </c>
      <c r="AX427" s="13">
        <v>16</v>
      </c>
      <c r="AY427" s="13">
        <v>7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65</v>
      </c>
      <c r="BF427" s="13">
        <v>0</v>
      </c>
      <c r="BG427" s="13">
        <v>0</v>
      </c>
      <c r="BH427" s="13">
        <v>0</v>
      </c>
      <c r="BI427" s="13">
        <v>16</v>
      </c>
      <c r="BJ427" s="13">
        <v>0</v>
      </c>
      <c r="BK427" s="13">
        <v>0</v>
      </c>
      <c r="BL427" s="6">
        <f t="shared" si="63"/>
        <v>119</v>
      </c>
      <c r="BM427" s="6">
        <f t="shared" si="61"/>
        <v>135</v>
      </c>
      <c r="BO427"/>
      <c r="BQ427"/>
      <c r="BR427"/>
    </row>
    <row r="428" spans="1:70" hidden="1">
      <c r="A428" s="16" t="str">
        <f t="shared" si="60"/>
        <v>WC_2025_UPZ_1_2</v>
      </c>
      <c r="B428" t="s">
        <v>65</v>
      </c>
      <c r="C428">
        <v>42.222900000000003</v>
      </c>
      <c r="D428">
        <v>-124.383</v>
      </c>
      <c r="E428" s="8">
        <v>45833</v>
      </c>
      <c r="F428">
        <v>2025</v>
      </c>
      <c r="G428" t="s">
        <v>66</v>
      </c>
      <c r="H428" t="s">
        <v>45</v>
      </c>
      <c r="I428">
        <v>1</v>
      </c>
      <c r="J428">
        <v>2</v>
      </c>
      <c r="K428" t="s">
        <v>51</v>
      </c>
      <c r="L428" s="23">
        <v>1</v>
      </c>
      <c r="M428" s="23">
        <v>1</v>
      </c>
      <c r="N428" s="23">
        <v>0</v>
      </c>
      <c r="O428" s="23">
        <v>0</v>
      </c>
      <c r="P428" s="23">
        <v>0</v>
      </c>
      <c r="Q428" s="23" t="s">
        <v>44</v>
      </c>
      <c r="R428" s="23">
        <v>0</v>
      </c>
      <c r="S428" s="23">
        <v>0</v>
      </c>
      <c r="T428" s="23">
        <v>8</v>
      </c>
      <c r="U428" s="23">
        <v>9</v>
      </c>
      <c r="AG428" s="34">
        <v>1</v>
      </c>
      <c r="AH428">
        <v>0</v>
      </c>
      <c r="AI428">
        <v>12</v>
      </c>
      <c r="AJ428">
        <v>0.1</v>
      </c>
      <c r="AK428">
        <v>0</v>
      </c>
      <c r="AL428">
        <v>9</v>
      </c>
      <c r="AM428">
        <v>0</v>
      </c>
      <c r="AN428">
        <v>0</v>
      </c>
      <c r="AO428">
        <v>0</v>
      </c>
      <c r="AP428">
        <v>79</v>
      </c>
      <c r="AQ428" s="21">
        <f t="shared" si="64"/>
        <v>78</v>
      </c>
      <c r="AR428" s="12">
        <f t="shared" si="62"/>
        <v>100.1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 s="6">
        <f t="shared" si="63"/>
        <v>0</v>
      </c>
      <c r="BM428" s="6">
        <f t="shared" si="61"/>
        <v>0</v>
      </c>
      <c r="BN428">
        <v>12</v>
      </c>
      <c r="BO428">
        <f t="shared" si="65"/>
        <v>12</v>
      </c>
      <c r="BP428">
        <v>0.1</v>
      </c>
      <c r="BQ428">
        <f>SUM(BP428,BB428,BK428)</f>
        <v>0.1</v>
      </c>
      <c r="BR428">
        <f t="shared" si="58"/>
        <v>0</v>
      </c>
    </row>
    <row r="429" spans="1:70" hidden="1">
      <c r="A429" s="16" t="str">
        <f t="shared" si="60"/>
        <v>WC_2025_UPZ_1_3</v>
      </c>
      <c r="B429" t="s">
        <v>65</v>
      </c>
      <c r="C429">
        <v>42.222900000000003</v>
      </c>
      <c r="D429">
        <v>-124.383</v>
      </c>
      <c r="E429" s="8">
        <v>45833</v>
      </c>
      <c r="F429">
        <v>2025</v>
      </c>
      <c r="G429" t="s">
        <v>66</v>
      </c>
      <c r="H429" t="s">
        <v>45</v>
      </c>
      <c r="I429">
        <v>1</v>
      </c>
      <c r="J429">
        <v>3</v>
      </c>
      <c r="K429" t="s">
        <v>47</v>
      </c>
      <c r="L429" s="23">
        <v>12</v>
      </c>
      <c r="M429" s="23">
        <v>11</v>
      </c>
      <c r="N429" s="23">
        <v>0</v>
      </c>
      <c r="O429" s="23">
        <v>1</v>
      </c>
      <c r="P429" s="23">
        <v>3</v>
      </c>
      <c r="Q429" s="23" t="s">
        <v>44</v>
      </c>
      <c r="R429" s="23">
        <v>0</v>
      </c>
      <c r="S429" s="23">
        <v>0</v>
      </c>
      <c r="T429" s="23">
        <v>6</v>
      </c>
      <c r="U429" s="23">
        <v>17</v>
      </c>
      <c r="AG429" s="34">
        <v>11</v>
      </c>
      <c r="AH429">
        <v>6</v>
      </c>
      <c r="AI429">
        <v>33</v>
      </c>
      <c r="AJ429">
        <v>4</v>
      </c>
      <c r="AK429">
        <v>0</v>
      </c>
      <c r="AL429">
        <v>8</v>
      </c>
      <c r="AM429">
        <v>3</v>
      </c>
      <c r="AN429">
        <v>2</v>
      </c>
      <c r="AO429">
        <v>0</v>
      </c>
      <c r="AP429">
        <v>44</v>
      </c>
      <c r="AQ429" s="21">
        <f t="shared" si="64"/>
        <v>33</v>
      </c>
      <c r="AR429" s="12">
        <f t="shared" si="62"/>
        <v>100</v>
      </c>
      <c r="AS429">
        <v>0</v>
      </c>
      <c r="AT429">
        <v>11</v>
      </c>
      <c r="AU429">
        <v>0</v>
      </c>
      <c r="AV429">
        <v>0</v>
      </c>
      <c r="AW429">
        <v>0</v>
      </c>
      <c r="AX429">
        <v>7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 s="6">
        <f t="shared" si="63"/>
        <v>18</v>
      </c>
      <c r="BM429" s="6">
        <f t="shared" si="61"/>
        <v>18</v>
      </c>
      <c r="BN429">
        <v>33</v>
      </c>
      <c r="BO429">
        <f t="shared" si="65"/>
        <v>33</v>
      </c>
      <c r="BP429">
        <v>4</v>
      </c>
      <c r="BQ429">
        <f>SUM(BP429,BB429,BK429)</f>
        <v>4</v>
      </c>
      <c r="BR429">
        <f t="shared" si="58"/>
        <v>0</v>
      </c>
    </row>
    <row r="430" spans="1:70" hidden="1">
      <c r="A430" s="16" t="str">
        <f t="shared" si="60"/>
        <v>WC_2025_UPZ_1_4</v>
      </c>
      <c r="B430" t="s">
        <v>65</v>
      </c>
      <c r="C430">
        <v>42.222900000000003</v>
      </c>
      <c r="D430">
        <v>-124.383</v>
      </c>
      <c r="E430" s="8">
        <v>45833</v>
      </c>
      <c r="F430">
        <v>2025</v>
      </c>
      <c r="G430" t="s">
        <v>66</v>
      </c>
      <c r="H430" t="s">
        <v>45</v>
      </c>
      <c r="I430">
        <v>1</v>
      </c>
      <c r="J430">
        <v>4</v>
      </c>
      <c r="K430" t="s">
        <v>47</v>
      </c>
      <c r="L430" s="23">
        <v>11</v>
      </c>
      <c r="M430" s="23">
        <v>10</v>
      </c>
      <c r="N430" s="23">
        <v>0</v>
      </c>
      <c r="O430" s="23">
        <v>1</v>
      </c>
      <c r="P430" s="23">
        <v>1</v>
      </c>
      <c r="Q430" s="23" t="s">
        <v>44</v>
      </c>
      <c r="R430" s="23">
        <v>0</v>
      </c>
      <c r="S430" s="23">
        <v>0</v>
      </c>
      <c r="T430" s="23">
        <v>5</v>
      </c>
      <c r="U430" s="23">
        <v>15</v>
      </c>
      <c r="AG430" s="34">
        <v>10</v>
      </c>
      <c r="AH430">
        <v>4</v>
      </c>
      <c r="AI430">
        <v>63</v>
      </c>
      <c r="AJ430">
        <v>0.1</v>
      </c>
      <c r="AK430">
        <v>0</v>
      </c>
      <c r="AL430">
        <v>9</v>
      </c>
      <c r="AM430">
        <v>0</v>
      </c>
      <c r="AN430">
        <v>1</v>
      </c>
      <c r="AO430">
        <v>0</v>
      </c>
      <c r="AP430">
        <v>23</v>
      </c>
      <c r="AQ430" s="21">
        <f t="shared" si="64"/>
        <v>13</v>
      </c>
      <c r="AR430" s="12">
        <f t="shared" si="62"/>
        <v>100.1</v>
      </c>
      <c r="AS430">
        <v>0</v>
      </c>
      <c r="AT430">
        <v>8</v>
      </c>
      <c r="AU430">
        <v>0</v>
      </c>
      <c r="AV430">
        <v>0</v>
      </c>
      <c r="AW430">
        <v>0</v>
      </c>
      <c r="AX430">
        <v>27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 s="6">
        <f t="shared" si="63"/>
        <v>35</v>
      </c>
      <c r="BM430" s="6">
        <f t="shared" si="61"/>
        <v>35</v>
      </c>
      <c r="BN430">
        <v>63</v>
      </c>
      <c r="BO430">
        <f t="shared" si="65"/>
        <v>63</v>
      </c>
      <c r="BP430">
        <v>0.1</v>
      </c>
      <c r="BQ430">
        <f>SUM(BP430,BB430,BK430)</f>
        <v>0.1</v>
      </c>
      <c r="BR430">
        <f t="shared" si="58"/>
        <v>0</v>
      </c>
    </row>
    <row r="431" spans="1:70" hidden="1">
      <c r="A431" s="16" t="str">
        <f t="shared" si="60"/>
        <v>WC_2025_UPZ_1_5</v>
      </c>
      <c r="B431" t="s">
        <v>65</v>
      </c>
      <c r="C431">
        <v>42.222900000000003</v>
      </c>
      <c r="D431">
        <v>-124.383</v>
      </c>
      <c r="E431" s="8">
        <v>45833</v>
      </c>
      <c r="F431">
        <v>2025</v>
      </c>
      <c r="G431" t="s">
        <v>66</v>
      </c>
      <c r="H431" t="s">
        <v>45</v>
      </c>
      <c r="I431">
        <v>1</v>
      </c>
      <c r="J431">
        <v>5</v>
      </c>
      <c r="K431" t="s">
        <v>46</v>
      </c>
      <c r="L431" s="23">
        <v>7</v>
      </c>
      <c r="M431" s="23">
        <v>6</v>
      </c>
      <c r="N431" s="23">
        <v>0</v>
      </c>
      <c r="O431" s="23">
        <v>1</v>
      </c>
      <c r="P431" s="23">
        <v>0</v>
      </c>
      <c r="Q431" s="23" t="s">
        <v>44</v>
      </c>
      <c r="R431" s="23">
        <v>0</v>
      </c>
      <c r="S431" s="23">
        <v>0</v>
      </c>
      <c r="T431" s="23">
        <v>7</v>
      </c>
      <c r="U431" s="23">
        <v>13</v>
      </c>
      <c r="AG431" s="34">
        <v>7</v>
      </c>
      <c r="AH431">
        <v>9</v>
      </c>
      <c r="AI431">
        <v>8</v>
      </c>
      <c r="AJ431">
        <v>0</v>
      </c>
      <c r="AK431">
        <v>0</v>
      </c>
      <c r="AL431">
        <v>15</v>
      </c>
      <c r="AM431">
        <v>2</v>
      </c>
      <c r="AN431">
        <v>1</v>
      </c>
      <c r="AO431">
        <v>0</v>
      </c>
      <c r="AP431">
        <v>65</v>
      </c>
      <c r="AQ431" s="21">
        <f t="shared" si="64"/>
        <v>58</v>
      </c>
      <c r="AR431" s="12">
        <f t="shared" si="62"/>
        <v>100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5</v>
      </c>
      <c r="AY431">
        <v>35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 s="6">
        <f t="shared" si="63"/>
        <v>40</v>
      </c>
      <c r="BM431" s="6">
        <f t="shared" si="61"/>
        <v>40</v>
      </c>
      <c r="BN431">
        <v>8</v>
      </c>
      <c r="BO431">
        <f t="shared" si="65"/>
        <v>8</v>
      </c>
      <c r="BP431">
        <v>0</v>
      </c>
      <c r="BQ431">
        <f>SUM(BP431,BB431,BK431)</f>
        <v>0</v>
      </c>
      <c r="BR431">
        <f t="shared" si="58"/>
        <v>0</v>
      </c>
    </row>
    <row r="432" spans="1:70" hidden="1">
      <c r="A432" s="16" t="str">
        <f t="shared" si="60"/>
        <v>WC_2025_UPZ_2_1</v>
      </c>
      <c r="B432" t="s">
        <v>65</v>
      </c>
      <c r="C432">
        <v>42.222900000000003</v>
      </c>
      <c r="D432">
        <v>-124.383</v>
      </c>
      <c r="E432" s="8">
        <v>45833</v>
      </c>
      <c r="F432">
        <v>2025</v>
      </c>
      <c r="G432" t="s">
        <v>66</v>
      </c>
      <c r="H432" t="s">
        <v>45</v>
      </c>
      <c r="I432">
        <v>2</v>
      </c>
      <c r="J432">
        <v>1</v>
      </c>
      <c r="K432" t="s">
        <v>47</v>
      </c>
      <c r="L432" s="23">
        <v>25</v>
      </c>
      <c r="M432" s="23">
        <v>1</v>
      </c>
      <c r="N432" s="23">
        <v>5</v>
      </c>
      <c r="O432" s="23">
        <v>19</v>
      </c>
      <c r="P432" s="23">
        <v>0</v>
      </c>
      <c r="Q432" s="23" t="s">
        <v>44</v>
      </c>
      <c r="R432" s="23">
        <v>0</v>
      </c>
      <c r="S432" s="23">
        <v>0</v>
      </c>
      <c r="T432" s="23">
        <v>0</v>
      </c>
      <c r="U432" s="23">
        <v>5</v>
      </c>
      <c r="AG432" s="34">
        <v>24</v>
      </c>
      <c r="AH432">
        <v>0</v>
      </c>
      <c r="AI432">
        <v>1</v>
      </c>
      <c r="AJ432">
        <v>0.1</v>
      </c>
      <c r="AK432">
        <v>0</v>
      </c>
      <c r="AL432">
        <v>24</v>
      </c>
      <c r="AM432">
        <v>12</v>
      </c>
      <c r="AN432">
        <v>1</v>
      </c>
      <c r="AO432">
        <v>0.1</v>
      </c>
      <c r="AP432">
        <v>62</v>
      </c>
      <c r="AQ432" s="21">
        <f t="shared" si="64"/>
        <v>38</v>
      </c>
      <c r="AR432" s="12">
        <f t="shared" si="62"/>
        <v>100.2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 s="6">
        <f t="shared" si="63"/>
        <v>0</v>
      </c>
      <c r="BM432" s="6">
        <f t="shared" si="61"/>
        <v>0</v>
      </c>
      <c r="BN432">
        <v>1</v>
      </c>
      <c r="BO432">
        <f t="shared" si="65"/>
        <v>1</v>
      </c>
      <c r="BP432">
        <v>0.1</v>
      </c>
      <c r="BQ432">
        <f>SUM(BP432,BB432,BK432)</f>
        <v>0.1</v>
      </c>
      <c r="BR432">
        <f t="shared" si="58"/>
        <v>0</v>
      </c>
    </row>
    <row r="433" spans="1:70" hidden="1">
      <c r="A433" s="16" t="str">
        <f t="shared" si="60"/>
        <v>WC_2025_UPZ_2_2</v>
      </c>
      <c r="B433" t="s">
        <v>65</v>
      </c>
      <c r="C433">
        <v>42.222900000000003</v>
      </c>
      <c r="D433">
        <v>-124.383</v>
      </c>
      <c r="E433" s="8">
        <v>45833</v>
      </c>
      <c r="F433">
        <v>2025</v>
      </c>
      <c r="G433" t="s">
        <v>66</v>
      </c>
      <c r="H433" t="s">
        <v>45</v>
      </c>
      <c r="I433">
        <v>2</v>
      </c>
      <c r="J433">
        <v>2</v>
      </c>
      <c r="K433" t="s">
        <v>46</v>
      </c>
      <c r="L433" s="23">
        <v>19</v>
      </c>
      <c r="M433" s="23">
        <v>3</v>
      </c>
      <c r="N433" s="23">
        <v>3</v>
      </c>
      <c r="O433" s="23">
        <v>13</v>
      </c>
      <c r="P433" s="23">
        <v>4</v>
      </c>
      <c r="Q433" s="23" t="s">
        <v>44</v>
      </c>
      <c r="R433" s="23">
        <v>0</v>
      </c>
      <c r="S433" s="23">
        <v>0</v>
      </c>
      <c r="T433" s="23">
        <v>4</v>
      </c>
      <c r="U433" s="23">
        <v>7</v>
      </c>
      <c r="AG433" s="34">
        <v>35</v>
      </c>
      <c r="AH433">
        <v>9</v>
      </c>
      <c r="AI433">
        <v>22</v>
      </c>
      <c r="AJ433">
        <v>5</v>
      </c>
      <c r="AK433">
        <v>0</v>
      </c>
      <c r="AL433">
        <v>3</v>
      </c>
      <c r="AM433">
        <v>4</v>
      </c>
      <c r="AN433">
        <v>7</v>
      </c>
      <c r="AO433">
        <v>9</v>
      </c>
      <c r="AP433">
        <v>41</v>
      </c>
      <c r="AQ433" s="21">
        <f t="shared" si="64"/>
        <v>6</v>
      </c>
      <c r="AR433" s="12">
        <f t="shared" si="62"/>
        <v>100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5</v>
      </c>
      <c r="AY433">
        <v>25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 s="6">
        <f t="shared" si="63"/>
        <v>30</v>
      </c>
      <c r="BM433" s="6">
        <f t="shared" si="61"/>
        <v>30</v>
      </c>
      <c r="BN433">
        <v>22</v>
      </c>
      <c r="BO433">
        <f t="shared" si="65"/>
        <v>22</v>
      </c>
      <c r="BP433">
        <v>5</v>
      </c>
      <c r="BQ433">
        <f>SUM(BP433,BB433,BK433)</f>
        <v>5</v>
      </c>
      <c r="BR433">
        <f t="shared" si="58"/>
        <v>0</v>
      </c>
    </row>
    <row r="434" spans="1:70" hidden="1">
      <c r="A434" s="16" t="str">
        <f t="shared" si="60"/>
        <v>WC_2025_UPZ_2_3</v>
      </c>
      <c r="B434" t="s">
        <v>65</v>
      </c>
      <c r="C434">
        <v>42.222900000000003</v>
      </c>
      <c r="D434">
        <v>-124.383</v>
      </c>
      <c r="E434" s="8">
        <v>45833</v>
      </c>
      <c r="F434">
        <v>2025</v>
      </c>
      <c r="G434" t="s">
        <v>66</v>
      </c>
      <c r="H434" t="s">
        <v>45</v>
      </c>
      <c r="I434">
        <v>2</v>
      </c>
      <c r="J434">
        <v>3</v>
      </c>
      <c r="K434" t="s">
        <v>46</v>
      </c>
      <c r="L434" s="23">
        <v>2</v>
      </c>
      <c r="M434" s="23">
        <v>1</v>
      </c>
      <c r="N434" s="23">
        <v>1</v>
      </c>
      <c r="O434" s="23">
        <v>0</v>
      </c>
      <c r="P434" s="23">
        <v>1</v>
      </c>
      <c r="Q434" s="23" t="s">
        <v>44</v>
      </c>
      <c r="R434" s="23">
        <v>0</v>
      </c>
      <c r="S434" s="23">
        <v>0</v>
      </c>
      <c r="T434" s="23">
        <v>4</v>
      </c>
      <c r="U434" s="23">
        <v>5</v>
      </c>
      <c r="AG434" s="34">
        <v>3</v>
      </c>
      <c r="AH434">
        <v>4</v>
      </c>
      <c r="AI434">
        <v>69</v>
      </c>
      <c r="AJ434">
        <v>5</v>
      </c>
      <c r="AK434">
        <v>0</v>
      </c>
      <c r="AL434">
        <v>3</v>
      </c>
      <c r="AM434">
        <v>1</v>
      </c>
      <c r="AN434">
        <v>2</v>
      </c>
      <c r="AO434">
        <v>0</v>
      </c>
      <c r="AP434">
        <v>16</v>
      </c>
      <c r="AQ434" s="21">
        <f t="shared" si="64"/>
        <v>13</v>
      </c>
      <c r="AR434" s="12">
        <f t="shared" si="62"/>
        <v>100</v>
      </c>
      <c r="AS434">
        <v>0</v>
      </c>
      <c r="AT434">
        <v>24</v>
      </c>
      <c r="AU434">
        <v>0</v>
      </c>
      <c r="AV434">
        <v>0</v>
      </c>
      <c r="AW434">
        <v>0</v>
      </c>
      <c r="AX434">
        <v>9</v>
      </c>
      <c r="AY434">
        <v>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 s="6">
        <f t="shared" si="63"/>
        <v>36</v>
      </c>
      <c r="BM434" s="6">
        <f t="shared" si="61"/>
        <v>36</v>
      </c>
      <c r="BN434">
        <v>69</v>
      </c>
      <c r="BO434">
        <f t="shared" si="65"/>
        <v>69</v>
      </c>
      <c r="BP434">
        <v>5</v>
      </c>
      <c r="BQ434">
        <f>SUM(BP434,BB434,BK434)</f>
        <v>5</v>
      </c>
      <c r="BR434">
        <f t="shared" si="58"/>
        <v>0</v>
      </c>
    </row>
    <row r="435" spans="1:70" hidden="1">
      <c r="A435" s="16" t="str">
        <f t="shared" si="60"/>
        <v>WC_2025_UPZ_2_4</v>
      </c>
      <c r="B435" t="s">
        <v>65</v>
      </c>
      <c r="C435">
        <v>42.222900000000003</v>
      </c>
      <c r="D435">
        <v>-124.383</v>
      </c>
      <c r="E435" s="8">
        <v>45833</v>
      </c>
      <c r="F435">
        <v>2025</v>
      </c>
      <c r="G435" t="s">
        <v>66</v>
      </c>
      <c r="H435" t="s">
        <v>45</v>
      </c>
      <c r="I435">
        <v>2</v>
      </c>
      <c r="J435">
        <v>4</v>
      </c>
      <c r="K435" t="s">
        <v>47</v>
      </c>
      <c r="L435" s="23">
        <v>1</v>
      </c>
      <c r="M435" s="23">
        <v>0</v>
      </c>
      <c r="N435" s="23">
        <v>0</v>
      </c>
      <c r="O435" s="23">
        <v>1</v>
      </c>
      <c r="P435" s="23">
        <v>0</v>
      </c>
      <c r="Q435" s="23" t="s">
        <v>44</v>
      </c>
      <c r="R435" s="23">
        <v>0</v>
      </c>
      <c r="S435" s="23">
        <v>0</v>
      </c>
      <c r="T435" s="23">
        <v>12</v>
      </c>
      <c r="U435" s="23">
        <v>12</v>
      </c>
      <c r="AG435" s="34">
        <v>1</v>
      </c>
      <c r="AH435">
        <v>0</v>
      </c>
      <c r="AI435">
        <v>2</v>
      </c>
      <c r="AJ435">
        <v>1</v>
      </c>
      <c r="AK435">
        <v>0</v>
      </c>
      <c r="AL435">
        <v>12</v>
      </c>
      <c r="AM435">
        <v>26</v>
      </c>
      <c r="AN435">
        <v>0.1</v>
      </c>
      <c r="AO435">
        <v>0</v>
      </c>
      <c r="AP435">
        <v>59</v>
      </c>
      <c r="AQ435" s="21">
        <f t="shared" si="64"/>
        <v>58</v>
      </c>
      <c r="AR435" s="12">
        <f t="shared" si="62"/>
        <v>100.1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 s="6">
        <f t="shared" si="63"/>
        <v>0</v>
      </c>
      <c r="BM435" s="6">
        <f t="shared" si="61"/>
        <v>0</v>
      </c>
      <c r="BN435">
        <v>2</v>
      </c>
      <c r="BO435">
        <f t="shared" si="65"/>
        <v>2</v>
      </c>
      <c r="BP435">
        <v>1</v>
      </c>
      <c r="BQ435">
        <f>SUM(BP435,BB435,BK435)</f>
        <v>1</v>
      </c>
      <c r="BR435">
        <f t="shared" si="58"/>
        <v>0</v>
      </c>
    </row>
    <row r="436" spans="1:70" hidden="1">
      <c r="A436" s="16" t="str">
        <f t="shared" si="60"/>
        <v>WC_2025_UPZ_2_5</v>
      </c>
      <c r="B436" t="s">
        <v>65</v>
      </c>
      <c r="C436">
        <v>42.222900000000003</v>
      </c>
      <c r="D436">
        <v>-124.383</v>
      </c>
      <c r="E436" s="8">
        <v>45833</v>
      </c>
      <c r="F436">
        <v>2025</v>
      </c>
      <c r="G436" t="s">
        <v>66</v>
      </c>
      <c r="H436" t="s">
        <v>45</v>
      </c>
      <c r="I436">
        <v>2</v>
      </c>
      <c r="J436">
        <v>5</v>
      </c>
      <c r="K436" t="s">
        <v>46</v>
      </c>
      <c r="L436" s="23">
        <v>9</v>
      </c>
      <c r="M436" s="23">
        <v>6</v>
      </c>
      <c r="N436" s="23">
        <v>3</v>
      </c>
      <c r="O436" s="23">
        <v>0</v>
      </c>
      <c r="P436" s="23">
        <v>2</v>
      </c>
      <c r="Q436" s="23" t="s">
        <v>44</v>
      </c>
      <c r="R436" s="23">
        <v>0</v>
      </c>
      <c r="S436" s="23">
        <v>0</v>
      </c>
      <c r="T436" s="23">
        <v>7</v>
      </c>
      <c r="U436" s="23">
        <v>13</v>
      </c>
      <c r="AG436" s="34">
        <v>9</v>
      </c>
      <c r="AH436">
        <v>10</v>
      </c>
      <c r="AI436">
        <v>26</v>
      </c>
      <c r="AJ436">
        <v>3</v>
      </c>
      <c r="AK436">
        <v>0</v>
      </c>
      <c r="AL436">
        <v>10</v>
      </c>
      <c r="AM436">
        <v>8</v>
      </c>
      <c r="AN436">
        <v>5</v>
      </c>
      <c r="AO436">
        <v>4</v>
      </c>
      <c r="AP436">
        <v>34</v>
      </c>
      <c r="AQ436" s="21">
        <f t="shared" si="64"/>
        <v>25</v>
      </c>
      <c r="AR436" s="12">
        <f t="shared" si="62"/>
        <v>100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</v>
      </c>
      <c r="AY436">
        <v>50</v>
      </c>
      <c r="AZ436">
        <v>15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7</v>
      </c>
      <c r="BG436">
        <v>0</v>
      </c>
      <c r="BH436">
        <v>0</v>
      </c>
      <c r="BI436">
        <v>0</v>
      </c>
      <c r="BJ436">
        <v>0</v>
      </c>
      <c r="BK436">
        <v>0</v>
      </c>
      <c r="BL436" s="6">
        <f t="shared" si="63"/>
        <v>75</v>
      </c>
      <c r="BM436" s="6">
        <f t="shared" si="61"/>
        <v>75</v>
      </c>
      <c r="BN436">
        <v>26</v>
      </c>
      <c r="BO436">
        <f t="shared" si="65"/>
        <v>26</v>
      </c>
      <c r="BP436">
        <v>3</v>
      </c>
      <c r="BQ436">
        <f>SUM(BP436,BB436,BK436)</f>
        <v>3</v>
      </c>
      <c r="BR436">
        <f t="shared" si="58"/>
        <v>0</v>
      </c>
    </row>
    <row r="437" spans="1:70" hidden="1">
      <c r="A437" s="16" t="str">
        <f t="shared" si="60"/>
        <v>WC_2025_NPZ_1_1</v>
      </c>
      <c r="B437" t="s">
        <v>65</v>
      </c>
      <c r="C437">
        <v>42.222900000000003</v>
      </c>
      <c r="D437">
        <v>-124.383</v>
      </c>
      <c r="E437" s="8">
        <v>45833</v>
      </c>
      <c r="F437">
        <v>2025</v>
      </c>
      <c r="G437" t="s">
        <v>66</v>
      </c>
      <c r="H437" t="s">
        <v>48</v>
      </c>
      <c r="I437">
        <v>1</v>
      </c>
      <c r="J437">
        <v>1</v>
      </c>
      <c r="K437" t="s">
        <v>46</v>
      </c>
      <c r="L437" s="23">
        <v>39</v>
      </c>
      <c r="M437" s="23">
        <v>3</v>
      </c>
      <c r="N437" s="23">
        <v>12</v>
      </c>
      <c r="O437" s="23">
        <v>24</v>
      </c>
      <c r="P437" s="23">
        <v>32</v>
      </c>
      <c r="Q437" s="23" t="s">
        <v>44</v>
      </c>
      <c r="R437" s="23">
        <v>15</v>
      </c>
      <c r="S437" s="23">
        <v>0</v>
      </c>
      <c r="T437" s="23">
        <v>0</v>
      </c>
      <c r="U437" s="23">
        <v>3</v>
      </c>
      <c r="AG437" s="34">
        <v>37</v>
      </c>
      <c r="AH437">
        <v>0</v>
      </c>
      <c r="AI437">
        <v>1</v>
      </c>
      <c r="AJ437">
        <v>1</v>
      </c>
      <c r="AK437">
        <v>0</v>
      </c>
      <c r="AL437">
        <v>44</v>
      </c>
      <c r="AM437">
        <v>14</v>
      </c>
      <c r="AN437">
        <v>1</v>
      </c>
      <c r="AO437">
        <v>0</v>
      </c>
      <c r="AP437">
        <v>39</v>
      </c>
      <c r="AQ437" s="21">
        <f t="shared" si="64"/>
        <v>2</v>
      </c>
      <c r="AR437" s="12">
        <f t="shared" si="62"/>
        <v>100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 s="6">
        <f t="shared" si="63"/>
        <v>1</v>
      </c>
      <c r="BM437" s="6">
        <f t="shared" si="61"/>
        <v>1</v>
      </c>
      <c r="BN437">
        <v>1</v>
      </c>
      <c r="BO437">
        <f t="shared" si="65"/>
        <v>1</v>
      </c>
      <c r="BP437">
        <v>1</v>
      </c>
      <c r="BQ437">
        <f>SUM(BP437,BB437,BK437)</f>
        <v>1</v>
      </c>
      <c r="BR437">
        <f t="shared" si="58"/>
        <v>0</v>
      </c>
    </row>
    <row r="438" spans="1:70" hidden="1">
      <c r="A438" s="16" t="str">
        <f t="shared" si="60"/>
        <v>WC_2025_NPZ_1_2</v>
      </c>
      <c r="B438" t="s">
        <v>65</v>
      </c>
      <c r="C438">
        <v>42.222900000000003</v>
      </c>
      <c r="D438">
        <v>-124.383</v>
      </c>
      <c r="E438" s="8">
        <v>45833</v>
      </c>
      <c r="F438">
        <v>2025</v>
      </c>
      <c r="G438" t="s">
        <v>66</v>
      </c>
      <c r="H438" t="s">
        <v>48</v>
      </c>
      <c r="I438">
        <v>1</v>
      </c>
      <c r="J438">
        <v>2</v>
      </c>
      <c r="K438" t="s">
        <v>43</v>
      </c>
      <c r="L438" s="23">
        <v>1</v>
      </c>
      <c r="M438" s="23">
        <v>0</v>
      </c>
      <c r="N438" s="23">
        <v>1</v>
      </c>
      <c r="O438" s="23">
        <v>0</v>
      </c>
      <c r="P438" s="23">
        <v>4</v>
      </c>
      <c r="Q438" s="23" t="s">
        <v>44</v>
      </c>
      <c r="R438" s="23">
        <v>0</v>
      </c>
      <c r="S438" s="23">
        <v>0</v>
      </c>
      <c r="T438" s="23">
        <v>0</v>
      </c>
      <c r="U438" s="23">
        <v>0</v>
      </c>
      <c r="AG438" s="34">
        <v>1</v>
      </c>
      <c r="AH438">
        <v>0</v>
      </c>
      <c r="AI438">
        <v>0</v>
      </c>
      <c r="AJ438">
        <v>2</v>
      </c>
      <c r="AK438">
        <v>5</v>
      </c>
      <c r="AL438">
        <v>3</v>
      </c>
      <c r="AM438">
        <v>8</v>
      </c>
      <c r="AN438">
        <v>0.1</v>
      </c>
      <c r="AO438">
        <v>0</v>
      </c>
      <c r="AP438">
        <v>82</v>
      </c>
      <c r="AQ438" s="21">
        <f t="shared" si="64"/>
        <v>81</v>
      </c>
      <c r="AR438" s="12">
        <f t="shared" si="62"/>
        <v>100.1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 s="6">
        <f t="shared" si="63"/>
        <v>0</v>
      </c>
      <c r="BM438" s="6">
        <f t="shared" si="61"/>
        <v>0</v>
      </c>
      <c r="BN438">
        <v>0</v>
      </c>
      <c r="BO438">
        <f t="shared" si="65"/>
        <v>0</v>
      </c>
      <c r="BP438">
        <v>2</v>
      </c>
      <c r="BQ438">
        <f>SUM(BP438,BB438,BK438)</f>
        <v>2</v>
      </c>
      <c r="BR438">
        <f t="shared" si="58"/>
        <v>0</v>
      </c>
    </row>
    <row r="439" spans="1:70" hidden="1">
      <c r="A439" s="16" t="str">
        <f t="shared" si="60"/>
        <v>WC_2025_NPZ_1_3</v>
      </c>
      <c r="B439" t="s">
        <v>65</v>
      </c>
      <c r="C439">
        <v>42.222900000000003</v>
      </c>
      <c r="D439">
        <v>-124.383</v>
      </c>
      <c r="E439" s="8">
        <v>45833</v>
      </c>
      <c r="F439">
        <v>2025</v>
      </c>
      <c r="G439" t="s">
        <v>66</v>
      </c>
      <c r="H439" t="s">
        <v>48</v>
      </c>
      <c r="I439">
        <v>1</v>
      </c>
      <c r="J439">
        <v>3</v>
      </c>
      <c r="K439" t="s">
        <v>46</v>
      </c>
      <c r="L439" s="23">
        <v>29</v>
      </c>
      <c r="M439" s="23">
        <v>0</v>
      </c>
      <c r="N439" s="23">
        <v>1</v>
      </c>
      <c r="O439" s="23">
        <v>28</v>
      </c>
      <c r="P439" s="23">
        <v>2</v>
      </c>
      <c r="Q439" s="23" t="s">
        <v>44</v>
      </c>
      <c r="R439" s="23">
        <v>0</v>
      </c>
      <c r="S439" s="23">
        <v>0</v>
      </c>
      <c r="T439" s="23">
        <v>0</v>
      </c>
      <c r="U439" s="23">
        <v>0</v>
      </c>
      <c r="AG439" s="34">
        <v>38</v>
      </c>
      <c r="AH439">
        <v>0</v>
      </c>
      <c r="AI439">
        <v>0</v>
      </c>
      <c r="AJ439">
        <v>0</v>
      </c>
      <c r="AK439">
        <v>0</v>
      </c>
      <c r="AL439">
        <v>7</v>
      </c>
      <c r="AM439">
        <v>2</v>
      </c>
      <c r="AN439">
        <v>1</v>
      </c>
      <c r="AO439">
        <v>11</v>
      </c>
      <c r="AP439">
        <v>79</v>
      </c>
      <c r="AQ439" s="21">
        <f t="shared" si="64"/>
        <v>41</v>
      </c>
      <c r="AR439" s="12">
        <f t="shared" si="62"/>
        <v>100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 s="6">
        <f t="shared" si="63"/>
        <v>0</v>
      </c>
      <c r="BM439" s="6">
        <f t="shared" si="61"/>
        <v>0</v>
      </c>
      <c r="BN439">
        <v>0</v>
      </c>
      <c r="BO439">
        <f t="shared" si="65"/>
        <v>0</v>
      </c>
      <c r="BP439">
        <v>0</v>
      </c>
      <c r="BQ439">
        <f>SUM(BP439,BB439,BK439)</f>
        <v>0</v>
      </c>
      <c r="BR439">
        <f t="shared" si="58"/>
        <v>0</v>
      </c>
    </row>
    <row r="440" spans="1:70" hidden="1">
      <c r="A440" s="16" t="str">
        <f t="shared" si="60"/>
        <v>WC_2025_NPZ_1_4</v>
      </c>
      <c r="B440" t="s">
        <v>65</v>
      </c>
      <c r="C440">
        <v>42.222900000000003</v>
      </c>
      <c r="D440">
        <v>-124.383</v>
      </c>
      <c r="E440" s="8">
        <v>45833</v>
      </c>
      <c r="F440">
        <v>2025</v>
      </c>
      <c r="G440" t="s">
        <v>66</v>
      </c>
      <c r="H440" t="s">
        <v>48</v>
      </c>
      <c r="I440">
        <v>1</v>
      </c>
      <c r="J440">
        <v>4</v>
      </c>
      <c r="K440" t="s">
        <v>46</v>
      </c>
      <c r="L440" s="23">
        <v>20</v>
      </c>
      <c r="M440" s="23">
        <v>0</v>
      </c>
      <c r="N440" s="23">
        <v>1</v>
      </c>
      <c r="O440" s="23">
        <v>19</v>
      </c>
      <c r="P440" s="23">
        <v>2</v>
      </c>
      <c r="Q440" s="23" t="s">
        <v>44</v>
      </c>
      <c r="R440" s="23">
        <v>0</v>
      </c>
      <c r="S440" s="23">
        <v>0</v>
      </c>
      <c r="T440" s="23">
        <v>0</v>
      </c>
      <c r="U440" s="23">
        <v>0</v>
      </c>
      <c r="AG440" s="34">
        <v>26</v>
      </c>
      <c r="AH440">
        <v>0</v>
      </c>
      <c r="AI440">
        <v>0</v>
      </c>
      <c r="AJ440">
        <v>1</v>
      </c>
      <c r="AK440">
        <v>0</v>
      </c>
      <c r="AL440">
        <v>11</v>
      </c>
      <c r="AM440">
        <v>6</v>
      </c>
      <c r="AN440">
        <v>1</v>
      </c>
      <c r="AO440">
        <v>2</v>
      </c>
      <c r="AP440">
        <v>79</v>
      </c>
      <c r="AQ440" s="21">
        <f t="shared" si="64"/>
        <v>53</v>
      </c>
      <c r="AR440" s="12">
        <f t="shared" si="62"/>
        <v>100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 s="6">
        <f t="shared" si="63"/>
        <v>0</v>
      </c>
      <c r="BM440" s="6">
        <f t="shared" si="61"/>
        <v>0</v>
      </c>
      <c r="BN440">
        <v>0</v>
      </c>
      <c r="BO440">
        <f t="shared" si="65"/>
        <v>0</v>
      </c>
      <c r="BP440">
        <v>1</v>
      </c>
      <c r="BQ440">
        <f>SUM(BP440,BB440,BK440)</f>
        <v>1</v>
      </c>
      <c r="BR440">
        <f t="shared" si="58"/>
        <v>0</v>
      </c>
    </row>
    <row r="441" spans="1:70" hidden="1">
      <c r="A441" s="16" t="str">
        <f t="shared" si="60"/>
        <v>WC_2025_NPZ_1_5</v>
      </c>
      <c r="B441" t="s">
        <v>65</v>
      </c>
      <c r="C441">
        <v>42.222900000000003</v>
      </c>
      <c r="D441">
        <v>-124.383</v>
      </c>
      <c r="E441" s="8">
        <v>45833</v>
      </c>
      <c r="F441">
        <v>2025</v>
      </c>
      <c r="G441" t="s">
        <v>66</v>
      </c>
      <c r="H441" t="s">
        <v>48</v>
      </c>
      <c r="I441">
        <v>1</v>
      </c>
      <c r="J441">
        <v>5</v>
      </c>
      <c r="K441" t="s">
        <v>46</v>
      </c>
      <c r="L441" s="23">
        <v>1</v>
      </c>
      <c r="M441" s="23">
        <v>0</v>
      </c>
      <c r="N441" s="23">
        <v>1</v>
      </c>
      <c r="O441" s="23">
        <v>0</v>
      </c>
      <c r="P441" s="23">
        <v>3</v>
      </c>
      <c r="Q441" s="23" t="s">
        <v>44</v>
      </c>
      <c r="R441" s="23">
        <v>0</v>
      </c>
      <c r="S441" s="23">
        <v>0</v>
      </c>
      <c r="T441" s="23">
        <v>0</v>
      </c>
      <c r="U441" s="23">
        <v>0</v>
      </c>
      <c r="AG441" s="34">
        <v>1</v>
      </c>
      <c r="AH441">
        <v>0</v>
      </c>
      <c r="AI441">
        <v>4</v>
      </c>
      <c r="AJ441">
        <v>0.1</v>
      </c>
      <c r="AK441">
        <v>33</v>
      </c>
      <c r="AL441">
        <v>13</v>
      </c>
      <c r="AM441">
        <v>5</v>
      </c>
      <c r="AN441">
        <v>2</v>
      </c>
      <c r="AO441">
        <v>0.1</v>
      </c>
      <c r="AP441">
        <v>43</v>
      </c>
      <c r="AQ441" s="21">
        <f t="shared" si="64"/>
        <v>42</v>
      </c>
      <c r="AR441" s="12">
        <f t="shared" si="62"/>
        <v>100.2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 s="6">
        <f t="shared" si="63"/>
        <v>23</v>
      </c>
      <c r="BM441" s="6">
        <f t="shared" si="61"/>
        <v>23</v>
      </c>
      <c r="BN441">
        <v>4</v>
      </c>
      <c r="BO441">
        <f t="shared" si="65"/>
        <v>4</v>
      </c>
      <c r="BP441">
        <v>0.1</v>
      </c>
      <c r="BQ441">
        <f>SUM(BP441,BB441,BK441)</f>
        <v>0.1</v>
      </c>
      <c r="BR441">
        <f t="shared" si="58"/>
        <v>0</v>
      </c>
    </row>
    <row r="442" spans="1:70" hidden="1">
      <c r="A442" s="16" t="str">
        <f t="shared" si="60"/>
        <v>WC_2025_NPZ_2_1</v>
      </c>
      <c r="B442" t="s">
        <v>65</v>
      </c>
      <c r="C442">
        <v>42.222900000000003</v>
      </c>
      <c r="D442">
        <v>-124.383</v>
      </c>
      <c r="E442" s="8">
        <v>45833</v>
      </c>
      <c r="F442">
        <v>2025</v>
      </c>
      <c r="G442" t="s">
        <v>66</v>
      </c>
      <c r="H442" t="s">
        <v>48</v>
      </c>
      <c r="I442">
        <v>2</v>
      </c>
      <c r="J442">
        <v>1</v>
      </c>
      <c r="K442" t="s">
        <v>57</v>
      </c>
      <c r="L442" s="23">
        <v>28</v>
      </c>
      <c r="M442" s="23">
        <v>0</v>
      </c>
      <c r="N442" s="23">
        <v>3</v>
      </c>
      <c r="O442" s="23">
        <v>25</v>
      </c>
      <c r="P442" s="23">
        <v>1</v>
      </c>
      <c r="Q442" s="23" t="s">
        <v>44</v>
      </c>
      <c r="R442" s="23">
        <v>0</v>
      </c>
      <c r="S442" s="23">
        <v>0</v>
      </c>
      <c r="T442" s="23">
        <v>0</v>
      </c>
      <c r="U442" s="23">
        <v>0</v>
      </c>
      <c r="AG442" s="34">
        <v>44</v>
      </c>
      <c r="AH442">
        <v>0</v>
      </c>
      <c r="AI442">
        <v>0</v>
      </c>
      <c r="AJ442">
        <v>0.1</v>
      </c>
      <c r="AK442">
        <v>0</v>
      </c>
      <c r="AL442">
        <v>9</v>
      </c>
      <c r="AM442">
        <v>10</v>
      </c>
      <c r="AN442">
        <v>2</v>
      </c>
      <c r="AO442">
        <v>0</v>
      </c>
      <c r="AP442">
        <v>79</v>
      </c>
      <c r="AQ442" s="21">
        <f t="shared" si="64"/>
        <v>35</v>
      </c>
      <c r="AR442" s="12">
        <f t="shared" si="62"/>
        <v>100.1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 s="6">
        <f t="shared" si="63"/>
        <v>0</v>
      </c>
      <c r="BM442" s="6">
        <f t="shared" si="61"/>
        <v>0</v>
      </c>
      <c r="BN442">
        <v>0</v>
      </c>
      <c r="BO442">
        <f t="shared" si="65"/>
        <v>0</v>
      </c>
      <c r="BP442">
        <v>0.1</v>
      </c>
      <c r="BQ442">
        <f>SUM(BP442,BB442,BK442)</f>
        <v>0.1</v>
      </c>
      <c r="BR442">
        <f t="shared" si="58"/>
        <v>0</v>
      </c>
    </row>
    <row r="443" spans="1:70" hidden="1">
      <c r="A443" s="16" t="str">
        <f t="shared" si="60"/>
        <v>WC_2025_NPZ_2_2</v>
      </c>
      <c r="B443" t="s">
        <v>65</v>
      </c>
      <c r="C443">
        <v>42.222900000000003</v>
      </c>
      <c r="D443">
        <v>-124.383</v>
      </c>
      <c r="E443" s="8">
        <v>45833</v>
      </c>
      <c r="F443">
        <v>2025</v>
      </c>
      <c r="G443" t="s">
        <v>66</v>
      </c>
      <c r="H443" t="s">
        <v>48</v>
      </c>
      <c r="I443">
        <v>2</v>
      </c>
      <c r="J443">
        <v>2</v>
      </c>
      <c r="K443" t="s">
        <v>57</v>
      </c>
      <c r="L443" s="23">
        <v>27</v>
      </c>
      <c r="M443" s="23">
        <v>0</v>
      </c>
      <c r="N443" s="23">
        <v>4</v>
      </c>
      <c r="O443" s="23">
        <v>23</v>
      </c>
      <c r="P443" s="23">
        <v>0</v>
      </c>
      <c r="Q443" s="23" t="s">
        <v>44</v>
      </c>
      <c r="R443" s="23">
        <v>0</v>
      </c>
      <c r="S443" s="23">
        <v>1</v>
      </c>
      <c r="T443" s="23">
        <v>0</v>
      </c>
      <c r="U443" s="23">
        <v>0</v>
      </c>
      <c r="AG443" s="34">
        <v>35</v>
      </c>
      <c r="AH443">
        <v>0</v>
      </c>
      <c r="AI443">
        <v>0</v>
      </c>
      <c r="AJ443">
        <v>0</v>
      </c>
      <c r="AK443">
        <v>0</v>
      </c>
      <c r="AL443">
        <v>12</v>
      </c>
      <c r="AM443">
        <v>6</v>
      </c>
      <c r="AN443">
        <v>0</v>
      </c>
      <c r="AO443">
        <v>10</v>
      </c>
      <c r="AP443">
        <v>72</v>
      </c>
      <c r="AQ443" s="21">
        <f t="shared" si="64"/>
        <v>37</v>
      </c>
      <c r="AR443" s="12">
        <f t="shared" si="62"/>
        <v>100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 s="6">
        <f t="shared" si="63"/>
        <v>0</v>
      </c>
      <c r="BM443" s="6">
        <f t="shared" si="61"/>
        <v>0</v>
      </c>
      <c r="BN443">
        <v>0</v>
      </c>
      <c r="BO443">
        <f t="shared" si="65"/>
        <v>0</v>
      </c>
      <c r="BP443">
        <v>0</v>
      </c>
      <c r="BQ443">
        <f>SUM(BP443,BB443,BK443)</f>
        <v>0</v>
      </c>
      <c r="BR443">
        <f t="shared" si="58"/>
        <v>0</v>
      </c>
    </row>
    <row r="444" spans="1:70" hidden="1">
      <c r="A444" s="16" t="str">
        <f t="shared" si="60"/>
        <v>WC_2025_NPZ_2_3</v>
      </c>
      <c r="B444" t="s">
        <v>65</v>
      </c>
      <c r="C444">
        <v>42.222900000000003</v>
      </c>
      <c r="D444">
        <v>-124.383</v>
      </c>
      <c r="E444" s="8">
        <v>45833</v>
      </c>
      <c r="F444">
        <v>2025</v>
      </c>
      <c r="G444" t="s">
        <v>66</v>
      </c>
      <c r="H444" t="s">
        <v>48</v>
      </c>
      <c r="I444">
        <v>2</v>
      </c>
      <c r="J444">
        <v>3</v>
      </c>
      <c r="K444" t="s">
        <v>57</v>
      </c>
      <c r="L444" s="23">
        <v>22</v>
      </c>
      <c r="M444" s="23">
        <v>0</v>
      </c>
      <c r="N444" s="23">
        <v>1</v>
      </c>
      <c r="O444" s="23">
        <v>21</v>
      </c>
      <c r="P444" s="23">
        <v>0</v>
      </c>
      <c r="Q444" s="23" t="s">
        <v>44</v>
      </c>
      <c r="R444" s="23">
        <v>0</v>
      </c>
      <c r="S444" s="23">
        <v>0</v>
      </c>
      <c r="T444" s="23">
        <v>0</v>
      </c>
      <c r="U444" s="23">
        <v>0</v>
      </c>
      <c r="AG444" s="34">
        <v>37</v>
      </c>
      <c r="AH444">
        <v>0</v>
      </c>
      <c r="AI444">
        <v>0</v>
      </c>
      <c r="AJ444">
        <v>0</v>
      </c>
      <c r="AK444">
        <v>0</v>
      </c>
      <c r="AL444">
        <v>7</v>
      </c>
      <c r="AM444">
        <v>4</v>
      </c>
      <c r="AN444">
        <v>0</v>
      </c>
      <c r="AO444">
        <v>2</v>
      </c>
      <c r="AP444">
        <v>87</v>
      </c>
      <c r="AQ444" s="21">
        <f t="shared" si="64"/>
        <v>50</v>
      </c>
      <c r="AR444" s="12">
        <f t="shared" si="62"/>
        <v>100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 s="6">
        <f t="shared" si="63"/>
        <v>0</v>
      </c>
      <c r="BM444" s="6">
        <f t="shared" si="61"/>
        <v>0</v>
      </c>
      <c r="BN444">
        <v>0</v>
      </c>
      <c r="BO444">
        <f t="shared" si="65"/>
        <v>0</v>
      </c>
      <c r="BP444">
        <v>0</v>
      </c>
      <c r="BQ444">
        <f>SUM(BP444,BB444,BK444)</f>
        <v>0</v>
      </c>
      <c r="BR444">
        <f t="shared" ref="BR444:BR507" si="66">BQ444-BP444</f>
        <v>0</v>
      </c>
    </row>
    <row r="445" spans="1:70" hidden="1">
      <c r="A445" s="16" t="str">
        <f t="shared" si="60"/>
        <v>WC_2025_NPZ_2_4</v>
      </c>
      <c r="B445" t="s">
        <v>65</v>
      </c>
      <c r="C445">
        <v>42.222900000000003</v>
      </c>
      <c r="D445">
        <v>-124.383</v>
      </c>
      <c r="E445" s="8">
        <v>45833</v>
      </c>
      <c r="F445">
        <v>2025</v>
      </c>
      <c r="G445" t="s">
        <v>66</v>
      </c>
      <c r="H445" t="s">
        <v>48</v>
      </c>
      <c r="I445">
        <v>2</v>
      </c>
      <c r="J445">
        <v>4</v>
      </c>
      <c r="K445" t="s">
        <v>57</v>
      </c>
      <c r="L445" s="23">
        <v>36</v>
      </c>
      <c r="M445" s="23">
        <v>0</v>
      </c>
      <c r="N445" s="23">
        <v>1</v>
      </c>
      <c r="O445" s="23">
        <v>35</v>
      </c>
      <c r="P445" s="23">
        <v>0</v>
      </c>
      <c r="Q445" s="23" t="s">
        <v>44</v>
      </c>
      <c r="R445" s="23">
        <v>0</v>
      </c>
      <c r="S445" s="23">
        <v>0</v>
      </c>
      <c r="T445" s="23">
        <v>0</v>
      </c>
      <c r="U445" s="23">
        <v>0</v>
      </c>
      <c r="AG445" s="34">
        <v>38</v>
      </c>
      <c r="AH445">
        <v>0</v>
      </c>
      <c r="AI445">
        <v>0</v>
      </c>
      <c r="AJ445">
        <v>0</v>
      </c>
      <c r="AK445">
        <v>0</v>
      </c>
      <c r="AL445">
        <v>9</v>
      </c>
      <c r="AM445">
        <v>3</v>
      </c>
      <c r="AN445">
        <v>0</v>
      </c>
      <c r="AO445">
        <v>0.1</v>
      </c>
      <c r="AP445">
        <v>88</v>
      </c>
      <c r="AQ445" s="21">
        <f t="shared" si="64"/>
        <v>50</v>
      </c>
      <c r="AR445" s="12">
        <f t="shared" si="62"/>
        <v>100.1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 s="6">
        <f t="shared" si="63"/>
        <v>0</v>
      </c>
      <c r="BM445" s="6">
        <f t="shared" si="61"/>
        <v>0</v>
      </c>
      <c r="BN445">
        <v>0</v>
      </c>
      <c r="BO445">
        <f t="shared" si="65"/>
        <v>0</v>
      </c>
      <c r="BP445">
        <v>0</v>
      </c>
      <c r="BQ445">
        <f>SUM(BP445,BB445,BK445)</f>
        <v>0</v>
      </c>
      <c r="BR445">
        <f t="shared" si="66"/>
        <v>0</v>
      </c>
    </row>
    <row r="446" spans="1:70" hidden="1">
      <c r="A446" s="16" t="str">
        <f t="shared" si="60"/>
        <v>WC_2025_NPZ_2_5</v>
      </c>
      <c r="B446" t="s">
        <v>65</v>
      </c>
      <c r="C446">
        <v>42.222900000000003</v>
      </c>
      <c r="D446">
        <v>-124.383</v>
      </c>
      <c r="E446" s="8">
        <v>45833</v>
      </c>
      <c r="F446">
        <v>2025</v>
      </c>
      <c r="G446" t="s">
        <v>66</v>
      </c>
      <c r="H446" t="s">
        <v>48</v>
      </c>
      <c r="I446">
        <v>2</v>
      </c>
      <c r="J446">
        <v>5</v>
      </c>
      <c r="K446" t="s">
        <v>46</v>
      </c>
      <c r="L446" s="23">
        <v>16</v>
      </c>
      <c r="M446" s="23">
        <v>0</v>
      </c>
      <c r="N446" s="23">
        <v>3</v>
      </c>
      <c r="O446" s="23">
        <v>13</v>
      </c>
      <c r="P446" s="23">
        <v>0</v>
      </c>
      <c r="Q446" s="23" t="s">
        <v>44</v>
      </c>
      <c r="R446" s="23">
        <v>0</v>
      </c>
      <c r="S446" s="23">
        <v>0</v>
      </c>
      <c r="T446" s="23">
        <v>0</v>
      </c>
      <c r="U446" s="23">
        <v>0</v>
      </c>
      <c r="AG446" s="34">
        <v>26</v>
      </c>
      <c r="AH446">
        <v>0</v>
      </c>
      <c r="AI446">
        <v>0</v>
      </c>
      <c r="AJ446">
        <v>3</v>
      </c>
      <c r="AK446">
        <v>0</v>
      </c>
      <c r="AL446">
        <v>11</v>
      </c>
      <c r="AM446">
        <v>3</v>
      </c>
      <c r="AN446">
        <v>1</v>
      </c>
      <c r="AO446">
        <v>7</v>
      </c>
      <c r="AP446">
        <v>75</v>
      </c>
      <c r="AQ446" s="21">
        <f t="shared" si="64"/>
        <v>49</v>
      </c>
      <c r="AR446" s="12">
        <f t="shared" si="62"/>
        <v>100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 s="6">
        <f t="shared" si="63"/>
        <v>0</v>
      </c>
      <c r="BM446" s="6">
        <f t="shared" si="61"/>
        <v>0</v>
      </c>
      <c r="BN446">
        <v>0</v>
      </c>
      <c r="BO446">
        <f t="shared" si="65"/>
        <v>0</v>
      </c>
      <c r="BP446">
        <v>3</v>
      </c>
      <c r="BQ446">
        <f>SUM(BP446,BB446,BK446)</f>
        <v>3</v>
      </c>
      <c r="BR446">
        <f t="shared" si="66"/>
        <v>0</v>
      </c>
    </row>
    <row r="447" spans="1:70" hidden="1">
      <c r="A447" s="16" t="str">
        <f t="shared" si="60"/>
        <v>RP_2025_AZ_1_1</v>
      </c>
      <c r="B447" t="s">
        <v>59</v>
      </c>
      <c r="C447">
        <v>42.716659999999997</v>
      </c>
      <c r="D447">
        <v>-124.467</v>
      </c>
      <c r="E447" s="8">
        <v>45832</v>
      </c>
      <c r="F447">
        <v>2025</v>
      </c>
      <c r="G447" t="s">
        <v>56</v>
      </c>
      <c r="H447" t="s">
        <v>42</v>
      </c>
      <c r="I447">
        <v>1</v>
      </c>
      <c r="J447">
        <v>1</v>
      </c>
      <c r="K447" t="s">
        <v>43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 t="s">
        <v>44</v>
      </c>
      <c r="R447" s="23">
        <v>0</v>
      </c>
      <c r="S447" s="23">
        <v>0</v>
      </c>
      <c r="T447" s="23">
        <v>1</v>
      </c>
      <c r="U447" s="23">
        <v>1</v>
      </c>
      <c r="V447" s="41" t="s">
        <v>44</v>
      </c>
      <c r="W447" s="41" t="s">
        <v>44</v>
      </c>
      <c r="X447" s="41" t="s">
        <v>44</v>
      </c>
      <c r="Y447" s="41" t="s">
        <v>44</v>
      </c>
      <c r="Z447" s="41" t="s">
        <v>44</v>
      </c>
      <c r="AA447" s="42" t="s">
        <v>44</v>
      </c>
      <c r="AB447" s="42" t="s">
        <v>44</v>
      </c>
      <c r="AC447" s="42" t="s">
        <v>44</v>
      </c>
      <c r="AD447" s="42" t="s">
        <v>44</v>
      </c>
      <c r="AE447" s="42" t="s">
        <v>44</v>
      </c>
      <c r="AF447" s="42" t="s">
        <v>44</v>
      </c>
      <c r="AG447" s="34">
        <v>0</v>
      </c>
      <c r="AH447">
        <v>32</v>
      </c>
      <c r="AI447">
        <v>16</v>
      </c>
      <c r="AJ447">
        <v>0</v>
      </c>
      <c r="AK447">
        <v>21</v>
      </c>
      <c r="AL447">
        <v>19</v>
      </c>
      <c r="AM447">
        <v>4</v>
      </c>
      <c r="AN447">
        <v>0</v>
      </c>
      <c r="AO447">
        <v>0</v>
      </c>
      <c r="AP447">
        <v>8</v>
      </c>
      <c r="AQ447" s="21">
        <f t="shared" si="64"/>
        <v>8</v>
      </c>
      <c r="AR447" s="12">
        <f t="shared" si="62"/>
        <v>100</v>
      </c>
      <c r="AS447">
        <v>0</v>
      </c>
      <c r="AT447">
        <v>20</v>
      </c>
      <c r="AU447">
        <v>0</v>
      </c>
      <c r="AV447">
        <v>0</v>
      </c>
      <c r="AW447">
        <v>25</v>
      </c>
      <c r="AX447">
        <v>30</v>
      </c>
      <c r="AY447">
        <v>0</v>
      </c>
      <c r="AZ447">
        <v>29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 s="6">
        <f t="shared" si="63"/>
        <v>104</v>
      </c>
      <c r="BM447" s="6">
        <f t="shared" si="61"/>
        <v>104</v>
      </c>
      <c r="BN447">
        <v>16</v>
      </c>
      <c r="BO447">
        <f t="shared" si="65"/>
        <v>16</v>
      </c>
      <c r="BP447">
        <v>0</v>
      </c>
      <c r="BQ447">
        <f>SUM(BP447,BB447,BK447)</f>
        <v>0</v>
      </c>
      <c r="BR447">
        <f t="shared" si="66"/>
        <v>0</v>
      </c>
    </row>
    <row r="448" spans="1:70" hidden="1">
      <c r="A448" s="16" t="str">
        <f t="shared" si="60"/>
        <v>RP_2025_AZ_1_2</v>
      </c>
      <c r="B448" t="s">
        <v>59</v>
      </c>
      <c r="C448">
        <v>42.716659999999997</v>
      </c>
      <c r="D448">
        <v>-124.467</v>
      </c>
      <c r="E448" s="8">
        <v>45832</v>
      </c>
      <c r="F448">
        <v>2025</v>
      </c>
      <c r="G448" t="s">
        <v>56</v>
      </c>
      <c r="H448" t="s">
        <v>42</v>
      </c>
      <c r="I448">
        <v>1</v>
      </c>
      <c r="J448">
        <v>2</v>
      </c>
      <c r="K448" t="s">
        <v>43</v>
      </c>
      <c r="L448" s="23">
        <v>2</v>
      </c>
      <c r="M448" s="23">
        <v>2</v>
      </c>
      <c r="N448" s="23">
        <v>0</v>
      </c>
      <c r="O448" s="23">
        <v>0</v>
      </c>
      <c r="P448" s="23">
        <v>1</v>
      </c>
      <c r="Q448" s="23" t="s">
        <v>44</v>
      </c>
      <c r="R448" s="23">
        <v>0</v>
      </c>
      <c r="S448" s="23">
        <v>0</v>
      </c>
      <c r="T448" s="23">
        <v>0</v>
      </c>
      <c r="U448" s="23">
        <v>2</v>
      </c>
      <c r="V448" s="41" t="s">
        <v>44</v>
      </c>
      <c r="W448" s="41" t="s">
        <v>44</v>
      </c>
      <c r="X448" s="41" t="s">
        <v>44</v>
      </c>
      <c r="Y448" s="41" t="s">
        <v>44</v>
      </c>
      <c r="Z448" s="41" t="s">
        <v>44</v>
      </c>
      <c r="AA448" s="42" t="s">
        <v>44</v>
      </c>
      <c r="AB448" s="42" t="s">
        <v>44</v>
      </c>
      <c r="AC448" s="42" t="s">
        <v>44</v>
      </c>
      <c r="AD448" s="42" t="s">
        <v>44</v>
      </c>
      <c r="AE448" s="42" t="s">
        <v>44</v>
      </c>
      <c r="AF448" s="42" t="s">
        <v>44</v>
      </c>
      <c r="AG448" s="34">
        <v>1</v>
      </c>
      <c r="AH448">
        <v>31</v>
      </c>
      <c r="AI448">
        <v>61</v>
      </c>
      <c r="AJ448">
        <v>0</v>
      </c>
      <c r="AK448">
        <v>0</v>
      </c>
      <c r="AL448">
        <v>3</v>
      </c>
      <c r="AM448">
        <v>0</v>
      </c>
      <c r="AN448">
        <v>0.1</v>
      </c>
      <c r="AO448">
        <v>3</v>
      </c>
      <c r="AP448">
        <v>2</v>
      </c>
      <c r="AQ448" s="21">
        <f t="shared" si="64"/>
        <v>1</v>
      </c>
      <c r="AR448" s="12">
        <f t="shared" si="62"/>
        <v>100.1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53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 s="6">
        <f t="shared" si="63"/>
        <v>53</v>
      </c>
      <c r="BM448" s="6">
        <f t="shared" si="61"/>
        <v>53</v>
      </c>
      <c r="BN448">
        <v>61</v>
      </c>
      <c r="BO448">
        <f t="shared" si="65"/>
        <v>61</v>
      </c>
      <c r="BP448">
        <v>0</v>
      </c>
      <c r="BQ448">
        <f>SUM(BP448,BB448,BK448)</f>
        <v>0</v>
      </c>
      <c r="BR448">
        <f t="shared" si="66"/>
        <v>0</v>
      </c>
    </row>
    <row r="449" spans="1:70">
      <c r="A449" s="16" t="str">
        <f t="shared" si="60"/>
        <v>RP_2025_AZ_1_3</v>
      </c>
      <c r="B449" t="s">
        <v>59</v>
      </c>
      <c r="C449">
        <v>42.716659999999997</v>
      </c>
      <c r="D449">
        <v>-124.467</v>
      </c>
      <c r="E449" s="8">
        <v>45832</v>
      </c>
      <c r="F449">
        <v>2025</v>
      </c>
      <c r="G449" t="s">
        <v>56</v>
      </c>
      <c r="H449" t="s">
        <v>42</v>
      </c>
      <c r="I449">
        <v>1</v>
      </c>
      <c r="J449">
        <v>3</v>
      </c>
      <c r="K449" t="s">
        <v>43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 t="s">
        <v>44</v>
      </c>
      <c r="R449" s="23">
        <v>0</v>
      </c>
      <c r="S449" s="23">
        <v>0</v>
      </c>
      <c r="T449" s="23">
        <v>0</v>
      </c>
      <c r="U449" s="23">
        <v>0</v>
      </c>
      <c r="V449" s="41" t="s">
        <v>44</v>
      </c>
      <c r="W449" s="41" t="s">
        <v>44</v>
      </c>
      <c r="X449" s="41" t="s">
        <v>44</v>
      </c>
      <c r="Y449" s="41" t="s">
        <v>44</v>
      </c>
      <c r="Z449" s="41" t="s">
        <v>44</v>
      </c>
      <c r="AA449" s="42" t="s">
        <v>44</v>
      </c>
      <c r="AB449" s="42" t="s">
        <v>44</v>
      </c>
      <c r="AC449" s="42" t="s">
        <v>44</v>
      </c>
      <c r="AD449" s="42" t="s">
        <v>44</v>
      </c>
      <c r="AE449" s="42" t="s">
        <v>44</v>
      </c>
      <c r="AF449" s="42" t="s">
        <v>44</v>
      </c>
      <c r="AG449" s="34">
        <v>0</v>
      </c>
      <c r="AH449">
        <v>0</v>
      </c>
      <c r="AI449">
        <v>51</v>
      </c>
      <c r="AJ449">
        <v>48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 s="21">
        <f t="shared" si="64"/>
        <v>0</v>
      </c>
      <c r="AR449" s="12">
        <f t="shared" si="62"/>
        <v>100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22</v>
      </c>
      <c r="AY449">
        <v>0</v>
      </c>
      <c r="AZ449">
        <v>0</v>
      </c>
      <c r="BA449">
        <v>0</v>
      </c>
      <c r="BB449">
        <v>12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 s="6">
        <f t="shared" si="63"/>
        <v>22</v>
      </c>
      <c r="BM449" s="6">
        <f t="shared" si="61"/>
        <v>34</v>
      </c>
      <c r="BN449">
        <v>34</v>
      </c>
      <c r="BO449">
        <f t="shared" si="65"/>
        <v>34</v>
      </c>
      <c r="BP449">
        <v>48</v>
      </c>
    </row>
    <row r="450" spans="1:70" hidden="1">
      <c r="A450" s="16" t="str">
        <f t="shared" ref="A450:A513" si="67">_xlfn.CONCAT(B450,"_",F450, "_",H450, "_",I450,"_",J450)</f>
        <v>RP_2025_AZ_1_4</v>
      </c>
      <c r="B450" t="s">
        <v>59</v>
      </c>
      <c r="C450">
        <v>42.716659999999997</v>
      </c>
      <c r="D450">
        <v>-124.467</v>
      </c>
      <c r="E450" s="8">
        <v>45832</v>
      </c>
      <c r="F450">
        <v>2025</v>
      </c>
      <c r="G450" t="s">
        <v>56</v>
      </c>
      <c r="H450" t="s">
        <v>42</v>
      </c>
      <c r="I450">
        <v>1</v>
      </c>
      <c r="J450">
        <v>4</v>
      </c>
      <c r="K450" t="s">
        <v>43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 t="s">
        <v>44</v>
      </c>
      <c r="R450" s="23">
        <v>0</v>
      </c>
      <c r="S450" s="23">
        <v>0</v>
      </c>
      <c r="T450" s="23">
        <v>0</v>
      </c>
      <c r="U450" s="23">
        <v>0</v>
      </c>
      <c r="V450" s="41" t="s">
        <v>44</v>
      </c>
      <c r="W450" s="41" t="s">
        <v>44</v>
      </c>
      <c r="X450" s="41" t="s">
        <v>44</v>
      </c>
      <c r="Y450" s="41" t="s">
        <v>44</v>
      </c>
      <c r="Z450" s="41" t="s">
        <v>44</v>
      </c>
      <c r="AA450" s="42" t="s">
        <v>44</v>
      </c>
      <c r="AB450" s="42" t="s">
        <v>44</v>
      </c>
      <c r="AC450" s="42" t="s">
        <v>44</v>
      </c>
      <c r="AD450" s="42" t="s">
        <v>44</v>
      </c>
      <c r="AE450" s="42" t="s">
        <v>44</v>
      </c>
      <c r="AF450" s="42" t="s">
        <v>44</v>
      </c>
      <c r="AG450" s="34">
        <v>0</v>
      </c>
      <c r="AH450">
        <v>17</v>
      </c>
      <c r="AI450">
        <v>68</v>
      </c>
      <c r="AJ450">
        <v>9</v>
      </c>
      <c r="AK450">
        <v>0</v>
      </c>
      <c r="AL450">
        <v>0</v>
      </c>
      <c r="AM450">
        <v>0</v>
      </c>
      <c r="AN450">
        <v>0</v>
      </c>
      <c r="AO450">
        <v>6</v>
      </c>
      <c r="AP450">
        <v>0</v>
      </c>
      <c r="AQ450" s="21">
        <f t="shared" si="64"/>
        <v>0</v>
      </c>
      <c r="AR450" s="12">
        <f t="shared" si="62"/>
        <v>100</v>
      </c>
      <c r="AS450">
        <v>0</v>
      </c>
      <c r="AT450">
        <v>0</v>
      </c>
      <c r="AU450">
        <v>0</v>
      </c>
      <c r="AV450">
        <v>0</v>
      </c>
      <c r="AW450">
        <v>20</v>
      </c>
      <c r="AX450">
        <v>40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 s="6">
        <f t="shared" si="63"/>
        <v>60</v>
      </c>
      <c r="BM450" s="6">
        <f t="shared" ref="BM450:BM513" si="68">SUM(AS450:BJ450)</f>
        <v>60</v>
      </c>
      <c r="BN450">
        <v>68</v>
      </c>
      <c r="BO450">
        <f t="shared" si="65"/>
        <v>68</v>
      </c>
      <c r="BP450">
        <v>9</v>
      </c>
      <c r="BQ450">
        <f>SUM(BP450,BB450,BK450)</f>
        <v>9</v>
      </c>
      <c r="BR450">
        <f t="shared" si="66"/>
        <v>0</v>
      </c>
    </row>
    <row r="451" spans="1:70" hidden="1">
      <c r="A451" s="16" t="str">
        <f t="shared" si="67"/>
        <v>RP_2025_AZ_1_5</v>
      </c>
      <c r="B451" t="s">
        <v>59</v>
      </c>
      <c r="C451">
        <v>42.716659999999997</v>
      </c>
      <c r="D451">
        <v>-124.467</v>
      </c>
      <c r="E451" s="8">
        <v>45832</v>
      </c>
      <c r="F451">
        <v>2025</v>
      </c>
      <c r="G451" t="s">
        <v>56</v>
      </c>
      <c r="H451" t="s">
        <v>42</v>
      </c>
      <c r="I451">
        <v>1</v>
      </c>
      <c r="J451">
        <v>5</v>
      </c>
      <c r="K451" t="s">
        <v>43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 t="s">
        <v>44</v>
      </c>
      <c r="R451" s="23">
        <v>0</v>
      </c>
      <c r="S451" s="23">
        <v>0</v>
      </c>
      <c r="T451" s="23">
        <v>1</v>
      </c>
      <c r="U451" s="23">
        <v>1</v>
      </c>
      <c r="V451" s="41" t="s">
        <v>44</v>
      </c>
      <c r="W451" s="41" t="s">
        <v>44</v>
      </c>
      <c r="X451" s="41" t="s">
        <v>44</v>
      </c>
      <c r="Y451" s="41" t="s">
        <v>44</v>
      </c>
      <c r="Z451" s="41" t="s">
        <v>44</v>
      </c>
      <c r="AA451" s="42" t="s">
        <v>44</v>
      </c>
      <c r="AB451" s="42" t="s">
        <v>44</v>
      </c>
      <c r="AC451" s="42" t="s">
        <v>44</v>
      </c>
      <c r="AD451" s="42" t="s">
        <v>44</v>
      </c>
      <c r="AE451" s="42" t="s">
        <v>44</v>
      </c>
      <c r="AF451" s="42" t="s">
        <v>44</v>
      </c>
      <c r="AG451" s="34">
        <v>0</v>
      </c>
      <c r="AH451">
        <v>15</v>
      </c>
      <c r="AI451">
        <v>35</v>
      </c>
      <c r="AJ451">
        <v>2</v>
      </c>
      <c r="AK451">
        <v>0</v>
      </c>
      <c r="AL451">
        <v>0</v>
      </c>
      <c r="AM451">
        <v>0</v>
      </c>
      <c r="AN451">
        <v>0</v>
      </c>
      <c r="AO451">
        <v>46</v>
      </c>
      <c r="AP451">
        <v>2</v>
      </c>
      <c r="AQ451" s="21">
        <f t="shared" si="64"/>
        <v>2</v>
      </c>
      <c r="AR451" s="12">
        <f>SUM(AH451:AP451)</f>
        <v>100</v>
      </c>
      <c r="AS451">
        <v>0</v>
      </c>
      <c r="AT451">
        <v>3</v>
      </c>
      <c r="AU451">
        <v>0</v>
      </c>
      <c r="AV451">
        <v>0</v>
      </c>
      <c r="AW451">
        <v>3</v>
      </c>
      <c r="AX451">
        <v>70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 s="6">
        <f t="shared" ref="BL451:BL514" si="69">SUM(AS451:AT451,AV451:AW451,AX451:BA451,BC451:BF451,BJ451)</f>
        <v>76</v>
      </c>
      <c r="BM451" s="6">
        <f t="shared" si="68"/>
        <v>76</v>
      </c>
      <c r="BN451">
        <v>35</v>
      </c>
      <c r="BO451">
        <f t="shared" si="65"/>
        <v>35</v>
      </c>
      <c r="BP451">
        <v>2</v>
      </c>
      <c r="BQ451">
        <f>SUM(BP451,BB451,BK451)</f>
        <v>2</v>
      </c>
      <c r="BR451">
        <f t="shared" si="66"/>
        <v>0</v>
      </c>
    </row>
    <row r="452" spans="1:70" hidden="1">
      <c r="A452" s="16" t="str">
        <f t="shared" si="67"/>
        <v>RP_2025_AZ_2_1</v>
      </c>
      <c r="B452" t="s">
        <v>59</v>
      </c>
      <c r="C452">
        <v>42.716659999999997</v>
      </c>
      <c r="D452">
        <v>-124.467</v>
      </c>
      <c r="E452" s="8">
        <v>45832</v>
      </c>
      <c r="F452">
        <v>2025</v>
      </c>
      <c r="G452" t="s">
        <v>56</v>
      </c>
      <c r="H452" t="s">
        <v>42</v>
      </c>
      <c r="I452">
        <v>2</v>
      </c>
      <c r="J452">
        <v>1</v>
      </c>
      <c r="K452" t="s">
        <v>43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 t="s">
        <v>44</v>
      </c>
      <c r="R452" s="23">
        <v>0</v>
      </c>
      <c r="S452" s="23">
        <v>0</v>
      </c>
      <c r="T452" s="23">
        <v>0</v>
      </c>
      <c r="U452" s="23">
        <v>0</v>
      </c>
      <c r="V452" s="41" t="s">
        <v>44</v>
      </c>
      <c r="W452" s="41" t="s">
        <v>44</v>
      </c>
      <c r="X452" s="41" t="s">
        <v>44</v>
      </c>
      <c r="Y452" s="41" t="s">
        <v>44</v>
      </c>
      <c r="Z452" s="41" t="s">
        <v>44</v>
      </c>
      <c r="AA452" s="42" t="s">
        <v>44</v>
      </c>
      <c r="AB452" s="42" t="s">
        <v>44</v>
      </c>
      <c r="AC452" s="42" t="s">
        <v>44</v>
      </c>
      <c r="AD452" s="42" t="s">
        <v>44</v>
      </c>
      <c r="AE452" s="42" t="s">
        <v>44</v>
      </c>
      <c r="AF452" s="42" t="s">
        <v>44</v>
      </c>
      <c r="AG452" s="34">
        <v>0</v>
      </c>
      <c r="AH452">
        <v>10</v>
      </c>
      <c r="AI452">
        <v>79</v>
      </c>
      <c r="AJ452">
        <v>0</v>
      </c>
      <c r="AK452">
        <v>11</v>
      </c>
      <c r="AL452">
        <v>0</v>
      </c>
      <c r="AM452">
        <v>0</v>
      </c>
      <c r="AN452">
        <v>0</v>
      </c>
      <c r="AO452">
        <v>0</v>
      </c>
      <c r="AP452">
        <v>0</v>
      </c>
      <c r="AQ452" s="21">
        <f t="shared" si="64"/>
        <v>0</v>
      </c>
      <c r="AR452" s="12">
        <f t="shared" ref="AR452:AR514" si="70">SUM(AH452:AP452)</f>
        <v>100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21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 s="6">
        <f t="shared" si="69"/>
        <v>22</v>
      </c>
      <c r="BM452" s="6">
        <f t="shared" si="68"/>
        <v>22</v>
      </c>
      <c r="BN452">
        <v>79</v>
      </c>
      <c r="BO452">
        <f t="shared" si="65"/>
        <v>79</v>
      </c>
      <c r="BP452">
        <v>0</v>
      </c>
      <c r="BQ452">
        <f>SUM(BP452,BB452,BK452)</f>
        <v>0</v>
      </c>
      <c r="BR452">
        <f t="shared" si="66"/>
        <v>0</v>
      </c>
    </row>
    <row r="453" spans="1:70" hidden="1">
      <c r="A453" s="16" t="str">
        <f t="shared" si="67"/>
        <v>RP_2025_AZ_2_2</v>
      </c>
      <c r="B453" t="s">
        <v>59</v>
      </c>
      <c r="C453">
        <v>42.716659999999997</v>
      </c>
      <c r="D453">
        <v>-124.467</v>
      </c>
      <c r="E453" s="8">
        <v>45832</v>
      </c>
      <c r="F453">
        <v>2025</v>
      </c>
      <c r="G453" t="s">
        <v>56</v>
      </c>
      <c r="H453" t="s">
        <v>42</v>
      </c>
      <c r="I453">
        <v>2</v>
      </c>
      <c r="J453">
        <v>2</v>
      </c>
      <c r="K453" t="s">
        <v>43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 t="s">
        <v>44</v>
      </c>
      <c r="R453" s="23">
        <v>0</v>
      </c>
      <c r="S453" s="23">
        <v>0</v>
      </c>
      <c r="T453" s="23">
        <v>0</v>
      </c>
      <c r="U453" s="23">
        <v>0</v>
      </c>
      <c r="V453" s="41" t="s">
        <v>44</v>
      </c>
      <c r="W453" s="41" t="s">
        <v>44</v>
      </c>
      <c r="X453" s="41" t="s">
        <v>44</v>
      </c>
      <c r="Y453" s="41" t="s">
        <v>44</v>
      </c>
      <c r="Z453" s="41" t="s">
        <v>44</v>
      </c>
      <c r="AA453" s="42" t="s">
        <v>44</v>
      </c>
      <c r="AB453" s="42" t="s">
        <v>44</v>
      </c>
      <c r="AC453" s="42" t="s">
        <v>44</v>
      </c>
      <c r="AD453" s="42" t="s">
        <v>44</v>
      </c>
      <c r="AE453" s="42" t="s">
        <v>44</v>
      </c>
      <c r="AF453" s="42" t="s">
        <v>44</v>
      </c>
      <c r="AG453" s="34">
        <v>0</v>
      </c>
      <c r="AH453">
        <v>3</v>
      </c>
      <c r="AI453">
        <v>10</v>
      </c>
      <c r="AJ453">
        <v>28</v>
      </c>
      <c r="AK453">
        <v>0</v>
      </c>
      <c r="AL453">
        <v>5</v>
      </c>
      <c r="AM453">
        <v>10</v>
      </c>
      <c r="AN453">
        <v>1</v>
      </c>
      <c r="AO453">
        <v>0</v>
      </c>
      <c r="AP453">
        <v>43</v>
      </c>
      <c r="AQ453" s="21">
        <f t="shared" si="64"/>
        <v>43</v>
      </c>
      <c r="AR453" s="12">
        <f t="shared" si="70"/>
        <v>100</v>
      </c>
      <c r="AS453">
        <v>0</v>
      </c>
      <c r="AT453">
        <v>13</v>
      </c>
      <c r="AU453">
        <v>5</v>
      </c>
      <c r="AV453">
        <v>0</v>
      </c>
      <c r="AW453">
        <v>0</v>
      </c>
      <c r="AX453">
        <v>3</v>
      </c>
      <c r="AY453">
        <v>0</v>
      </c>
      <c r="AZ453">
        <v>0</v>
      </c>
      <c r="BA453">
        <v>0</v>
      </c>
      <c r="BB453">
        <v>24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 s="6">
        <f t="shared" si="69"/>
        <v>16</v>
      </c>
      <c r="BM453" s="6">
        <f t="shared" si="68"/>
        <v>45</v>
      </c>
    </row>
    <row r="454" spans="1:70" hidden="1">
      <c r="A454" s="16" t="str">
        <f t="shared" si="67"/>
        <v>RP_2025_AZ_2_3</v>
      </c>
      <c r="B454" t="s">
        <v>59</v>
      </c>
      <c r="C454">
        <v>42.716659999999997</v>
      </c>
      <c r="D454">
        <v>-124.467</v>
      </c>
      <c r="E454" s="8">
        <v>45832</v>
      </c>
      <c r="F454">
        <v>2025</v>
      </c>
      <c r="G454" t="s">
        <v>56</v>
      </c>
      <c r="H454" t="s">
        <v>42</v>
      </c>
      <c r="I454">
        <v>2</v>
      </c>
      <c r="J454">
        <v>3</v>
      </c>
      <c r="K454" t="s">
        <v>43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 t="s">
        <v>44</v>
      </c>
      <c r="R454" s="23">
        <v>0</v>
      </c>
      <c r="S454" s="23">
        <v>0</v>
      </c>
      <c r="T454" s="23">
        <v>0</v>
      </c>
      <c r="U454" s="23">
        <v>0</v>
      </c>
      <c r="V454" s="41" t="s">
        <v>44</v>
      </c>
      <c r="W454" s="41" t="s">
        <v>44</v>
      </c>
      <c r="X454" s="41" t="s">
        <v>44</v>
      </c>
      <c r="Y454" s="41" t="s">
        <v>44</v>
      </c>
      <c r="Z454" s="41" t="s">
        <v>44</v>
      </c>
      <c r="AA454" s="42" t="s">
        <v>44</v>
      </c>
      <c r="AB454" s="42" t="s">
        <v>44</v>
      </c>
      <c r="AC454" s="42" t="s">
        <v>44</v>
      </c>
      <c r="AD454" s="42" t="s">
        <v>44</v>
      </c>
      <c r="AE454" s="42" t="s">
        <v>44</v>
      </c>
      <c r="AF454" s="42" t="s">
        <v>44</v>
      </c>
      <c r="AG454" s="34">
        <v>0</v>
      </c>
      <c r="AH454">
        <v>0</v>
      </c>
      <c r="AI454">
        <v>0</v>
      </c>
      <c r="AJ454">
        <v>0</v>
      </c>
      <c r="AK454">
        <v>95</v>
      </c>
      <c r="AL454">
        <v>0</v>
      </c>
      <c r="AM454">
        <v>0</v>
      </c>
      <c r="AN454">
        <v>0</v>
      </c>
      <c r="AO454">
        <v>5</v>
      </c>
      <c r="AP454">
        <v>0</v>
      </c>
      <c r="AQ454" s="21">
        <f t="shared" si="64"/>
        <v>0</v>
      </c>
      <c r="AR454" s="12">
        <f t="shared" si="70"/>
        <v>100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95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 s="6">
        <f t="shared" si="69"/>
        <v>95</v>
      </c>
      <c r="BM454" s="6">
        <f t="shared" si="68"/>
        <v>95</v>
      </c>
      <c r="BN454">
        <v>0</v>
      </c>
      <c r="BO454">
        <f t="shared" si="65"/>
        <v>0</v>
      </c>
      <c r="BP454">
        <v>0</v>
      </c>
      <c r="BQ454">
        <f>SUM(BP454,BB454,BK454)</f>
        <v>0</v>
      </c>
      <c r="BR454">
        <f t="shared" si="66"/>
        <v>0</v>
      </c>
    </row>
    <row r="455" spans="1:70">
      <c r="A455" s="16" t="str">
        <f t="shared" si="67"/>
        <v>RP_2025_AZ_2_4</v>
      </c>
      <c r="B455" t="s">
        <v>59</v>
      </c>
      <c r="C455">
        <v>42.716659999999997</v>
      </c>
      <c r="D455">
        <v>-124.467</v>
      </c>
      <c r="E455" s="8">
        <v>45832</v>
      </c>
      <c r="F455">
        <v>2025</v>
      </c>
      <c r="G455" t="s">
        <v>56</v>
      </c>
      <c r="H455" t="s">
        <v>42</v>
      </c>
      <c r="I455">
        <v>2</v>
      </c>
      <c r="J455">
        <v>4</v>
      </c>
      <c r="K455" t="s">
        <v>47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 t="s">
        <v>44</v>
      </c>
      <c r="R455" s="23">
        <v>0</v>
      </c>
      <c r="S455" s="23">
        <v>0</v>
      </c>
      <c r="T455" s="23">
        <v>0</v>
      </c>
      <c r="U455" s="23">
        <v>0</v>
      </c>
      <c r="V455" s="41" t="s">
        <v>44</v>
      </c>
      <c r="W455" s="41" t="s">
        <v>44</v>
      </c>
      <c r="X455" s="41" t="s">
        <v>44</v>
      </c>
      <c r="Y455" s="41" t="s">
        <v>44</v>
      </c>
      <c r="Z455" s="41" t="s">
        <v>44</v>
      </c>
      <c r="AA455" s="42" t="s">
        <v>44</v>
      </c>
      <c r="AB455" s="42" t="s">
        <v>44</v>
      </c>
      <c r="AC455" s="42" t="s">
        <v>44</v>
      </c>
      <c r="AD455" s="42" t="s">
        <v>44</v>
      </c>
      <c r="AE455" s="42" t="s">
        <v>44</v>
      </c>
      <c r="AF455" s="42" t="s">
        <v>44</v>
      </c>
      <c r="AG455" s="34">
        <v>0</v>
      </c>
      <c r="AH455">
        <v>0</v>
      </c>
      <c r="AI455">
        <v>65</v>
      </c>
      <c r="AJ455">
        <v>0</v>
      </c>
      <c r="AK455">
        <v>0</v>
      </c>
      <c r="AL455">
        <v>0</v>
      </c>
      <c r="AM455">
        <v>0</v>
      </c>
      <c r="AN455">
        <v>3</v>
      </c>
      <c r="AO455">
        <v>0</v>
      </c>
      <c r="AP455">
        <v>32</v>
      </c>
      <c r="AQ455" s="21">
        <f t="shared" si="64"/>
        <v>32</v>
      </c>
      <c r="AR455" s="12">
        <f t="shared" si="70"/>
        <v>100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65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 s="6">
        <f t="shared" si="69"/>
        <v>0</v>
      </c>
      <c r="BM455" s="6">
        <f t="shared" si="68"/>
        <v>65</v>
      </c>
      <c r="BN455">
        <v>0</v>
      </c>
      <c r="BO455">
        <f t="shared" si="65"/>
        <v>0</v>
      </c>
      <c r="BP455">
        <v>0</v>
      </c>
    </row>
    <row r="456" spans="1:70" hidden="1">
      <c r="A456" s="16" t="str">
        <f t="shared" si="67"/>
        <v>RP_2025_AZ_2_5</v>
      </c>
      <c r="B456" t="s">
        <v>59</v>
      </c>
      <c r="C456">
        <v>42.716659999999997</v>
      </c>
      <c r="D456">
        <v>-124.467</v>
      </c>
      <c r="E456" s="8">
        <v>45832</v>
      </c>
      <c r="F456">
        <v>2025</v>
      </c>
      <c r="G456" t="s">
        <v>56</v>
      </c>
      <c r="H456" t="s">
        <v>42</v>
      </c>
      <c r="I456">
        <v>2</v>
      </c>
      <c r="J456">
        <v>5</v>
      </c>
      <c r="K456" t="s">
        <v>43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 t="s">
        <v>44</v>
      </c>
      <c r="R456" s="23">
        <v>0</v>
      </c>
      <c r="S456" s="23">
        <v>0</v>
      </c>
      <c r="T456" s="23">
        <v>0</v>
      </c>
      <c r="U456" s="23">
        <v>0</v>
      </c>
      <c r="V456" s="41" t="s">
        <v>44</v>
      </c>
      <c r="W456" s="41" t="s">
        <v>44</v>
      </c>
      <c r="X456" s="41" t="s">
        <v>44</v>
      </c>
      <c r="Y456" s="41" t="s">
        <v>44</v>
      </c>
      <c r="Z456" s="41" t="s">
        <v>44</v>
      </c>
      <c r="AA456" s="42" t="s">
        <v>44</v>
      </c>
      <c r="AB456" s="42" t="s">
        <v>44</v>
      </c>
      <c r="AC456" s="42" t="s">
        <v>44</v>
      </c>
      <c r="AD456" s="42" t="s">
        <v>44</v>
      </c>
      <c r="AE456" s="42" t="s">
        <v>44</v>
      </c>
      <c r="AF456" s="42" t="s">
        <v>44</v>
      </c>
      <c r="AG456" s="34">
        <v>0</v>
      </c>
      <c r="AH456">
        <v>11</v>
      </c>
      <c r="AI456">
        <v>82</v>
      </c>
      <c r="AJ456">
        <v>0</v>
      </c>
      <c r="AK456">
        <v>0</v>
      </c>
      <c r="AL456">
        <v>4</v>
      </c>
      <c r="AM456">
        <v>0</v>
      </c>
      <c r="AN456">
        <v>0</v>
      </c>
      <c r="AO456">
        <v>3</v>
      </c>
      <c r="AP456">
        <v>0</v>
      </c>
      <c r="AQ456" s="21">
        <f t="shared" si="64"/>
        <v>0</v>
      </c>
      <c r="AR456" s="12">
        <f t="shared" si="70"/>
        <v>100</v>
      </c>
      <c r="AS456">
        <v>0</v>
      </c>
      <c r="AT456">
        <v>23</v>
      </c>
      <c r="AU456">
        <v>0</v>
      </c>
      <c r="AV456">
        <v>0</v>
      </c>
      <c r="AW456">
        <v>0</v>
      </c>
      <c r="AX456">
        <v>20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 s="6">
        <f t="shared" si="69"/>
        <v>43</v>
      </c>
      <c r="BM456" s="6">
        <f t="shared" si="68"/>
        <v>43</v>
      </c>
      <c r="BN456">
        <v>82</v>
      </c>
      <c r="BO456">
        <f t="shared" si="65"/>
        <v>82</v>
      </c>
      <c r="BP456">
        <v>0</v>
      </c>
      <c r="BQ456">
        <f>SUM(BP456,BB456,BK456)</f>
        <v>0</v>
      </c>
      <c r="BR456">
        <f t="shared" si="66"/>
        <v>0</v>
      </c>
    </row>
    <row r="457" spans="1:70" hidden="1">
      <c r="A457" s="16" t="str">
        <f t="shared" si="67"/>
        <v>RP_2025_NPZ_1_1</v>
      </c>
      <c r="B457" t="s">
        <v>59</v>
      </c>
      <c r="C457">
        <v>42.716659999999997</v>
      </c>
      <c r="D457">
        <v>-124.467</v>
      </c>
      <c r="E457" s="8">
        <v>45832</v>
      </c>
      <c r="F457">
        <v>2025</v>
      </c>
      <c r="G457" t="s">
        <v>56</v>
      </c>
      <c r="H457" t="s">
        <v>48</v>
      </c>
      <c r="I457">
        <v>1</v>
      </c>
      <c r="J457">
        <v>1</v>
      </c>
      <c r="K457" t="s">
        <v>47</v>
      </c>
      <c r="L457" s="23">
        <v>45</v>
      </c>
      <c r="M457" s="23">
        <v>1</v>
      </c>
      <c r="N457" s="23">
        <v>10</v>
      </c>
      <c r="O457" s="23">
        <v>35</v>
      </c>
      <c r="P457" s="23">
        <v>14</v>
      </c>
      <c r="Q457" s="23" t="s">
        <v>44</v>
      </c>
      <c r="R457" s="23">
        <v>0</v>
      </c>
      <c r="S457" s="23">
        <v>0</v>
      </c>
      <c r="T457" s="23">
        <v>0</v>
      </c>
      <c r="U457" s="23">
        <v>1</v>
      </c>
      <c r="AG457" s="34">
        <v>40</v>
      </c>
      <c r="AH457">
        <v>2</v>
      </c>
      <c r="AI457">
        <v>10</v>
      </c>
      <c r="AJ457">
        <v>0.1</v>
      </c>
      <c r="AK457">
        <v>0</v>
      </c>
      <c r="AL457">
        <v>22</v>
      </c>
      <c r="AM457">
        <v>5</v>
      </c>
      <c r="AN457">
        <v>1</v>
      </c>
      <c r="AO457">
        <v>20</v>
      </c>
      <c r="AP457">
        <v>40</v>
      </c>
      <c r="AQ457" s="21">
        <f t="shared" si="64"/>
        <v>0</v>
      </c>
      <c r="AR457" s="12">
        <f t="shared" si="70"/>
        <v>100.1</v>
      </c>
      <c r="AS457">
        <v>0</v>
      </c>
      <c r="AT457">
        <v>0</v>
      </c>
      <c r="AU457">
        <v>0</v>
      </c>
      <c r="AV457">
        <v>0</v>
      </c>
      <c r="AW457">
        <v>16</v>
      </c>
      <c r="AX457">
        <v>16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 s="6">
        <f t="shared" si="69"/>
        <v>32</v>
      </c>
      <c r="BM457" s="6">
        <f t="shared" si="68"/>
        <v>32</v>
      </c>
      <c r="BN457">
        <v>10</v>
      </c>
      <c r="BO457">
        <f t="shared" si="65"/>
        <v>10</v>
      </c>
      <c r="BP457">
        <v>0.1</v>
      </c>
      <c r="BQ457">
        <f>SUM(BP457,BB457,BK457)</f>
        <v>0.1</v>
      </c>
      <c r="BR457">
        <f t="shared" si="66"/>
        <v>0</v>
      </c>
    </row>
    <row r="458" spans="1:70" hidden="1">
      <c r="A458" s="16" t="str">
        <f t="shared" si="67"/>
        <v>RP_2025_NPZ_1_2</v>
      </c>
      <c r="B458" t="s">
        <v>59</v>
      </c>
      <c r="C458">
        <v>42.716659999999997</v>
      </c>
      <c r="D458">
        <v>-124.467</v>
      </c>
      <c r="E458" s="8">
        <v>45832</v>
      </c>
      <c r="F458">
        <v>2025</v>
      </c>
      <c r="G458" t="s">
        <v>56</v>
      </c>
      <c r="H458" t="s">
        <v>48</v>
      </c>
      <c r="I458">
        <v>1</v>
      </c>
      <c r="J458">
        <v>2</v>
      </c>
      <c r="K458" t="s">
        <v>47</v>
      </c>
      <c r="L458" s="23">
        <v>71</v>
      </c>
      <c r="M458" s="23">
        <v>0</v>
      </c>
      <c r="N458" s="23">
        <v>25</v>
      </c>
      <c r="O458" s="23">
        <v>46</v>
      </c>
      <c r="P458" s="23">
        <v>17</v>
      </c>
      <c r="Q458" s="23" t="s">
        <v>44</v>
      </c>
      <c r="R458" s="23">
        <v>9</v>
      </c>
      <c r="S458" s="23">
        <v>0</v>
      </c>
      <c r="T458" s="23">
        <v>0</v>
      </c>
      <c r="U458" s="23">
        <v>0</v>
      </c>
      <c r="AG458" s="34">
        <v>65</v>
      </c>
      <c r="AH458">
        <v>0</v>
      </c>
      <c r="AI458">
        <v>0</v>
      </c>
      <c r="AJ458">
        <v>0</v>
      </c>
      <c r="AK458">
        <v>0</v>
      </c>
      <c r="AL458">
        <v>12</v>
      </c>
      <c r="AM458">
        <v>9</v>
      </c>
      <c r="AN458">
        <v>5</v>
      </c>
      <c r="AO458">
        <v>23</v>
      </c>
      <c r="AP458">
        <v>51</v>
      </c>
      <c r="AQ458" s="21">
        <v>0</v>
      </c>
      <c r="AR458" s="12">
        <f t="shared" si="70"/>
        <v>100</v>
      </c>
      <c r="AS458">
        <v>0</v>
      </c>
      <c r="AT458">
        <v>0</v>
      </c>
      <c r="AU458">
        <v>0</v>
      </c>
      <c r="AV458">
        <v>0</v>
      </c>
      <c r="AW458">
        <v>12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s="6">
        <f t="shared" si="69"/>
        <v>12</v>
      </c>
      <c r="BM458" s="6">
        <f t="shared" si="68"/>
        <v>12</v>
      </c>
      <c r="BN458">
        <v>0</v>
      </c>
      <c r="BO458">
        <f t="shared" si="65"/>
        <v>0</v>
      </c>
      <c r="BP458">
        <v>0</v>
      </c>
      <c r="BQ458">
        <f>SUM(BP458,BB458,BK458)</f>
        <v>0</v>
      </c>
      <c r="BR458">
        <f t="shared" si="66"/>
        <v>0</v>
      </c>
    </row>
    <row r="459" spans="1:70" hidden="1">
      <c r="A459" s="16" t="str">
        <f t="shared" si="67"/>
        <v>RP_2025_NPZ_1_3</v>
      </c>
      <c r="B459" t="s">
        <v>59</v>
      </c>
      <c r="C459">
        <v>42.716659999999997</v>
      </c>
      <c r="D459">
        <v>-124.467</v>
      </c>
      <c r="E459" s="8">
        <v>45832</v>
      </c>
      <c r="F459">
        <v>2025</v>
      </c>
      <c r="G459" t="s">
        <v>56</v>
      </c>
      <c r="H459" t="s">
        <v>48</v>
      </c>
      <c r="I459">
        <v>1</v>
      </c>
      <c r="J459">
        <v>3</v>
      </c>
      <c r="K459" t="s">
        <v>47</v>
      </c>
      <c r="L459" s="23">
        <v>6</v>
      </c>
      <c r="M459" s="23">
        <v>0</v>
      </c>
      <c r="N459" s="23">
        <v>2</v>
      </c>
      <c r="O459" s="23">
        <v>4</v>
      </c>
      <c r="P459" s="23">
        <v>3</v>
      </c>
      <c r="Q459" s="23" t="s">
        <v>44</v>
      </c>
      <c r="R459" s="23">
        <v>0</v>
      </c>
      <c r="S459" s="23">
        <v>0</v>
      </c>
      <c r="T459" s="23">
        <v>0</v>
      </c>
      <c r="U459" s="23">
        <v>0</v>
      </c>
      <c r="AG459" s="34">
        <v>6</v>
      </c>
      <c r="AH459">
        <v>8</v>
      </c>
      <c r="AI459">
        <v>38</v>
      </c>
      <c r="AJ459">
        <v>1</v>
      </c>
      <c r="AK459">
        <v>8</v>
      </c>
      <c r="AL459">
        <v>18</v>
      </c>
      <c r="AM459">
        <v>6</v>
      </c>
      <c r="AN459">
        <v>4</v>
      </c>
      <c r="AO459">
        <v>6</v>
      </c>
      <c r="AP459">
        <v>11</v>
      </c>
      <c r="AQ459" s="21">
        <f t="shared" si="64"/>
        <v>5</v>
      </c>
      <c r="AR459" s="12">
        <f t="shared" si="70"/>
        <v>100</v>
      </c>
      <c r="AS459">
        <v>0</v>
      </c>
      <c r="AT459">
        <v>9</v>
      </c>
      <c r="AU459">
        <v>0</v>
      </c>
      <c r="AV459">
        <v>0</v>
      </c>
      <c r="AW459">
        <v>3</v>
      </c>
      <c r="AX459">
        <v>22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 s="6">
        <f t="shared" si="69"/>
        <v>34</v>
      </c>
      <c r="BM459" s="6">
        <f t="shared" si="68"/>
        <v>34</v>
      </c>
      <c r="BN459">
        <v>38</v>
      </c>
      <c r="BO459">
        <f t="shared" si="65"/>
        <v>38</v>
      </c>
      <c r="BP459">
        <v>1</v>
      </c>
      <c r="BQ459">
        <f>SUM(BP459,BB459,BK459)</f>
        <v>1</v>
      </c>
      <c r="BR459">
        <f t="shared" si="66"/>
        <v>0</v>
      </c>
    </row>
    <row r="460" spans="1:70" hidden="1">
      <c r="A460" s="16" t="str">
        <f t="shared" si="67"/>
        <v>RP_2025_NPZ_1_4</v>
      </c>
      <c r="B460" t="s">
        <v>59</v>
      </c>
      <c r="C460">
        <v>42.716659999999997</v>
      </c>
      <c r="D460">
        <v>-124.467</v>
      </c>
      <c r="E460" s="8">
        <v>45832</v>
      </c>
      <c r="F460">
        <v>2025</v>
      </c>
      <c r="G460" t="s">
        <v>56</v>
      </c>
      <c r="H460" t="s">
        <v>48</v>
      </c>
      <c r="I460">
        <v>1</v>
      </c>
      <c r="J460">
        <v>4</v>
      </c>
      <c r="K460" t="s">
        <v>57</v>
      </c>
      <c r="L460" s="23">
        <v>49</v>
      </c>
      <c r="M460" s="23">
        <v>0</v>
      </c>
      <c r="N460" s="23">
        <v>5</v>
      </c>
      <c r="O460" s="23">
        <v>44</v>
      </c>
      <c r="P460" s="23">
        <v>3</v>
      </c>
      <c r="Q460" s="23" t="s">
        <v>44</v>
      </c>
      <c r="R460" s="23">
        <v>0</v>
      </c>
      <c r="S460" s="23">
        <v>0</v>
      </c>
      <c r="T460" s="23">
        <v>0</v>
      </c>
      <c r="U460" s="23">
        <v>0</v>
      </c>
      <c r="AG460" s="34">
        <v>71</v>
      </c>
      <c r="AH460">
        <v>0</v>
      </c>
      <c r="AI460">
        <v>0</v>
      </c>
      <c r="AJ460">
        <v>0</v>
      </c>
      <c r="AK460">
        <v>0</v>
      </c>
      <c r="AL460">
        <v>13</v>
      </c>
      <c r="AM460">
        <v>5</v>
      </c>
      <c r="AN460">
        <v>5</v>
      </c>
      <c r="AO460">
        <v>18</v>
      </c>
      <c r="AP460">
        <v>59</v>
      </c>
      <c r="AQ460" s="21">
        <v>0</v>
      </c>
      <c r="AR460" s="12">
        <f t="shared" si="70"/>
        <v>100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 s="6">
        <f t="shared" si="69"/>
        <v>0</v>
      </c>
      <c r="BM460" s="6">
        <f t="shared" si="68"/>
        <v>0</v>
      </c>
      <c r="BN460">
        <v>0</v>
      </c>
      <c r="BO460">
        <f t="shared" si="65"/>
        <v>0</v>
      </c>
      <c r="BP460">
        <v>0</v>
      </c>
      <c r="BQ460">
        <f>SUM(BP460,BB460,BK460)</f>
        <v>0</v>
      </c>
      <c r="BR460">
        <f t="shared" si="66"/>
        <v>0</v>
      </c>
    </row>
    <row r="461" spans="1:70" hidden="1">
      <c r="A461" s="16" t="str">
        <f t="shared" si="67"/>
        <v>RP_2025_NPZ_1_5</v>
      </c>
      <c r="B461" t="s">
        <v>59</v>
      </c>
      <c r="C461">
        <v>42.716659999999997</v>
      </c>
      <c r="D461">
        <v>-124.467</v>
      </c>
      <c r="E461" s="8">
        <v>45832</v>
      </c>
      <c r="F461">
        <v>2025</v>
      </c>
      <c r="G461" t="s">
        <v>56</v>
      </c>
      <c r="H461" t="s">
        <v>48</v>
      </c>
      <c r="I461">
        <v>1</v>
      </c>
      <c r="J461">
        <v>5</v>
      </c>
      <c r="K461" t="s">
        <v>47</v>
      </c>
      <c r="L461" s="23">
        <v>45</v>
      </c>
      <c r="M461" s="23">
        <v>0</v>
      </c>
      <c r="N461" s="23">
        <v>7</v>
      </c>
      <c r="O461" s="23">
        <v>38</v>
      </c>
      <c r="P461" s="23">
        <v>6</v>
      </c>
      <c r="Q461" s="23" t="s">
        <v>44</v>
      </c>
      <c r="R461" s="23">
        <v>0</v>
      </c>
      <c r="S461" s="23">
        <v>0</v>
      </c>
      <c r="T461" s="23">
        <v>0</v>
      </c>
      <c r="U461" s="23">
        <v>0</v>
      </c>
      <c r="AG461" s="34">
        <v>37</v>
      </c>
      <c r="AH461">
        <v>0</v>
      </c>
      <c r="AI461">
        <v>15</v>
      </c>
      <c r="AJ461">
        <v>1</v>
      </c>
      <c r="AK461">
        <v>0</v>
      </c>
      <c r="AL461">
        <v>15</v>
      </c>
      <c r="AM461">
        <v>9</v>
      </c>
      <c r="AN461">
        <v>7</v>
      </c>
      <c r="AO461">
        <v>15</v>
      </c>
      <c r="AP461">
        <v>38</v>
      </c>
      <c r="AQ461" s="21">
        <f t="shared" si="64"/>
        <v>1</v>
      </c>
      <c r="AR461" s="12">
        <f t="shared" si="70"/>
        <v>100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 s="6">
        <f t="shared" si="69"/>
        <v>0</v>
      </c>
      <c r="BM461" s="6">
        <f t="shared" si="68"/>
        <v>0</v>
      </c>
      <c r="BN461">
        <v>15</v>
      </c>
      <c r="BO461">
        <f t="shared" si="65"/>
        <v>15</v>
      </c>
      <c r="BP461">
        <v>1</v>
      </c>
      <c r="BQ461">
        <f>SUM(BP461,BB461,BK461)</f>
        <v>1</v>
      </c>
      <c r="BR461">
        <f t="shared" si="66"/>
        <v>0</v>
      </c>
    </row>
    <row r="462" spans="1:70" hidden="1">
      <c r="A462" s="16" t="str">
        <f t="shared" si="67"/>
        <v>RP_2025_NPZ_2_1</v>
      </c>
      <c r="B462" t="s">
        <v>59</v>
      </c>
      <c r="C462">
        <v>42.716659999999997</v>
      </c>
      <c r="D462">
        <v>-124.467</v>
      </c>
      <c r="E462" s="8">
        <v>45832</v>
      </c>
      <c r="F462">
        <v>2025</v>
      </c>
      <c r="G462" t="s">
        <v>56</v>
      </c>
      <c r="H462" t="s">
        <v>48</v>
      </c>
      <c r="I462">
        <v>2</v>
      </c>
      <c r="J462">
        <v>1</v>
      </c>
      <c r="K462" t="s">
        <v>47</v>
      </c>
      <c r="L462" s="23">
        <v>33</v>
      </c>
      <c r="M462" s="23">
        <v>0</v>
      </c>
      <c r="N462" s="23">
        <v>8</v>
      </c>
      <c r="O462" s="23">
        <v>25</v>
      </c>
      <c r="P462" s="23">
        <v>10</v>
      </c>
      <c r="Q462" s="23" t="s">
        <v>44</v>
      </c>
      <c r="R462" s="23" t="s">
        <v>44</v>
      </c>
      <c r="S462" s="23">
        <v>0</v>
      </c>
      <c r="T462" s="23">
        <v>0</v>
      </c>
      <c r="U462" s="23">
        <v>0</v>
      </c>
      <c r="AG462" s="34">
        <v>42</v>
      </c>
      <c r="AH462">
        <v>0</v>
      </c>
      <c r="AI462">
        <v>0</v>
      </c>
      <c r="AJ462">
        <v>0</v>
      </c>
      <c r="AK462">
        <v>0</v>
      </c>
      <c r="AL462">
        <v>43</v>
      </c>
      <c r="AM462">
        <v>0</v>
      </c>
      <c r="AN462">
        <v>4</v>
      </c>
      <c r="AO462">
        <v>15</v>
      </c>
      <c r="AP462">
        <v>38</v>
      </c>
      <c r="AQ462" s="21">
        <f t="shared" si="64"/>
        <v>-4</v>
      </c>
      <c r="AR462" s="12">
        <f t="shared" si="70"/>
        <v>100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 s="6">
        <f t="shared" si="69"/>
        <v>0</v>
      </c>
      <c r="BM462" s="6">
        <f t="shared" si="68"/>
        <v>0</v>
      </c>
      <c r="BN462">
        <v>0</v>
      </c>
      <c r="BO462">
        <f t="shared" si="65"/>
        <v>0</v>
      </c>
      <c r="BP462">
        <v>0</v>
      </c>
      <c r="BQ462">
        <f>SUM(BP462,BB462,BK462)</f>
        <v>0</v>
      </c>
      <c r="BR462">
        <f t="shared" si="66"/>
        <v>0</v>
      </c>
    </row>
    <row r="463" spans="1:70" hidden="1">
      <c r="A463" s="16" t="str">
        <f t="shared" si="67"/>
        <v>RP_2025_NPZ_2_2</v>
      </c>
      <c r="B463" t="s">
        <v>59</v>
      </c>
      <c r="C463">
        <v>42.716659999999997</v>
      </c>
      <c r="D463">
        <v>-124.467</v>
      </c>
      <c r="E463" s="8">
        <v>45832</v>
      </c>
      <c r="F463">
        <v>2025</v>
      </c>
      <c r="G463" t="s">
        <v>56</v>
      </c>
      <c r="H463" t="s">
        <v>48</v>
      </c>
      <c r="I463">
        <v>2</v>
      </c>
      <c r="J463">
        <v>2</v>
      </c>
      <c r="K463" t="s">
        <v>47</v>
      </c>
      <c r="L463" s="23">
        <v>23</v>
      </c>
      <c r="M463" s="23">
        <v>1</v>
      </c>
      <c r="N463" s="23">
        <v>20</v>
      </c>
      <c r="O463" s="23">
        <v>2</v>
      </c>
      <c r="P463" s="23">
        <v>6</v>
      </c>
      <c r="Q463" s="23" t="s">
        <v>44</v>
      </c>
      <c r="R463" s="23" t="s">
        <v>44</v>
      </c>
      <c r="S463" s="23">
        <v>0</v>
      </c>
      <c r="T463" s="23">
        <v>0</v>
      </c>
      <c r="U463" s="23">
        <v>1</v>
      </c>
      <c r="AG463" s="34">
        <v>17</v>
      </c>
      <c r="AH463">
        <v>0</v>
      </c>
      <c r="AI463">
        <v>0</v>
      </c>
      <c r="AJ463">
        <v>0</v>
      </c>
      <c r="AK463">
        <v>0</v>
      </c>
      <c r="AL463">
        <v>53</v>
      </c>
      <c r="AM463">
        <v>9</v>
      </c>
      <c r="AN463">
        <v>2</v>
      </c>
      <c r="AO463">
        <v>2</v>
      </c>
      <c r="AP463">
        <v>34</v>
      </c>
      <c r="AQ463" s="21">
        <f t="shared" si="64"/>
        <v>17</v>
      </c>
      <c r="AR463" s="12">
        <f t="shared" si="70"/>
        <v>100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 s="6">
        <f t="shared" si="69"/>
        <v>0</v>
      </c>
      <c r="BM463" s="6">
        <f t="shared" si="68"/>
        <v>0</v>
      </c>
      <c r="BN463">
        <v>0</v>
      </c>
      <c r="BO463">
        <f t="shared" si="65"/>
        <v>0</v>
      </c>
      <c r="BP463">
        <v>0</v>
      </c>
      <c r="BQ463">
        <f>SUM(BP463,BB463,BK463)</f>
        <v>0</v>
      </c>
      <c r="BR463">
        <f t="shared" si="66"/>
        <v>0</v>
      </c>
    </row>
    <row r="464" spans="1:70" hidden="1">
      <c r="A464" s="16" t="str">
        <f t="shared" si="67"/>
        <v>RP_2025_NPZ_2_3</v>
      </c>
      <c r="B464" t="s">
        <v>59</v>
      </c>
      <c r="C464">
        <v>42.716659999999997</v>
      </c>
      <c r="D464">
        <v>-124.467</v>
      </c>
      <c r="E464" s="8">
        <v>45832</v>
      </c>
      <c r="F464">
        <v>2025</v>
      </c>
      <c r="G464" t="s">
        <v>56</v>
      </c>
      <c r="H464" t="s">
        <v>48</v>
      </c>
      <c r="I464">
        <v>2</v>
      </c>
      <c r="J464">
        <v>3</v>
      </c>
      <c r="K464" t="s">
        <v>47</v>
      </c>
      <c r="L464" s="23">
        <v>28</v>
      </c>
      <c r="M464" s="23">
        <v>1</v>
      </c>
      <c r="N464" s="23">
        <v>2</v>
      </c>
      <c r="O464" s="23">
        <v>25</v>
      </c>
      <c r="P464" s="23">
        <v>16</v>
      </c>
      <c r="Q464" s="23" t="s">
        <v>44</v>
      </c>
      <c r="R464" s="23" t="s">
        <v>44</v>
      </c>
      <c r="S464" s="23">
        <v>0</v>
      </c>
      <c r="T464" s="23">
        <v>0</v>
      </c>
      <c r="U464" s="23">
        <v>1</v>
      </c>
      <c r="AG464" s="34">
        <v>37</v>
      </c>
      <c r="AH464">
        <v>0</v>
      </c>
      <c r="AI464">
        <v>0</v>
      </c>
      <c r="AJ464">
        <v>0</v>
      </c>
      <c r="AK464">
        <v>0</v>
      </c>
      <c r="AL464">
        <v>45</v>
      </c>
      <c r="AM464">
        <v>0</v>
      </c>
      <c r="AN464">
        <v>2</v>
      </c>
      <c r="AO464">
        <v>11</v>
      </c>
      <c r="AP464">
        <v>42</v>
      </c>
      <c r="AQ464" s="21">
        <f t="shared" si="64"/>
        <v>5</v>
      </c>
      <c r="AR464" s="12">
        <f t="shared" si="70"/>
        <v>100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 s="6">
        <f t="shared" si="69"/>
        <v>0</v>
      </c>
      <c r="BM464" s="6">
        <f t="shared" si="68"/>
        <v>0</v>
      </c>
      <c r="BN464">
        <v>0</v>
      </c>
      <c r="BO464">
        <f t="shared" si="65"/>
        <v>0</v>
      </c>
      <c r="BP464">
        <v>0</v>
      </c>
      <c r="BQ464">
        <f>SUM(BP464,BB464,BK464)</f>
        <v>0</v>
      </c>
      <c r="BR464">
        <f t="shared" si="66"/>
        <v>0</v>
      </c>
    </row>
    <row r="465" spans="1:70" hidden="1">
      <c r="A465" s="16" t="str">
        <f t="shared" si="67"/>
        <v>RP_2025_NPZ_2_4</v>
      </c>
      <c r="B465" t="s">
        <v>59</v>
      </c>
      <c r="C465">
        <v>42.716659999999997</v>
      </c>
      <c r="D465">
        <v>-124.467</v>
      </c>
      <c r="E465" s="8">
        <v>45832</v>
      </c>
      <c r="F465">
        <v>2025</v>
      </c>
      <c r="G465" t="s">
        <v>56</v>
      </c>
      <c r="H465" t="s">
        <v>48</v>
      </c>
      <c r="I465">
        <v>2</v>
      </c>
      <c r="J465">
        <v>4</v>
      </c>
      <c r="K465" t="s">
        <v>47</v>
      </c>
      <c r="L465" s="23">
        <v>54</v>
      </c>
      <c r="M465" s="23">
        <v>10</v>
      </c>
      <c r="N465" s="23">
        <v>2</v>
      </c>
      <c r="O465" s="23">
        <v>32</v>
      </c>
      <c r="P465" s="23">
        <v>15</v>
      </c>
      <c r="Q465" s="23">
        <v>2</v>
      </c>
      <c r="R465" s="23" t="s">
        <v>44</v>
      </c>
      <c r="S465" s="23">
        <v>0</v>
      </c>
      <c r="T465" s="23">
        <v>0</v>
      </c>
      <c r="U465" s="23">
        <v>0</v>
      </c>
      <c r="AG465" s="34">
        <v>69</v>
      </c>
      <c r="AH465">
        <v>0</v>
      </c>
      <c r="AI465">
        <v>0</v>
      </c>
      <c r="AJ465">
        <v>0</v>
      </c>
      <c r="AK465">
        <v>0</v>
      </c>
      <c r="AL465">
        <v>12</v>
      </c>
      <c r="AM465">
        <v>0</v>
      </c>
      <c r="AN465">
        <v>2</v>
      </c>
      <c r="AO465">
        <v>29</v>
      </c>
      <c r="AP465">
        <v>57</v>
      </c>
      <c r="AQ465" s="21">
        <f t="shared" si="64"/>
        <v>-12</v>
      </c>
      <c r="AR465" s="12">
        <f t="shared" si="70"/>
        <v>100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 s="6">
        <f t="shared" si="69"/>
        <v>0</v>
      </c>
      <c r="BM465" s="6">
        <f t="shared" si="68"/>
        <v>0</v>
      </c>
      <c r="BN465">
        <v>0</v>
      </c>
      <c r="BO465">
        <f t="shared" si="65"/>
        <v>0</v>
      </c>
      <c r="BP465">
        <v>0</v>
      </c>
      <c r="BQ465">
        <f>SUM(BP465,BB465,BK465)</f>
        <v>0</v>
      </c>
      <c r="BR465">
        <f t="shared" si="66"/>
        <v>0</v>
      </c>
    </row>
    <row r="466" spans="1:70" hidden="1">
      <c r="A466" s="16" t="str">
        <f t="shared" si="67"/>
        <v>RP_2025_NPZ_2_5</v>
      </c>
      <c r="B466" t="s">
        <v>59</v>
      </c>
      <c r="C466">
        <v>42.716659999999997</v>
      </c>
      <c r="D466">
        <v>-124.467</v>
      </c>
      <c r="E466" s="8">
        <v>45832</v>
      </c>
      <c r="F466">
        <v>2025</v>
      </c>
      <c r="G466" t="s">
        <v>56</v>
      </c>
      <c r="H466" t="s">
        <v>48</v>
      </c>
      <c r="I466">
        <v>2</v>
      </c>
      <c r="J466">
        <v>5</v>
      </c>
      <c r="K466" t="s">
        <v>47</v>
      </c>
      <c r="L466" s="23">
        <v>27</v>
      </c>
      <c r="M466" s="23">
        <v>5</v>
      </c>
      <c r="N466" s="23">
        <v>4</v>
      </c>
      <c r="O466" s="23">
        <v>18</v>
      </c>
      <c r="P466" s="23">
        <v>17</v>
      </c>
      <c r="Q466" s="23">
        <v>4</v>
      </c>
      <c r="R466" s="23" t="s">
        <v>44</v>
      </c>
      <c r="S466" s="23">
        <v>0</v>
      </c>
      <c r="T466" s="23">
        <v>0</v>
      </c>
      <c r="U466" s="23">
        <v>0</v>
      </c>
      <c r="AG466" s="34">
        <v>40</v>
      </c>
      <c r="AH466">
        <v>5</v>
      </c>
      <c r="AI466">
        <v>0</v>
      </c>
      <c r="AJ466">
        <v>0</v>
      </c>
      <c r="AK466">
        <v>0</v>
      </c>
      <c r="AL466">
        <v>21</v>
      </c>
      <c r="AM466">
        <v>2</v>
      </c>
      <c r="AN466">
        <v>2</v>
      </c>
      <c r="AO466">
        <v>19</v>
      </c>
      <c r="AP466">
        <v>51</v>
      </c>
      <c r="AQ466" s="21">
        <f t="shared" si="64"/>
        <v>11</v>
      </c>
      <c r="AR466" s="12">
        <f t="shared" si="70"/>
        <v>100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 s="6">
        <f t="shared" si="69"/>
        <v>11</v>
      </c>
      <c r="BM466" s="6">
        <f t="shared" si="68"/>
        <v>11</v>
      </c>
      <c r="BN466">
        <v>0</v>
      </c>
      <c r="BO466">
        <f t="shared" si="65"/>
        <v>0</v>
      </c>
      <c r="BP466">
        <v>0</v>
      </c>
      <c r="BQ466">
        <f>SUM(BP466,BB466,BK466)</f>
        <v>0</v>
      </c>
      <c r="BR466">
        <f t="shared" si="66"/>
        <v>0</v>
      </c>
    </row>
    <row r="467" spans="1:70" hidden="1">
      <c r="A467" s="16" t="str">
        <f t="shared" si="67"/>
        <v>RP_2025_UPZ_1_1</v>
      </c>
      <c r="B467" t="s">
        <v>59</v>
      </c>
      <c r="C467">
        <v>42.716659999999997</v>
      </c>
      <c r="D467">
        <v>-124.467</v>
      </c>
      <c r="E467" s="8">
        <v>45832</v>
      </c>
      <c r="F467">
        <v>2025</v>
      </c>
      <c r="G467" t="s">
        <v>56</v>
      </c>
      <c r="H467" t="s">
        <v>45</v>
      </c>
      <c r="I467">
        <v>1</v>
      </c>
      <c r="J467">
        <v>1</v>
      </c>
      <c r="K467" t="s">
        <v>46</v>
      </c>
      <c r="L467" s="23">
        <v>17</v>
      </c>
      <c r="M467" s="23">
        <v>5</v>
      </c>
      <c r="N467" s="23">
        <v>16</v>
      </c>
      <c r="O467" s="23">
        <v>1</v>
      </c>
      <c r="P467" s="23">
        <v>16</v>
      </c>
      <c r="Q467" s="23" t="s">
        <v>44</v>
      </c>
      <c r="R467" s="23">
        <v>5</v>
      </c>
      <c r="S467" s="23">
        <v>0</v>
      </c>
      <c r="T467" s="23">
        <v>1</v>
      </c>
      <c r="U467" s="23">
        <v>6</v>
      </c>
      <c r="AG467" s="34">
        <v>22</v>
      </c>
      <c r="AH467">
        <v>2</v>
      </c>
      <c r="AI467">
        <v>24</v>
      </c>
      <c r="AJ467">
        <v>0</v>
      </c>
      <c r="AK467">
        <v>0</v>
      </c>
      <c r="AL467">
        <v>28</v>
      </c>
      <c r="AM467">
        <v>11</v>
      </c>
      <c r="AN467">
        <v>9</v>
      </c>
      <c r="AO467">
        <v>0</v>
      </c>
      <c r="AP467">
        <v>26</v>
      </c>
      <c r="AQ467" s="21">
        <f t="shared" si="64"/>
        <v>4</v>
      </c>
      <c r="AR467" s="12">
        <f t="shared" si="70"/>
        <v>100</v>
      </c>
      <c r="AS467">
        <v>0</v>
      </c>
      <c r="AT467">
        <v>32</v>
      </c>
      <c r="AU467">
        <v>0</v>
      </c>
      <c r="AV467">
        <v>0</v>
      </c>
      <c r="AW467">
        <v>0</v>
      </c>
      <c r="AX467">
        <v>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 s="6">
        <f t="shared" si="69"/>
        <v>35</v>
      </c>
      <c r="BM467" s="6">
        <f t="shared" si="68"/>
        <v>35</v>
      </c>
      <c r="BN467">
        <v>24</v>
      </c>
      <c r="BO467">
        <f t="shared" si="65"/>
        <v>24</v>
      </c>
      <c r="BP467">
        <v>0</v>
      </c>
      <c r="BQ467">
        <f>SUM(BP467,BB467,BK467)</f>
        <v>0</v>
      </c>
      <c r="BR467">
        <f t="shared" si="66"/>
        <v>0</v>
      </c>
    </row>
    <row r="468" spans="1:70" hidden="1">
      <c r="A468" s="16" t="str">
        <f t="shared" si="67"/>
        <v>RP_2025_UPZ_1_2</v>
      </c>
      <c r="B468" t="s">
        <v>59</v>
      </c>
      <c r="C468">
        <v>42.716659999999997</v>
      </c>
      <c r="D468">
        <v>-124.467</v>
      </c>
      <c r="E468" s="8">
        <v>45832</v>
      </c>
      <c r="F468">
        <v>2025</v>
      </c>
      <c r="G468" t="s">
        <v>56</v>
      </c>
      <c r="H468" t="s">
        <v>45</v>
      </c>
      <c r="I468">
        <v>1</v>
      </c>
      <c r="J468">
        <v>2</v>
      </c>
      <c r="K468" t="s">
        <v>46</v>
      </c>
      <c r="L468" s="23">
        <v>12</v>
      </c>
      <c r="M468" s="23">
        <v>12</v>
      </c>
      <c r="N468" s="23">
        <v>0</v>
      </c>
      <c r="O468" s="23">
        <v>0</v>
      </c>
      <c r="P468" s="23">
        <v>12</v>
      </c>
      <c r="Q468" s="23" t="s">
        <v>44</v>
      </c>
      <c r="R468" s="23">
        <v>0</v>
      </c>
      <c r="S468" s="23">
        <v>0</v>
      </c>
      <c r="T468" s="23">
        <v>2</v>
      </c>
      <c r="U468" s="23">
        <v>14</v>
      </c>
      <c r="AG468" s="34">
        <v>7</v>
      </c>
      <c r="AH468">
        <v>10</v>
      </c>
      <c r="AI468">
        <v>64</v>
      </c>
      <c r="AJ468">
        <v>0</v>
      </c>
      <c r="AK468">
        <v>0</v>
      </c>
      <c r="AL468">
        <v>15</v>
      </c>
      <c r="AM468">
        <v>2</v>
      </c>
      <c r="AN468">
        <v>1</v>
      </c>
      <c r="AO468">
        <v>0</v>
      </c>
      <c r="AP468">
        <v>8</v>
      </c>
      <c r="AQ468" s="21">
        <f t="shared" si="64"/>
        <v>1</v>
      </c>
      <c r="AR468" s="12">
        <f t="shared" si="70"/>
        <v>100</v>
      </c>
      <c r="AS468">
        <v>0</v>
      </c>
      <c r="AT468">
        <v>23</v>
      </c>
      <c r="AU468">
        <v>0</v>
      </c>
      <c r="AV468">
        <v>0</v>
      </c>
      <c r="AW468">
        <v>6</v>
      </c>
      <c r="AX468">
        <v>8</v>
      </c>
      <c r="AY468">
        <v>0</v>
      </c>
      <c r="AZ468">
        <v>0</v>
      </c>
      <c r="BA468">
        <v>0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 s="6">
        <f t="shared" si="69"/>
        <v>39</v>
      </c>
      <c r="BM468" s="6">
        <f t="shared" si="68"/>
        <v>39</v>
      </c>
      <c r="BN468">
        <v>64</v>
      </c>
      <c r="BO468">
        <f t="shared" si="65"/>
        <v>64</v>
      </c>
      <c r="BP468">
        <v>0</v>
      </c>
      <c r="BQ468">
        <f>SUM(BP468,BB468,BK468)</f>
        <v>0</v>
      </c>
      <c r="BR468">
        <f t="shared" si="66"/>
        <v>0</v>
      </c>
    </row>
    <row r="469" spans="1:70" hidden="1">
      <c r="A469" s="16" t="str">
        <f t="shared" si="67"/>
        <v>RP_2025_UPZ_1_3</v>
      </c>
      <c r="B469" t="s">
        <v>59</v>
      </c>
      <c r="C469">
        <v>42.716659999999997</v>
      </c>
      <c r="D469">
        <v>-124.467</v>
      </c>
      <c r="E469" s="8">
        <v>45832</v>
      </c>
      <c r="F469">
        <v>2025</v>
      </c>
      <c r="G469" t="s">
        <v>56</v>
      </c>
      <c r="H469" t="s">
        <v>45</v>
      </c>
      <c r="I469">
        <v>1</v>
      </c>
      <c r="J469">
        <v>3</v>
      </c>
      <c r="K469" t="s">
        <v>47</v>
      </c>
      <c r="L469" s="23">
        <v>26</v>
      </c>
      <c r="M469" s="23">
        <v>1</v>
      </c>
      <c r="N469" s="23">
        <v>5</v>
      </c>
      <c r="O469" s="23">
        <v>20</v>
      </c>
      <c r="P469" s="23">
        <v>0</v>
      </c>
      <c r="Q469" s="23" t="s">
        <v>44</v>
      </c>
      <c r="R469" s="23">
        <v>0</v>
      </c>
      <c r="S469" s="23">
        <v>0</v>
      </c>
      <c r="T469" s="23">
        <v>0</v>
      </c>
      <c r="U469" s="23">
        <v>1</v>
      </c>
      <c r="AG469" s="34">
        <v>30</v>
      </c>
      <c r="AH469">
        <v>2</v>
      </c>
      <c r="AI469">
        <v>20</v>
      </c>
      <c r="AJ469">
        <v>0</v>
      </c>
      <c r="AK469">
        <v>0</v>
      </c>
      <c r="AL469">
        <v>21</v>
      </c>
      <c r="AM469">
        <v>3</v>
      </c>
      <c r="AN469">
        <v>5</v>
      </c>
      <c r="AO469">
        <v>3</v>
      </c>
      <c r="AP469">
        <v>46</v>
      </c>
      <c r="AQ469" s="21">
        <f t="shared" si="64"/>
        <v>16</v>
      </c>
      <c r="AR469" s="12">
        <f t="shared" si="70"/>
        <v>100</v>
      </c>
      <c r="AS469">
        <v>0</v>
      </c>
      <c r="AT469">
        <v>14</v>
      </c>
      <c r="AU469">
        <v>0</v>
      </c>
      <c r="AV469">
        <v>0</v>
      </c>
      <c r="AW469">
        <v>0</v>
      </c>
      <c r="AX469">
        <v>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 s="6">
        <f t="shared" si="69"/>
        <v>21</v>
      </c>
      <c r="BM469" s="6">
        <f t="shared" si="68"/>
        <v>21</v>
      </c>
      <c r="BN469">
        <v>20</v>
      </c>
      <c r="BO469">
        <f t="shared" si="65"/>
        <v>20</v>
      </c>
      <c r="BP469">
        <v>0</v>
      </c>
      <c r="BQ469">
        <f>SUM(BP469,BB469,BK469)</f>
        <v>0</v>
      </c>
      <c r="BR469">
        <f t="shared" si="66"/>
        <v>0</v>
      </c>
    </row>
    <row r="470" spans="1:70" hidden="1">
      <c r="A470" s="16" t="str">
        <f t="shared" si="67"/>
        <v>RP_2025_UPZ_1_4</v>
      </c>
      <c r="B470" t="s">
        <v>59</v>
      </c>
      <c r="C470">
        <v>42.716659999999997</v>
      </c>
      <c r="D470">
        <v>-124.467</v>
      </c>
      <c r="E470" s="8">
        <v>45832</v>
      </c>
      <c r="F470">
        <v>2025</v>
      </c>
      <c r="G470" t="s">
        <v>56</v>
      </c>
      <c r="H470" t="s">
        <v>45</v>
      </c>
      <c r="I470">
        <v>1</v>
      </c>
      <c r="J470">
        <v>4</v>
      </c>
      <c r="K470" t="s">
        <v>46</v>
      </c>
      <c r="L470" s="23">
        <v>6</v>
      </c>
      <c r="M470" s="23">
        <v>6</v>
      </c>
      <c r="N470" s="23">
        <v>0</v>
      </c>
      <c r="O470" s="23">
        <v>0</v>
      </c>
      <c r="P470" s="23">
        <v>6</v>
      </c>
      <c r="Q470" s="23" t="s">
        <v>44</v>
      </c>
      <c r="R470" s="23">
        <v>0</v>
      </c>
      <c r="S470" s="23">
        <v>0</v>
      </c>
      <c r="T470" s="23">
        <v>1</v>
      </c>
      <c r="U470" s="23">
        <v>7</v>
      </c>
      <c r="V470" s="18">
        <v>5</v>
      </c>
      <c r="W470" s="18">
        <v>4.5</v>
      </c>
      <c r="X470" s="18">
        <v>4</v>
      </c>
      <c r="Y470" s="18">
        <v>3.5</v>
      </c>
      <c r="Z470" s="18">
        <v>3</v>
      </c>
      <c r="AG470" s="34">
        <v>5</v>
      </c>
      <c r="AH470">
        <v>21</v>
      </c>
      <c r="AI470">
        <v>15</v>
      </c>
      <c r="AJ470">
        <v>0</v>
      </c>
      <c r="AK470">
        <v>0</v>
      </c>
      <c r="AL470">
        <v>48</v>
      </c>
      <c r="AM470">
        <v>7</v>
      </c>
      <c r="AN470">
        <v>4</v>
      </c>
      <c r="AO470">
        <v>0</v>
      </c>
      <c r="AP470">
        <v>5</v>
      </c>
      <c r="AQ470" s="21">
        <f t="shared" si="64"/>
        <v>0</v>
      </c>
      <c r="AR470" s="12">
        <f t="shared" si="70"/>
        <v>100</v>
      </c>
      <c r="AS470">
        <v>0</v>
      </c>
      <c r="AT470">
        <v>70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 s="6">
        <f t="shared" si="69"/>
        <v>70</v>
      </c>
      <c r="BM470" s="6">
        <f t="shared" si="68"/>
        <v>70</v>
      </c>
      <c r="BN470">
        <v>15</v>
      </c>
      <c r="BO470">
        <f t="shared" si="65"/>
        <v>15</v>
      </c>
      <c r="BP470">
        <v>0</v>
      </c>
      <c r="BQ470">
        <f>SUM(BP470,BB470,BK470)</f>
        <v>0</v>
      </c>
      <c r="BR470">
        <f t="shared" si="66"/>
        <v>0</v>
      </c>
    </row>
    <row r="471" spans="1:70" hidden="1">
      <c r="A471" s="16" t="str">
        <f t="shared" si="67"/>
        <v>RP_2025_UPZ_1_5</v>
      </c>
      <c r="B471" t="s">
        <v>59</v>
      </c>
      <c r="C471">
        <v>42.716659999999997</v>
      </c>
      <c r="D471">
        <v>-124.467</v>
      </c>
      <c r="E471" s="8">
        <v>45832</v>
      </c>
      <c r="F471">
        <v>2025</v>
      </c>
      <c r="G471" t="s">
        <v>56</v>
      </c>
      <c r="H471" t="s">
        <v>45</v>
      </c>
      <c r="I471">
        <v>1</v>
      </c>
      <c r="J471">
        <v>5</v>
      </c>
      <c r="K471" t="s">
        <v>46</v>
      </c>
      <c r="L471" s="23">
        <v>17</v>
      </c>
      <c r="M471" s="23">
        <v>2</v>
      </c>
      <c r="N471" s="23">
        <v>15</v>
      </c>
      <c r="O471" s="23">
        <v>0</v>
      </c>
      <c r="P471" s="23">
        <v>13</v>
      </c>
      <c r="Q471" s="23" t="s">
        <v>44</v>
      </c>
      <c r="R471" s="23">
        <v>3</v>
      </c>
      <c r="S471" s="23">
        <v>0</v>
      </c>
      <c r="T471" s="23">
        <v>1</v>
      </c>
      <c r="U471" s="23">
        <v>3</v>
      </c>
      <c r="AG471" s="34">
        <v>10</v>
      </c>
      <c r="AH471">
        <v>8</v>
      </c>
      <c r="AI471">
        <v>10</v>
      </c>
      <c r="AJ471">
        <v>1</v>
      </c>
      <c r="AK471">
        <v>0</v>
      </c>
      <c r="AL471">
        <v>12</v>
      </c>
      <c r="AM471">
        <v>18</v>
      </c>
      <c r="AN471">
        <v>16</v>
      </c>
      <c r="AO471">
        <v>1</v>
      </c>
      <c r="AP471">
        <v>34</v>
      </c>
      <c r="AQ471" s="21">
        <f t="shared" si="64"/>
        <v>24</v>
      </c>
      <c r="AR471" s="12">
        <f t="shared" si="70"/>
        <v>100</v>
      </c>
      <c r="AS471">
        <v>0</v>
      </c>
      <c r="AT471">
        <v>73</v>
      </c>
      <c r="AU471">
        <v>0</v>
      </c>
      <c r="AV471">
        <v>0</v>
      </c>
      <c r="AW471">
        <v>0</v>
      </c>
      <c r="AX471">
        <v>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 s="6">
        <f t="shared" si="69"/>
        <v>78</v>
      </c>
      <c r="BM471" s="6">
        <f t="shared" si="68"/>
        <v>78</v>
      </c>
      <c r="BN471">
        <v>10</v>
      </c>
      <c r="BO471">
        <f t="shared" si="65"/>
        <v>10</v>
      </c>
      <c r="BP471">
        <v>1</v>
      </c>
      <c r="BQ471">
        <f>SUM(BP471,BB471,BK471)</f>
        <v>1</v>
      </c>
      <c r="BR471">
        <f t="shared" si="66"/>
        <v>0</v>
      </c>
    </row>
    <row r="472" spans="1:70" hidden="1">
      <c r="A472" s="16" t="str">
        <f t="shared" si="67"/>
        <v>RP_2025_UPZ_2_1</v>
      </c>
      <c r="B472" t="s">
        <v>59</v>
      </c>
      <c r="C472">
        <v>42.716659999999997</v>
      </c>
      <c r="D472">
        <v>-124.467</v>
      </c>
      <c r="E472" s="8">
        <v>45832</v>
      </c>
      <c r="F472">
        <v>2025</v>
      </c>
      <c r="G472" t="s">
        <v>56</v>
      </c>
      <c r="H472" t="s">
        <v>45</v>
      </c>
      <c r="I472">
        <v>2</v>
      </c>
      <c r="J472">
        <v>1</v>
      </c>
      <c r="K472" t="s">
        <v>51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 t="s">
        <v>44</v>
      </c>
      <c r="R472" s="23">
        <v>0</v>
      </c>
      <c r="S472" s="23">
        <v>0</v>
      </c>
      <c r="T472" s="23">
        <v>0</v>
      </c>
      <c r="U472" s="23">
        <v>0</v>
      </c>
      <c r="AG472" s="34">
        <v>0</v>
      </c>
      <c r="AH472">
        <v>17</v>
      </c>
      <c r="AI472">
        <v>16</v>
      </c>
      <c r="AJ472">
        <v>0</v>
      </c>
      <c r="AK472">
        <v>0</v>
      </c>
      <c r="AL472">
        <v>11</v>
      </c>
      <c r="AM472">
        <v>51</v>
      </c>
      <c r="AN472">
        <v>0.1</v>
      </c>
      <c r="AO472">
        <v>0</v>
      </c>
      <c r="AP472">
        <v>5</v>
      </c>
      <c r="AQ472" s="21">
        <f t="shared" si="64"/>
        <v>5</v>
      </c>
      <c r="AR472" s="12">
        <f t="shared" si="70"/>
        <v>100.1</v>
      </c>
      <c r="AS472">
        <v>0</v>
      </c>
      <c r="AT472">
        <v>63</v>
      </c>
      <c r="AU472">
        <v>0</v>
      </c>
      <c r="AV472">
        <v>0</v>
      </c>
      <c r="AW472">
        <v>0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 s="6">
        <f t="shared" si="69"/>
        <v>66</v>
      </c>
      <c r="BM472" s="6">
        <f t="shared" si="68"/>
        <v>66</v>
      </c>
      <c r="BN472">
        <v>16</v>
      </c>
      <c r="BO472">
        <f t="shared" si="65"/>
        <v>16</v>
      </c>
      <c r="BP472">
        <v>0</v>
      </c>
      <c r="BQ472">
        <f>SUM(BP472,BB472,BK472)</f>
        <v>0</v>
      </c>
      <c r="BR472">
        <f t="shared" si="66"/>
        <v>0</v>
      </c>
    </row>
    <row r="473" spans="1:70" hidden="1">
      <c r="A473" s="16" t="str">
        <f t="shared" si="67"/>
        <v>RP_2025_UPZ_2_2</v>
      </c>
      <c r="B473" t="s">
        <v>59</v>
      </c>
      <c r="C473">
        <v>42.716659999999997</v>
      </c>
      <c r="D473">
        <v>-124.467</v>
      </c>
      <c r="E473" s="8">
        <v>45832</v>
      </c>
      <c r="F473">
        <v>2025</v>
      </c>
      <c r="G473" t="s">
        <v>56</v>
      </c>
      <c r="H473" t="s">
        <v>45</v>
      </c>
      <c r="I473">
        <v>2</v>
      </c>
      <c r="J473">
        <v>2</v>
      </c>
      <c r="K473" t="s">
        <v>46</v>
      </c>
      <c r="L473" s="23">
        <v>36</v>
      </c>
      <c r="M473" s="23">
        <v>14</v>
      </c>
      <c r="N473" s="23">
        <v>18</v>
      </c>
      <c r="O473" s="23">
        <v>4</v>
      </c>
      <c r="P473" s="23">
        <v>18</v>
      </c>
      <c r="Q473" s="23" t="s">
        <v>44</v>
      </c>
      <c r="R473" s="23">
        <v>6</v>
      </c>
      <c r="S473" s="23">
        <v>0</v>
      </c>
      <c r="T473" s="23">
        <v>2</v>
      </c>
      <c r="U473" s="23">
        <v>16</v>
      </c>
      <c r="AG473" s="34">
        <v>25</v>
      </c>
      <c r="AH473">
        <v>10</v>
      </c>
      <c r="AI473">
        <v>22</v>
      </c>
      <c r="AJ473">
        <v>0</v>
      </c>
      <c r="AK473">
        <v>0</v>
      </c>
      <c r="AL473">
        <v>14</v>
      </c>
      <c r="AM473">
        <v>7</v>
      </c>
      <c r="AN473">
        <v>7</v>
      </c>
      <c r="AO473">
        <v>0</v>
      </c>
      <c r="AP473">
        <v>40</v>
      </c>
      <c r="AQ473" s="21">
        <f t="shared" si="64"/>
        <v>15</v>
      </c>
      <c r="AR473" s="12">
        <f t="shared" si="70"/>
        <v>100</v>
      </c>
      <c r="AS473">
        <v>0</v>
      </c>
      <c r="AT473">
        <v>36</v>
      </c>
      <c r="AU473">
        <v>0</v>
      </c>
      <c r="AV473">
        <v>0</v>
      </c>
      <c r="AW473">
        <v>9</v>
      </c>
      <c r="AX473">
        <v>10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 s="6">
        <f t="shared" si="69"/>
        <v>55</v>
      </c>
      <c r="BM473" s="6">
        <f t="shared" si="68"/>
        <v>55</v>
      </c>
      <c r="BN473">
        <v>22</v>
      </c>
      <c r="BO473">
        <f t="shared" si="65"/>
        <v>22</v>
      </c>
      <c r="BP473">
        <v>0</v>
      </c>
      <c r="BQ473">
        <f>SUM(BP473,BB473,BK473)</f>
        <v>0</v>
      </c>
      <c r="BR473">
        <f t="shared" si="66"/>
        <v>0</v>
      </c>
    </row>
    <row r="474" spans="1:70" hidden="1">
      <c r="A474" s="16" t="str">
        <f t="shared" si="67"/>
        <v>RP_2025_UPZ_2_3</v>
      </c>
      <c r="B474" t="s">
        <v>59</v>
      </c>
      <c r="C474">
        <v>42.716659999999997</v>
      </c>
      <c r="D474">
        <v>-124.467</v>
      </c>
      <c r="E474" s="8">
        <v>45832</v>
      </c>
      <c r="F474">
        <v>2025</v>
      </c>
      <c r="G474" t="s">
        <v>56</v>
      </c>
      <c r="H474" t="s">
        <v>45</v>
      </c>
      <c r="I474">
        <v>2</v>
      </c>
      <c r="J474">
        <v>3</v>
      </c>
      <c r="K474" t="s">
        <v>46</v>
      </c>
      <c r="L474" s="23">
        <v>10</v>
      </c>
      <c r="M474" s="23">
        <v>0</v>
      </c>
      <c r="N474" s="23">
        <v>3</v>
      </c>
      <c r="O474" s="23">
        <v>7</v>
      </c>
      <c r="P474" s="23">
        <v>5</v>
      </c>
      <c r="Q474" s="23" t="s">
        <v>44</v>
      </c>
      <c r="R474" s="23">
        <v>0</v>
      </c>
      <c r="S474" s="23">
        <v>0</v>
      </c>
      <c r="T474" s="23">
        <v>0</v>
      </c>
      <c r="U474" s="23">
        <v>0</v>
      </c>
      <c r="AG474" s="34">
        <v>7</v>
      </c>
      <c r="AH474">
        <v>7</v>
      </c>
      <c r="AI474">
        <v>37</v>
      </c>
      <c r="AJ474">
        <v>0</v>
      </c>
      <c r="AK474">
        <v>24</v>
      </c>
      <c r="AL474">
        <v>8</v>
      </c>
      <c r="AM474">
        <v>8</v>
      </c>
      <c r="AN474">
        <v>1</v>
      </c>
      <c r="AO474">
        <v>8</v>
      </c>
      <c r="AP474">
        <v>7</v>
      </c>
      <c r="AQ474" s="21">
        <f t="shared" si="64"/>
        <v>0</v>
      </c>
      <c r="AR474" s="12">
        <f t="shared" si="70"/>
        <v>100</v>
      </c>
      <c r="AS474">
        <v>0</v>
      </c>
      <c r="AT474">
        <v>17</v>
      </c>
      <c r="AU474">
        <v>0</v>
      </c>
      <c r="AV474">
        <v>0</v>
      </c>
      <c r="AW474">
        <v>0</v>
      </c>
      <c r="AX474">
        <v>15</v>
      </c>
      <c r="AY474">
        <v>0</v>
      </c>
      <c r="AZ474">
        <v>25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 s="6">
        <f t="shared" si="69"/>
        <v>57</v>
      </c>
      <c r="BM474" s="6">
        <f t="shared" si="68"/>
        <v>57</v>
      </c>
      <c r="BN474">
        <v>37</v>
      </c>
      <c r="BO474">
        <f t="shared" si="65"/>
        <v>37</v>
      </c>
      <c r="BP474">
        <v>0</v>
      </c>
      <c r="BQ474">
        <f>SUM(BP474,BB474,BK474)</f>
        <v>0</v>
      </c>
      <c r="BR474">
        <f t="shared" si="66"/>
        <v>0</v>
      </c>
    </row>
    <row r="475" spans="1:70" hidden="1">
      <c r="A475" s="16" t="str">
        <f t="shared" si="67"/>
        <v>RP_2025_UPZ_2_4</v>
      </c>
      <c r="B475" t="s">
        <v>59</v>
      </c>
      <c r="C475">
        <v>42.716659999999997</v>
      </c>
      <c r="D475">
        <v>-124.467</v>
      </c>
      <c r="E475" s="8">
        <v>45832</v>
      </c>
      <c r="F475">
        <v>2025</v>
      </c>
      <c r="G475" t="s">
        <v>56</v>
      </c>
      <c r="H475" t="s">
        <v>45</v>
      </c>
      <c r="I475">
        <v>2</v>
      </c>
      <c r="J475">
        <v>4</v>
      </c>
      <c r="K475" t="s">
        <v>46</v>
      </c>
      <c r="L475" s="23">
        <v>3</v>
      </c>
      <c r="M475" s="23">
        <v>0</v>
      </c>
      <c r="N475" s="23">
        <v>3</v>
      </c>
      <c r="O475" s="23">
        <v>0</v>
      </c>
      <c r="P475" s="23">
        <v>1</v>
      </c>
      <c r="Q475" s="23" t="s">
        <v>44</v>
      </c>
      <c r="R475" s="23">
        <v>0</v>
      </c>
      <c r="S475" s="23">
        <v>0</v>
      </c>
      <c r="T475" s="23">
        <v>0</v>
      </c>
      <c r="U475" s="23">
        <v>0</v>
      </c>
      <c r="V475" s="18">
        <v>4</v>
      </c>
      <c r="W475" s="18">
        <v>3.3</v>
      </c>
      <c r="X475" s="18">
        <v>2.5</v>
      </c>
      <c r="AG475" s="34">
        <v>2</v>
      </c>
      <c r="AH475">
        <v>13</v>
      </c>
      <c r="AI475">
        <v>58</v>
      </c>
      <c r="AJ475">
        <v>1</v>
      </c>
      <c r="AK475">
        <v>8</v>
      </c>
      <c r="AL475">
        <v>3</v>
      </c>
      <c r="AM475">
        <v>2</v>
      </c>
      <c r="AN475">
        <v>1</v>
      </c>
      <c r="AO475">
        <v>12</v>
      </c>
      <c r="AP475">
        <v>2</v>
      </c>
      <c r="AQ475" s="21">
        <f t="shared" si="64"/>
        <v>0</v>
      </c>
      <c r="AR475" s="12">
        <f t="shared" si="70"/>
        <v>100</v>
      </c>
      <c r="AS475">
        <v>0</v>
      </c>
      <c r="AT475">
        <v>6</v>
      </c>
      <c r="AU475">
        <v>0</v>
      </c>
      <c r="AV475">
        <v>0</v>
      </c>
      <c r="AW475">
        <v>0</v>
      </c>
      <c r="AX475">
        <v>31</v>
      </c>
      <c r="AY475">
        <v>0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 s="6">
        <f t="shared" si="69"/>
        <v>39</v>
      </c>
      <c r="BM475" s="6">
        <f t="shared" si="68"/>
        <v>39</v>
      </c>
      <c r="BN475">
        <v>58</v>
      </c>
      <c r="BO475">
        <f t="shared" si="65"/>
        <v>58</v>
      </c>
      <c r="BP475">
        <v>1</v>
      </c>
      <c r="BQ475">
        <f>SUM(BP475,BB475,BK475)</f>
        <v>1</v>
      </c>
      <c r="BR475">
        <f t="shared" si="66"/>
        <v>0</v>
      </c>
    </row>
    <row r="476" spans="1:70" hidden="1">
      <c r="A476" s="16" t="str">
        <f t="shared" si="67"/>
        <v>RP_2025_UPZ_2_5</v>
      </c>
      <c r="B476" t="s">
        <v>59</v>
      </c>
      <c r="C476">
        <v>42.716659999999997</v>
      </c>
      <c r="D476">
        <v>-124.467</v>
      </c>
      <c r="E476" s="8">
        <v>45832</v>
      </c>
      <c r="F476">
        <v>2025</v>
      </c>
      <c r="G476" t="s">
        <v>56</v>
      </c>
      <c r="H476" t="s">
        <v>45</v>
      </c>
      <c r="I476">
        <v>2</v>
      </c>
      <c r="J476">
        <v>5</v>
      </c>
      <c r="K476" t="s">
        <v>46</v>
      </c>
      <c r="L476" s="23">
        <v>8</v>
      </c>
      <c r="M476" s="23">
        <v>3</v>
      </c>
      <c r="N476" s="23">
        <v>5</v>
      </c>
      <c r="O476" s="23">
        <v>0</v>
      </c>
      <c r="P476" s="23">
        <v>12</v>
      </c>
      <c r="Q476" s="23" t="s">
        <v>44</v>
      </c>
      <c r="R476" s="23">
        <v>4</v>
      </c>
      <c r="S476" s="23">
        <v>0</v>
      </c>
      <c r="T476" s="23">
        <v>1</v>
      </c>
      <c r="U476" s="23">
        <v>4</v>
      </c>
      <c r="AG476" s="34">
        <v>7</v>
      </c>
      <c r="AH476">
        <v>10</v>
      </c>
      <c r="AI476">
        <v>3</v>
      </c>
      <c r="AJ476">
        <v>0</v>
      </c>
      <c r="AK476">
        <v>0</v>
      </c>
      <c r="AL476">
        <v>60</v>
      </c>
      <c r="AM476">
        <v>10</v>
      </c>
      <c r="AN476">
        <v>7</v>
      </c>
      <c r="AO476">
        <v>0.1</v>
      </c>
      <c r="AP476">
        <v>10</v>
      </c>
      <c r="AQ476" s="21">
        <f t="shared" ref="AQ476:AQ539" si="71">AP476-AG476</f>
        <v>3</v>
      </c>
      <c r="AR476" s="12">
        <f t="shared" si="70"/>
        <v>100.1</v>
      </c>
      <c r="AS476">
        <v>0</v>
      </c>
      <c r="AT476">
        <v>28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 s="6">
        <f t="shared" si="69"/>
        <v>28</v>
      </c>
      <c r="BM476" s="6">
        <f t="shared" si="68"/>
        <v>28</v>
      </c>
      <c r="BN476">
        <v>3</v>
      </c>
      <c r="BO476">
        <f t="shared" si="65"/>
        <v>3</v>
      </c>
      <c r="BP476">
        <v>0</v>
      </c>
      <c r="BQ476">
        <f>SUM(BP476,BB476,BK476)</f>
        <v>0</v>
      </c>
      <c r="BR476">
        <f t="shared" si="66"/>
        <v>0</v>
      </c>
    </row>
    <row r="477" spans="1:70" hidden="1">
      <c r="A477" s="16" t="str">
        <f t="shared" si="67"/>
        <v>CP_2025_AZ_1_1</v>
      </c>
      <c r="B477" t="s">
        <v>50</v>
      </c>
      <c r="C477">
        <v>42.043399999999998</v>
      </c>
      <c r="D477">
        <v>-124.2899</v>
      </c>
      <c r="E477" s="8">
        <v>45834</v>
      </c>
      <c r="F477">
        <v>2025</v>
      </c>
      <c r="G477" t="s">
        <v>66</v>
      </c>
      <c r="H477" t="s">
        <v>42</v>
      </c>
      <c r="I477">
        <v>1</v>
      </c>
      <c r="J477">
        <v>1</v>
      </c>
      <c r="K477" t="s">
        <v>43</v>
      </c>
      <c r="L477" s="23">
        <v>2</v>
      </c>
      <c r="M477" s="23">
        <v>0</v>
      </c>
      <c r="N477" s="23">
        <v>1</v>
      </c>
      <c r="O477" s="23">
        <v>1</v>
      </c>
      <c r="P477" s="23">
        <v>0</v>
      </c>
      <c r="Q477" s="23" t="s">
        <v>44</v>
      </c>
      <c r="R477" s="23">
        <v>0</v>
      </c>
      <c r="S477" s="23">
        <v>0</v>
      </c>
      <c r="T477" s="23">
        <v>0</v>
      </c>
      <c r="U477" s="23">
        <v>0</v>
      </c>
      <c r="V477" s="41" t="s">
        <v>44</v>
      </c>
      <c r="W477" s="41" t="s">
        <v>44</v>
      </c>
      <c r="X477" s="41" t="s">
        <v>44</v>
      </c>
      <c r="Y477" s="41" t="s">
        <v>44</v>
      </c>
      <c r="Z477" s="41" t="s">
        <v>44</v>
      </c>
      <c r="AA477" s="42" t="s">
        <v>44</v>
      </c>
      <c r="AB477" s="42" t="s">
        <v>44</v>
      </c>
      <c r="AC477" s="42" t="s">
        <v>44</v>
      </c>
      <c r="AD477" s="42" t="s">
        <v>44</v>
      </c>
      <c r="AE477" s="42" t="s">
        <v>44</v>
      </c>
      <c r="AF477" s="42" t="s">
        <v>44</v>
      </c>
      <c r="AG477" s="34">
        <v>2</v>
      </c>
      <c r="AH477">
        <v>10</v>
      </c>
      <c r="AI477">
        <v>5</v>
      </c>
      <c r="AJ477">
        <v>0</v>
      </c>
      <c r="AK477">
        <v>23</v>
      </c>
      <c r="AL477">
        <v>11</v>
      </c>
      <c r="AM477">
        <v>3</v>
      </c>
      <c r="AN477">
        <v>0</v>
      </c>
      <c r="AO477">
        <v>16</v>
      </c>
      <c r="AP477">
        <v>32</v>
      </c>
      <c r="AQ477" s="21">
        <f t="shared" si="71"/>
        <v>30</v>
      </c>
      <c r="AR477" s="12">
        <f t="shared" si="70"/>
        <v>100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71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 s="6">
        <f t="shared" si="69"/>
        <v>71</v>
      </c>
      <c r="BM477" s="6">
        <f t="shared" si="68"/>
        <v>71</v>
      </c>
      <c r="BN477">
        <v>5</v>
      </c>
      <c r="BO477">
        <f t="shared" si="65"/>
        <v>5</v>
      </c>
      <c r="BP477">
        <v>0</v>
      </c>
      <c r="BQ477">
        <f>SUM(BP477,BB477,BK477)</f>
        <v>0</v>
      </c>
      <c r="BR477">
        <f t="shared" si="66"/>
        <v>0</v>
      </c>
    </row>
    <row r="478" spans="1:70" hidden="1">
      <c r="A478" s="16" t="str">
        <f t="shared" si="67"/>
        <v>CP_2025_AZ_1_2</v>
      </c>
      <c r="B478" t="s">
        <v>50</v>
      </c>
      <c r="C478">
        <v>42.043399999999998</v>
      </c>
      <c r="D478">
        <v>-124.2899</v>
      </c>
      <c r="E478" s="8">
        <v>45834</v>
      </c>
      <c r="F478">
        <v>2025</v>
      </c>
      <c r="G478" t="s">
        <v>66</v>
      </c>
      <c r="H478" t="s">
        <v>42</v>
      </c>
      <c r="I478">
        <v>1</v>
      </c>
      <c r="J478">
        <v>2</v>
      </c>
      <c r="K478" t="s">
        <v>43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 t="s">
        <v>44</v>
      </c>
      <c r="R478" s="23">
        <v>0</v>
      </c>
      <c r="S478" s="23">
        <v>0</v>
      </c>
      <c r="T478" s="23">
        <v>0</v>
      </c>
      <c r="U478" s="23">
        <v>0</v>
      </c>
      <c r="V478" s="41" t="s">
        <v>44</v>
      </c>
      <c r="W478" s="41" t="s">
        <v>44</v>
      </c>
      <c r="X478" s="41" t="s">
        <v>44</v>
      </c>
      <c r="Y478" s="41" t="s">
        <v>44</v>
      </c>
      <c r="Z478" s="41" t="s">
        <v>44</v>
      </c>
      <c r="AA478" s="42" t="s">
        <v>44</v>
      </c>
      <c r="AB478" s="42" t="s">
        <v>44</v>
      </c>
      <c r="AC478" s="42" t="s">
        <v>44</v>
      </c>
      <c r="AD478" s="42" t="s">
        <v>44</v>
      </c>
      <c r="AE478" s="42" t="s">
        <v>44</v>
      </c>
      <c r="AF478" s="42" t="s">
        <v>44</v>
      </c>
      <c r="AG478" s="34">
        <v>0</v>
      </c>
      <c r="AH478">
        <v>0</v>
      </c>
      <c r="AI478">
        <v>0</v>
      </c>
      <c r="AJ478">
        <v>0</v>
      </c>
      <c r="AK478">
        <v>46</v>
      </c>
      <c r="AL478">
        <v>0</v>
      </c>
      <c r="AM478">
        <v>0</v>
      </c>
      <c r="AN478">
        <v>0</v>
      </c>
      <c r="AO478">
        <v>54</v>
      </c>
      <c r="AP478">
        <v>0</v>
      </c>
      <c r="AQ478" s="21">
        <f t="shared" si="71"/>
        <v>0</v>
      </c>
      <c r="AR478" s="12">
        <f t="shared" si="70"/>
        <v>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100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 s="6">
        <f t="shared" si="69"/>
        <v>100</v>
      </c>
      <c r="BM478" s="6">
        <f t="shared" si="68"/>
        <v>100</v>
      </c>
      <c r="BN478">
        <v>0</v>
      </c>
      <c r="BO478">
        <f t="shared" si="65"/>
        <v>0</v>
      </c>
      <c r="BP478">
        <v>0</v>
      </c>
      <c r="BQ478">
        <f>SUM(BP478,BB478,BK478)</f>
        <v>0</v>
      </c>
      <c r="BR478">
        <f t="shared" si="66"/>
        <v>0</v>
      </c>
    </row>
    <row r="479" spans="1:70" hidden="1">
      <c r="A479" s="16" t="str">
        <f t="shared" si="67"/>
        <v>CP_2025_AZ_1_3</v>
      </c>
      <c r="B479" t="s">
        <v>50</v>
      </c>
      <c r="C479">
        <v>42.043399999999998</v>
      </c>
      <c r="D479">
        <v>-124.2899</v>
      </c>
      <c r="E479" s="8">
        <v>45834</v>
      </c>
      <c r="F479">
        <v>2025</v>
      </c>
      <c r="G479" t="s">
        <v>66</v>
      </c>
      <c r="H479" t="s">
        <v>42</v>
      </c>
      <c r="I479">
        <v>1</v>
      </c>
      <c r="J479">
        <v>3</v>
      </c>
      <c r="K479" t="s">
        <v>43</v>
      </c>
      <c r="L479" s="23">
        <v>0</v>
      </c>
      <c r="M479" s="23">
        <v>0</v>
      </c>
      <c r="N479" s="23">
        <v>0</v>
      </c>
      <c r="O479" s="23">
        <v>0</v>
      </c>
      <c r="P479" s="23">
        <v>0</v>
      </c>
      <c r="Q479" s="23" t="s">
        <v>44</v>
      </c>
      <c r="R479" s="23">
        <v>0</v>
      </c>
      <c r="S479" s="23">
        <v>0</v>
      </c>
      <c r="T479" s="23">
        <v>0</v>
      </c>
      <c r="U479" s="23">
        <v>0</v>
      </c>
      <c r="V479" s="41" t="s">
        <v>44</v>
      </c>
      <c r="W479" s="41" t="s">
        <v>44</v>
      </c>
      <c r="X479" s="41" t="s">
        <v>44</v>
      </c>
      <c r="Y479" s="41" t="s">
        <v>44</v>
      </c>
      <c r="Z479" s="41" t="s">
        <v>44</v>
      </c>
      <c r="AA479" s="42" t="s">
        <v>44</v>
      </c>
      <c r="AB479" s="42" t="s">
        <v>44</v>
      </c>
      <c r="AC479" s="42" t="s">
        <v>44</v>
      </c>
      <c r="AD479" s="42" t="s">
        <v>44</v>
      </c>
      <c r="AE479" s="42" t="s">
        <v>44</v>
      </c>
      <c r="AF479" s="42" t="s">
        <v>44</v>
      </c>
      <c r="AG479" s="34">
        <v>0</v>
      </c>
      <c r="AH479">
        <v>10</v>
      </c>
      <c r="AI479">
        <v>0</v>
      </c>
      <c r="AJ479">
        <v>0</v>
      </c>
      <c r="AK479">
        <v>35</v>
      </c>
      <c r="AL479">
        <v>6</v>
      </c>
      <c r="AM479">
        <v>0</v>
      </c>
      <c r="AN479">
        <v>0</v>
      </c>
      <c r="AO479">
        <v>49</v>
      </c>
      <c r="AP479">
        <v>0</v>
      </c>
      <c r="AQ479" s="21">
        <f t="shared" si="71"/>
        <v>0</v>
      </c>
      <c r="AR479" s="12">
        <f t="shared" si="70"/>
        <v>100</v>
      </c>
      <c r="AS479">
        <v>0</v>
      </c>
      <c r="AT479">
        <v>0</v>
      </c>
      <c r="AU479">
        <v>0</v>
      </c>
      <c r="AV479">
        <v>10</v>
      </c>
      <c r="AW479">
        <v>0</v>
      </c>
      <c r="AX479">
        <v>0</v>
      </c>
      <c r="AY479">
        <v>0</v>
      </c>
      <c r="AZ479">
        <v>100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10</v>
      </c>
      <c r="BG479">
        <v>0</v>
      </c>
      <c r="BH479">
        <v>0</v>
      </c>
      <c r="BI479">
        <v>0</v>
      </c>
      <c r="BJ479">
        <v>0</v>
      </c>
      <c r="BK479">
        <v>0</v>
      </c>
      <c r="BL479" s="6">
        <f t="shared" si="69"/>
        <v>120</v>
      </c>
      <c r="BM479" s="6">
        <f t="shared" si="68"/>
        <v>120</v>
      </c>
      <c r="BN479">
        <v>0</v>
      </c>
      <c r="BO479">
        <f t="shared" si="65"/>
        <v>0</v>
      </c>
      <c r="BP479">
        <v>0</v>
      </c>
      <c r="BQ479">
        <f>SUM(BP479,BB479,BK479)</f>
        <v>0</v>
      </c>
      <c r="BR479">
        <f t="shared" si="66"/>
        <v>0</v>
      </c>
    </row>
    <row r="480" spans="1:70" s="13" customFormat="1" hidden="1">
      <c r="A480" s="16" t="str">
        <f t="shared" si="67"/>
        <v>CP_2025_AZ_1_4</v>
      </c>
      <c r="B480" s="13" t="s">
        <v>50</v>
      </c>
      <c r="C480" s="13">
        <v>42.043399999999998</v>
      </c>
      <c r="D480" s="13">
        <v>-124.2899</v>
      </c>
      <c r="E480" s="27">
        <v>45834</v>
      </c>
      <c r="F480" s="13">
        <v>2025</v>
      </c>
      <c r="G480" s="13" t="s">
        <v>66</v>
      </c>
      <c r="H480" s="13" t="s">
        <v>42</v>
      </c>
      <c r="I480" s="13">
        <v>1</v>
      </c>
      <c r="J480" s="13">
        <v>4</v>
      </c>
      <c r="K480" s="13" t="s">
        <v>43</v>
      </c>
      <c r="L480" s="23">
        <v>6</v>
      </c>
      <c r="M480" s="23">
        <v>0</v>
      </c>
      <c r="N480" s="23">
        <v>6</v>
      </c>
      <c r="O480" s="23">
        <v>0</v>
      </c>
      <c r="P480" s="23">
        <v>1</v>
      </c>
      <c r="Q480" s="23" t="s">
        <v>44</v>
      </c>
      <c r="R480" s="23">
        <v>0</v>
      </c>
      <c r="S480" s="23">
        <v>0</v>
      </c>
      <c r="T480" s="23">
        <v>0</v>
      </c>
      <c r="U480" s="23">
        <v>0</v>
      </c>
      <c r="V480" s="41" t="s">
        <v>44</v>
      </c>
      <c r="W480" s="41" t="s">
        <v>44</v>
      </c>
      <c r="X480" s="41" t="s">
        <v>44</v>
      </c>
      <c r="Y480" s="41" t="s">
        <v>44</v>
      </c>
      <c r="Z480" s="41" t="s">
        <v>44</v>
      </c>
      <c r="AA480" s="42" t="s">
        <v>44</v>
      </c>
      <c r="AB480" s="42" t="s">
        <v>44</v>
      </c>
      <c r="AC480" s="42" t="s">
        <v>44</v>
      </c>
      <c r="AD480" s="42" t="s">
        <v>44</v>
      </c>
      <c r="AE480" s="42" t="s">
        <v>44</v>
      </c>
      <c r="AF480" s="42" t="s">
        <v>44</v>
      </c>
      <c r="AG480" s="34">
        <v>10</v>
      </c>
      <c r="AH480" s="13">
        <v>14</v>
      </c>
      <c r="AI480" s="13">
        <v>20</v>
      </c>
      <c r="AJ480" s="13">
        <v>0</v>
      </c>
      <c r="AK480" s="13">
        <v>48</v>
      </c>
      <c r="AL480" s="13">
        <v>0</v>
      </c>
      <c r="AM480" s="13">
        <v>4</v>
      </c>
      <c r="AN480" s="13">
        <v>7</v>
      </c>
      <c r="AO480" s="13">
        <v>0</v>
      </c>
      <c r="AP480" s="13">
        <v>7</v>
      </c>
      <c r="AQ480" s="29">
        <f t="shared" si="71"/>
        <v>-3</v>
      </c>
      <c r="AR480" s="28">
        <f t="shared" si="70"/>
        <v>100</v>
      </c>
      <c r="AS480" s="13">
        <v>0</v>
      </c>
      <c r="AT480" s="13">
        <v>0</v>
      </c>
      <c r="AU480" s="13">
        <v>0</v>
      </c>
      <c r="AV480" s="13">
        <v>50</v>
      </c>
      <c r="AW480" s="13">
        <v>0</v>
      </c>
      <c r="AX480" s="13">
        <v>14</v>
      </c>
      <c r="AY480" s="13">
        <v>0</v>
      </c>
      <c r="AZ480" s="13">
        <v>52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6">
        <f t="shared" si="69"/>
        <v>116</v>
      </c>
      <c r="BM480" s="6">
        <f t="shared" si="68"/>
        <v>116</v>
      </c>
      <c r="BN480" s="13">
        <v>20</v>
      </c>
      <c r="BO480">
        <f t="shared" ref="BO480:BO541" si="72">SUM(BN480,AU480,BG480,BH480,BI480)</f>
        <v>20</v>
      </c>
      <c r="BP480" s="13">
        <v>0</v>
      </c>
      <c r="BQ480">
        <f>SUM(BP480,BB480,BK480)</f>
        <v>0</v>
      </c>
      <c r="BR480">
        <f t="shared" si="66"/>
        <v>0</v>
      </c>
    </row>
    <row r="481" spans="1:70" hidden="1">
      <c r="A481" s="16" t="str">
        <f t="shared" si="67"/>
        <v>CP_2025_AZ_1_5</v>
      </c>
      <c r="B481" t="s">
        <v>50</v>
      </c>
      <c r="C481">
        <v>42.043399999999998</v>
      </c>
      <c r="D481">
        <v>-124.2899</v>
      </c>
      <c r="E481" s="8">
        <v>45834</v>
      </c>
      <c r="F481">
        <v>2025</v>
      </c>
      <c r="G481" t="s">
        <v>66</v>
      </c>
      <c r="H481" t="s">
        <v>42</v>
      </c>
      <c r="I481">
        <v>1</v>
      </c>
      <c r="J481">
        <v>5</v>
      </c>
      <c r="K481" t="s">
        <v>43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 t="s">
        <v>44</v>
      </c>
      <c r="R481" s="23">
        <v>0</v>
      </c>
      <c r="S481" s="23">
        <v>0</v>
      </c>
      <c r="T481" s="23">
        <v>0</v>
      </c>
      <c r="U481" s="23">
        <v>0</v>
      </c>
      <c r="V481" s="41" t="s">
        <v>44</v>
      </c>
      <c r="W481" s="41" t="s">
        <v>44</v>
      </c>
      <c r="X481" s="41" t="s">
        <v>44</v>
      </c>
      <c r="Y481" s="41" t="s">
        <v>44</v>
      </c>
      <c r="Z481" s="41" t="s">
        <v>44</v>
      </c>
      <c r="AA481" s="42" t="s">
        <v>44</v>
      </c>
      <c r="AB481" s="42" t="s">
        <v>44</v>
      </c>
      <c r="AC481" s="42" t="s">
        <v>44</v>
      </c>
      <c r="AD481" s="42" t="s">
        <v>44</v>
      </c>
      <c r="AE481" s="42" t="s">
        <v>44</v>
      </c>
      <c r="AF481" s="42" t="s">
        <v>44</v>
      </c>
      <c r="AG481" s="34">
        <v>0</v>
      </c>
      <c r="AH481">
        <v>0</v>
      </c>
      <c r="AI481">
        <v>3</v>
      </c>
      <c r="AJ481">
        <v>0.1</v>
      </c>
      <c r="AK481">
        <v>39</v>
      </c>
      <c r="AL481">
        <v>1</v>
      </c>
      <c r="AM481">
        <v>9</v>
      </c>
      <c r="AN481">
        <v>0</v>
      </c>
      <c r="AO481">
        <v>44</v>
      </c>
      <c r="AP481">
        <v>4</v>
      </c>
      <c r="AQ481" s="21">
        <f t="shared" si="71"/>
        <v>4</v>
      </c>
      <c r="AR481" s="12">
        <f t="shared" si="70"/>
        <v>100.1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59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 s="6">
        <f t="shared" si="69"/>
        <v>59</v>
      </c>
      <c r="BM481" s="6">
        <f t="shared" si="68"/>
        <v>59</v>
      </c>
      <c r="BN481">
        <v>3</v>
      </c>
      <c r="BO481">
        <f t="shared" si="72"/>
        <v>3</v>
      </c>
      <c r="BP481">
        <v>0.1</v>
      </c>
      <c r="BQ481">
        <f>SUM(BP481,BB481,BK481)</f>
        <v>0.1</v>
      </c>
      <c r="BR481">
        <f t="shared" si="66"/>
        <v>0</v>
      </c>
    </row>
    <row r="482" spans="1:70" hidden="1">
      <c r="A482" s="16" t="str">
        <f t="shared" si="67"/>
        <v>CP_2025_AZ_2_1</v>
      </c>
      <c r="B482" t="s">
        <v>50</v>
      </c>
      <c r="C482">
        <v>42.043399999999998</v>
      </c>
      <c r="D482">
        <v>-124.2899</v>
      </c>
      <c r="E482" s="8">
        <v>45834</v>
      </c>
      <c r="F482">
        <v>2025</v>
      </c>
      <c r="G482" t="s">
        <v>66</v>
      </c>
      <c r="H482" t="s">
        <v>42</v>
      </c>
      <c r="I482">
        <v>2</v>
      </c>
      <c r="J482">
        <v>1</v>
      </c>
      <c r="K482" t="s">
        <v>46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 t="s">
        <v>44</v>
      </c>
      <c r="R482" s="23">
        <v>0</v>
      </c>
      <c r="S482" s="23">
        <v>0</v>
      </c>
      <c r="T482" s="23">
        <v>0</v>
      </c>
      <c r="U482" s="23">
        <v>0</v>
      </c>
      <c r="V482" s="41" t="s">
        <v>44</v>
      </c>
      <c r="W482" s="41" t="s">
        <v>44</v>
      </c>
      <c r="X482" s="41" t="s">
        <v>44</v>
      </c>
      <c r="Y482" s="41" t="s">
        <v>44</v>
      </c>
      <c r="Z482" s="41" t="s">
        <v>44</v>
      </c>
      <c r="AA482" s="42" t="s">
        <v>44</v>
      </c>
      <c r="AB482" s="42" t="s">
        <v>44</v>
      </c>
      <c r="AC482" s="42" t="s">
        <v>44</v>
      </c>
      <c r="AD482" s="42" t="s">
        <v>44</v>
      </c>
      <c r="AE482" s="42" t="s">
        <v>44</v>
      </c>
      <c r="AF482" s="42" t="s">
        <v>44</v>
      </c>
      <c r="AG482" s="34">
        <v>0</v>
      </c>
      <c r="AH482">
        <v>2</v>
      </c>
      <c r="AI482">
        <v>15</v>
      </c>
      <c r="AJ482">
        <v>0</v>
      </c>
      <c r="AK482">
        <v>45</v>
      </c>
      <c r="AL482">
        <v>5</v>
      </c>
      <c r="AM482">
        <v>6</v>
      </c>
      <c r="AN482">
        <v>14</v>
      </c>
      <c r="AO482">
        <v>12</v>
      </c>
      <c r="AP482">
        <v>1</v>
      </c>
      <c r="AQ482" s="21">
        <f t="shared" si="71"/>
        <v>1</v>
      </c>
      <c r="AR482" s="12">
        <f t="shared" si="70"/>
        <v>100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4</v>
      </c>
      <c r="AY482">
        <v>0</v>
      </c>
      <c r="AZ482">
        <v>100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15</v>
      </c>
      <c r="BH482">
        <v>0</v>
      </c>
      <c r="BI482">
        <v>0</v>
      </c>
      <c r="BJ482">
        <v>0</v>
      </c>
      <c r="BK482">
        <v>0</v>
      </c>
      <c r="BL482" s="6">
        <f t="shared" si="69"/>
        <v>104</v>
      </c>
      <c r="BM482" s="6">
        <f t="shared" si="68"/>
        <v>119</v>
      </c>
    </row>
    <row r="483" spans="1:70" hidden="1">
      <c r="A483" s="16" t="str">
        <f t="shared" si="67"/>
        <v>CP_2025_AZ_2_2</v>
      </c>
      <c r="B483" t="s">
        <v>50</v>
      </c>
      <c r="C483">
        <v>42.043399999999998</v>
      </c>
      <c r="D483">
        <v>-124.2899</v>
      </c>
      <c r="E483" s="8">
        <v>45834</v>
      </c>
      <c r="F483">
        <v>2025</v>
      </c>
      <c r="G483" t="s">
        <v>66</v>
      </c>
      <c r="H483" t="s">
        <v>42</v>
      </c>
      <c r="I483">
        <v>2</v>
      </c>
      <c r="J483">
        <v>2</v>
      </c>
      <c r="K483" t="s">
        <v>46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 t="s">
        <v>44</v>
      </c>
      <c r="R483" s="23">
        <v>0</v>
      </c>
      <c r="S483" s="23">
        <v>0</v>
      </c>
      <c r="T483" s="23">
        <v>0</v>
      </c>
      <c r="U483" s="23">
        <v>0</v>
      </c>
      <c r="V483" s="41" t="s">
        <v>44</v>
      </c>
      <c r="W483" s="41" t="s">
        <v>44</v>
      </c>
      <c r="X483" s="41" t="s">
        <v>44</v>
      </c>
      <c r="Y483" s="41" t="s">
        <v>44</v>
      </c>
      <c r="Z483" s="41" t="s">
        <v>44</v>
      </c>
      <c r="AA483" s="42" t="s">
        <v>44</v>
      </c>
      <c r="AB483" s="42" t="s">
        <v>44</v>
      </c>
      <c r="AC483" s="42" t="s">
        <v>44</v>
      </c>
      <c r="AD483" s="42" t="s">
        <v>44</v>
      </c>
      <c r="AE483" s="42" t="s">
        <v>44</v>
      </c>
      <c r="AF483" s="42" t="s">
        <v>44</v>
      </c>
      <c r="AG483" s="34">
        <v>0</v>
      </c>
      <c r="AH483">
        <v>0</v>
      </c>
      <c r="AI483">
        <v>1</v>
      </c>
      <c r="AJ483">
        <v>0</v>
      </c>
      <c r="AK483">
        <v>13</v>
      </c>
      <c r="AL483">
        <v>5</v>
      </c>
      <c r="AM483">
        <v>8</v>
      </c>
      <c r="AN483">
        <v>0</v>
      </c>
      <c r="AO483">
        <v>73</v>
      </c>
      <c r="AP483">
        <v>0</v>
      </c>
      <c r="AQ483" s="21">
        <f t="shared" si="71"/>
        <v>0</v>
      </c>
      <c r="AR483" s="12">
        <f t="shared" si="70"/>
        <v>100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88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 s="6">
        <f t="shared" si="69"/>
        <v>89</v>
      </c>
      <c r="BM483" s="6">
        <f t="shared" si="68"/>
        <v>89</v>
      </c>
      <c r="BN483">
        <v>1</v>
      </c>
      <c r="BO483">
        <f t="shared" si="72"/>
        <v>1</v>
      </c>
      <c r="BP483">
        <v>0</v>
      </c>
      <c r="BQ483">
        <f>SUM(BP483,BB483,BK483)</f>
        <v>0</v>
      </c>
      <c r="BR483">
        <f t="shared" si="66"/>
        <v>0</v>
      </c>
    </row>
    <row r="484" spans="1:70" hidden="1">
      <c r="A484" s="16" t="str">
        <f t="shared" si="67"/>
        <v>CP_2025_AZ_2_3</v>
      </c>
      <c r="B484" t="s">
        <v>50</v>
      </c>
      <c r="C484">
        <v>42.043399999999998</v>
      </c>
      <c r="D484">
        <v>-124.2899</v>
      </c>
      <c r="E484" s="8">
        <v>45834</v>
      </c>
      <c r="F484">
        <v>2025</v>
      </c>
      <c r="G484" t="s">
        <v>66</v>
      </c>
      <c r="H484" t="s">
        <v>42</v>
      </c>
      <c r="I484">
        <v>2</v>
      </c>
      <c r="J484">
        <v>3</v>
      </c>
      <c r="K484" t="s">
        <v>47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 t="s">
        <v>44</v>
      </c>
      <c r="R484" s="23">
        <v>0</v>
      </c>
      <c r="S484" s="23">
        <v>0</v>
      </c>
      <c r="T484" s="23">
        <v>0</v>
      </c>
      <c r="U484" s="23">
        <v>0</v>
      </c>
      <c r="V484" s="41" t="s">
        <v>44</v>
      </c>
      <c r="W484" s="41" t="s">
        <v>44</v>
      </c>
      <c r="X484" s="41" t="s">
        <v>44</v>
      </c>
      <c r="Y484" s="41" t="s">
        <v>44</v>
      </c>
      <c r="Z484" s="41" t="s">
        <v>44</v>
      </c>
      <c r="AA484" s="42" t="s">
        <v>44</v>
      </c>
      <c r="AB484" s="42" t="s">
        <v>44</v>
      </c>
      <c r="AC484" s="42" t="s">
        <v>44</v>
      </c>
      <c r="AD484" s="42" t="s">
        <v>44</v>
      </c>
      <c r="AE484" s="42" t="s">
        <v>44</v>
      </c>
      <c r="AF484" s="42" t="s">
        <v>44</v>
      </c>
      <c r="AG484" s="34">
        <v>0</v>
      </c>
      <c r="AH484">
        <v>4</v>
      </c>
      <c r="AI484">
        <v>13</v>
      </c>
      <c r="AJ484">
        <v>12</v>
      </c>
      <c r="AK484">
        <v>40</v>
      </c>
      <c r="AL484">
        <v>13</v>
      </c>
      <c r="AM484">
        <v>4</v>
      </c>
      <c r="AN484">
        <v>4</v>
      </c>
      <c r="AO484">
        <v>8</v>
      </c>
      <c r="AP484">
        <v>2</v>
      </c>
      <c r="AQ484" s="21">
        <f t="shared" si="71"/>
        <v>2</v>
      </c>
      <c r="AR484" s="12">
        <f t="shared" si="70"/>
        <v>100</v>
      </c>
      <c r="AS484">
        <v>0</v>
      </c>
      <c r="AT484">
        <v>0</v>
      </c>
      <c r="AU484">
        <v>0</v>
      </c>
      <c r="AV484">
        <v>14</v>
      </c>
      <c r="AW484">
        <v>0</v>
      </c>
      <c r="AX484">
        <v>0</v>
      </c>
      <c r="AY484">
        <v>0</v>
      </c>
      <c r="AZ484">
        <v>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 s="6">
        <f t="shared" si="69"/>
        <v>22</v>
      </c>
      <c r="BM484" s="6">
        <f t="shared" si="68"/>
        <v>22</v>
      </c>
      <c r="BN484">
        <v>13</v>
      </c>
      <c r="BO484">
        <f t="shared" si="72"/>
        <v>13</v>
      </c>
      <c r="BP484">
        <v>12</v>
      </c>
      <c r="BQ484">
        <f>SUM(BP484,BB484,BK484)</f>
        <v>12</v>
      </c>
      <c r="BR484">
        <f t="shared" si="66"/>
        <v>0</v>
      </c>
    </row>
    <row r="485" spans="1:70" hidden="1">
      <c r="A485" s="16" t="str">
        <f t="shared" si="67"/>
        <v>CP_2025_AZ_2_4</v>
      </c>
      <c r="B485" t="s">
        <v>50</v>
      </c>
      <c r="C485">
        <v>42.043399999999998</v>
      </c>
      <c r="D485">
        <v>-124.2899</v>
      </c>
      <c r="E485" s="8">
        <v>45834</v>
      </c>
      <c r="F485">
        <v>2025</v>
      </c>
      <c r="G485" t="s">
        <v>66</v>
      </c>
      <c r="H485" t="s">
        <v>42</v>
      </c>
      <c r="I485">
        <v>2</v>
      </c>
      <c r="J485">
        <v>4</v>
      </c>
      <c r="K485" t="s">
        <v>47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 t="s">
        <v>44</v>
      </c>
      <c r="R485" s="23">
        <v>0</v>
      </c>
      <c r="S485" s="23">
        <v>0</v>
      </c>
      <c r="T485" s="23">
        <v>0</v>
      </c>
      <c r="U485" s="23">
        <v>0</v>
      </c>
      <c r="V485" s="41" t="s">
        <v>44</v>
      </c>
      <c r="W485" s="41" t="s">
        <v>44</v>
      </c>
      <c r="X485" s="41" t="s">
        <v>44</v>
      </c>
      <c r="Y485" s="41" t="s">
        <v>44</v>
      </c>
      <c r="Z485" s="41" t="s">
        <v>44</v>
      </c>
      <c r="AA485" s="42" t="s">
        <v>44</v>
      </c>
      <c r="AB485" s="42" t="s">
        <v>44</v>
      </c>
      <c r="AC485" s="42" t="s">
        <v>44</v>
      </c>
      <c r="AD485" s="42" t="s">
        <v>44</v>
      </c>
      <c r="AE485" s="42" t="s">
        <v>44</v>
      </c>
      <c r="AF485" s="42" t="s">
        <v>44</v>
      </c>
      <c r="AG485" s="34">
        <v>0</v>
      </c>
      <c r="AH485">
        <v>1</v>
      </c>
      <c r="AI485">
        <v>28</v>
      </c>
      <c r="AJ485">
        <v>0</v>
      </c>
      <c r="AK485">
        <v>29</v>
      </c>
      <c r="AL485">
        <v>0</v>
      </c>
      <c r="AM485">
        <v>3</v>
      </c>
      <c r="AN485">
        <v>0</v>
      </c>
      <c r="AO485">
        <v>39</v>
      </c>
      <c r="AP485">
        <v>0</v>
      </c>
      <c r="AQ485" s="21">
        <f t="shared" si="71"/>
        <v>0</v>
      </c>
      <c r="AR485" s="12">
        <f t="shared" si="70"/>
        <v>100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</v>
      </c>
      <c r="AY485">
        <v>0</v>
      </c>
      <c r="AZ485">
        <v>70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0</v>
      </c>
      <c r="BL485" s="6">
        <f t="shared" si="69"/>
        <v>75</v>
      </c>
      <c r="BM485" s="6">
        <f t="shared" si="68"/>
        <v>75</v>
      </c>
      <c r="BN485">
        <v>28</v>
      </c>
      <c r="BO485">
        <f t="shared" si="72"/>
        <v>28</v>
      </c>
      <c r="BP485">
        <v>0</v>
      </c>
      <c r="BQ485">
        <f>SUM(BP485,BB485,BK485)</f>
        <v>0</v>
      </c>
      <c r="BR485">
        <f t="shared" si="66"/>
        <v>0</v>
      </c>
    </row>
    <row r="486" spans="1:70" hidden="1">
      <c r="A486" s="16" t="str">
        <f t="shared" si="67"/>
        <v>CP_2025_AZ_2_5</v>
      </c>
      <c r="B486" t="s">
        <v>50</v>
      </c>
      <c r="C486">
        <v>42.043399999999998</v>
      </c>
      <c r="D486">
        <v>-124.2899</v>
      </c>
      <c r="E486" s="8">
        <v>45834</v>
      </c>
      <c r="F486">
        <v>2025</v>
      </c>
      <c r="G486" t="s">
        <v>66</v>
      </c>
      <c r="H486" t="s">
        <v>42</v>
      </c>
      <c r="I486">
        <v>2</v>
      </c>
      <c r="J486">
        <v>5</v>
      </c>
      <c r="K486" t="s">
        <v>46</v>
      </c>
      <c r="L486" s="23">
        <v>0</v>
      </c>
      <c r="M486" s="23">
        <v>0</v>
      </c>
      <c r="N486" s="23">
        <v>0</v>
      </c>
      <c r="O486" s="23">
        <v>0</v>
      </c>
      <c r="P486" s="23">
        <v>0</v>
      </c>
      <c r="Q486" s="23" t="s">
        <v>44</v>
      </c>
      <c r="R486" s="23">
        <v>0</v>
      </c>
      <c r="S486" s="23">
        <v>0</v>
      </c>
      <c r="T486" s="23">
        <v>0</v>
      </c>
      <c r="U486" s="23">
        <v>0</v>
      </c>
      <c r="V486" s="41" t="s">
        <v>44</v>
      </c>
      <c r="W486" s="41" t="s">
        <v>44</v>
      </c>
      <c r="X486" s="41" t="s">
        <v>44</v>
      </c>
      <c r="Y486" s="41" t="s">
        <v>44</v>
      </c>
      <c r="Z486" s="41" t="s">
        <v>44</v>
      </c>
      <c r="AA486" s="42" t="s">
        <v>44</v>
      </c>
      <c r="AB486" s="42" t="s">
        <v>44</v>
      </c>
      <c r="AC486" s="42" t="s">
        <v>44</v>
      </c>
      <c r="AD486" s="42" t="s">
        <v>44</v>
      </c>
      <c r="AE486" s="42" t="s">
        <v>44</v>
      </c>
      <c r="AF486" s="42" t="s">
        <v>44</v>
      </c>
      <c r="AG486" s="34">
        <v>0</v>
      </c>
      <c r="AH486">
        <v>11</v>
      </c>
      <c r="AI486">
        <v>16</v>
      </c>
      <c r="AJ486">
        <v>0</v>
      </c>
      <c r="AK486">
        <v>66</v>
      </c>
      <c r="AL486">
        <v>4</v>
      </c>
      <c r="AM486">
        <v>0</v>
      </c>
      <c r="AN486">
        <v>0</v>
      </c>
      <c r="AO486">
        <v>3</v>
      </c>
      <c r="AP486">
        <v>0</v>
      </c>
      <c r="AQ486" s="21">
        <f t="shared" si="71"/>
        <v>0</v>
      </c>
      <c r="AR486" s="12">
        <f t="shared" si="70"/>
        <v>100</v>
      </c>
      <c r="AS486">
        <v>0</v>
      </c>
      <c r="AT486">
        <v>0</v>
      </c>
      <c r="AU486">
        <v>0</v>
      </c>
      <c r="AV486">
        <v>15</v>
      </c>
      <c r="AW486">
        <v>0</v>
      </c>
      <c r="AX486">
        <v>25</v>
      </c>
      <c r="AY486">
        <v>0</v>
      </c>
      <c r="AZ486">
        <v>58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 s="6">
        <f t="shared" si="69"/>
        <v>98</v>
      </c>
      <c r="BM486" s="6">
        <f t="shared" si="68"/>
        <v>98</v>
      </c>
      <c r="BN486">
        <v>16</v>
      </c>
      <c r="BO486">
        <f t="shared" si="72"/>
        <v>16</v>
      </c>
      <c r="BP486">
        <v>0</v>
      </c>
      <c r="BQ486">
        <f>SUM(BP486,BB486,BK486)</f>
        <v>0</v>
      </c>
      <c r="BR486">
        <f t="shared" si="66"/>
        <v>0</v>
      </c>
    </row>
    <row r="487" spans="1:70" hidden="1">
      <c r="A487" s="16" t="str">
        <f t="shared" si="67"/>
        <v>CP_2025_UPZ_1_1</v>
      </c>
      <c r="B487" t="s">
        <v>50</v>
      </c>
      <c r="C487">
        <v>42.043399999999998</v>
      </c>
      <c r="D487">
        <v>-124.2899</v>
      </c>
      <c r="E487" s="8">
        <v>45834</v>
      </c>
      <c r="F487">
        <v>2025</v>
      </c>
      <c r="G487" t="s">
        <v>66</v>
      </c>
      <c r="H487" t="s">
        <v>45</v>
      </c>
      <c r="I487">
        <v>1</v>
      </c>
      <c r="J487">
        <v>1</v>
      </c>
      <c r="K487" t="s">
        <v>51</v>
      </c>
      <c r="L487" s="23">
        <v>9</v>
      </c>
      <c r="M487" s="23">
        <v>9</v>
      </c>
      <c r="N487" s="23">
        <v>0</v>
      </c>
      <c r="O487" s="23">
        <v>0</v>
      </c>
      <c r="P487" s="23">
        <v>1</v>
      </c>
      <c r="Q487" s="23" t="s">
        <v>44</v>
      </c>
      <c r="R487" s="23">
        <v>0</v>
      </c>
      <c r="S487" s="23">
        <v>0</v>
      </c>
      <c r="T487" s="23">
        <v>2</v>
      </c>
      <c r="U487" s="23">
        <v>9</v>
      </c>
      <c r="AG487" s="34">
        <v>7</v>
      </c>
      <c r="AH487">
        <v>2</v>
      </c>
      <c r="AI487">
        <v>72</v>
      </c>
      <c r="AJ487">
        <v>0</v>
      </c>
      <c r="AK487">
        <v>0</v>
      </c>
      <c r="AL487">
        <v>10</v>
      </c>
      <c r="AM487">
        <v>8</v>
      </c>
      <c r="AN487">
        <v>1</v>
      </c>
      <c r="AO487">
        <v>0</v>
      </c>
      <c r="AP487">
        <v>7</v>
      </c>
      <c r="AQ487" s="21">
        <f t="shared" si="71"/>
        <v>0</v>
      </c>
      <c r="AR487" s="12">
        <f t="shared" si="70"/>
        <v>100</v>
      </c>
      <c r="AS487">
        <v>0</v>
      </c>
      <c r="AT487">
        <v>0</v>
      </c>
      <c r="AU487">
        <v>0</v>
      </c>
      <c r="AV487">
        <v>2</v>
      </c>
      <c r="AW487">
        <v>0</v>
      </c>
      <c r="AX487">
        <v>0</v>
      </c>
      <c r="AY487">
        <v>0</v>
      </c>
      <c r="AZ487">
        <v>0.1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 s="6">
        <f t="shared" si="69"/>
        <v>2.1</v>
      </c>
      <c r="BM487" s="6">
        <f t="shared" si="68"/>
        <v>2.1</v>
      </c>
      <c r="BN487">
        <v>72</v>
      </c>
      <c r="BO487">
        <f t="shared" si="72"/>
        <v>72</v>
      </c>
      <c r="BP487">
        <v>0</v>
      </c>
      <c r="BQ487">
        <f>SUM(BP487,BB487,BK487)</f>
        <v>0</v>
      </c>
      <c r="BR487">
        <f t="shared" si="66"/>
        <v>0</v>
      </c>
    </row>
    <row r="488" spans="1:70" hidden="1">
      <c r="A488" s="16" t="str">
        <f t="shared" si="67"/>
        <v>CP_2025_UPZ_1_2</v>
      </c>
      <c r="B488" t="s">
        <v>50</v>
      </c>
      <c r="C488">
        <v>42.043399999999998</v>
      </c>
      <c r="D488">
        <v>-124.2899</v>
      </c>
      <c r="E488" s="8">
        <v>45834</v>
      </c>
      <c r="F488">
        <v>2025</v>
      </c>
      <c r="G488" t="s">
        <v>66</v>
      </c>
      <c r="H488" t="s">
        <v>45</v>
      </c>
      <c r="I488">
        <v>1</v>
      </c>
      <c r="J488">
        <v>2</v>
      </c>
      <c r="K488" t="s">
        <v>51</v>
      </c>
      <c r="L488" s="23">
        <v>11</v>
      </c>
      <c r="M488" s="23">
        <v>2</v>
      </c>
      <c r="N488" s="23">
        <v>1</v>
      </c>
      <c r="O488" s="23">
        <v>8</v>
      </c>
      <c r="P488" s="23">
        <v>5</v>
      </c>
      <c r="Q488" s="23" t="s">
        <v>44</v>
      </c>
      <c r="R488" s="23">
        <v>0</v>
      </c>
      <c r="S488" s="23">
        <v>0</v>
      </c>
      <c r="T488" s="23">
        <v>0</v>
      </c>
      <c r="U488" s="23">
        <v>2</v>
      </c>
      <c r="AG488" s="34">
        <v>10</v>
      </c>
      <c r="AH488">
        <v>1</v>
      </c>
      <c r="AI488">
        <v>10</v>
      </c>
      <c r="AJ488">
        <v>0</v>
      </c>
      <c r="AK488">
        <v>23</v>
      </c>
      <c r="AL488">
        <v>27</v>
      </c>
      <c r="AM488">
        <v>34</v>
      </c>
      <c r="AN488">
        <v>4</v>
      </c>
      <c r="AO488">
        <v>0</v>
      </c>
      <c r="AP488">
        <v>1</v>
      </c>
      <c r="AQ488" s="21">
        <f t="shared" si="71"/>
        <v>-9</v>
      </c>
      <c r="AR488" s="12">
        <f t="shared" si="70"/>
        <v>100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2</v>
      </c>
      <c r="AY488">
        <v>0</v>
      </c>
      <c r="AZ488">
        <v>44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 s="6">
        <f t="shared" si="69"/>
        <v>46</v>
      </c>
      <c r="BM488" s="6">
        <f t="shared" si="68"/>
        <v>46</v>
      </c>
      <c r="BN488">
        <v>10</v>
      </c>
      <c r="BO488">
        <f t="shared" si="72"/>
        <v>10</v>
      </c>
      <c r="BP488">
        <v>0</v>
      </c>
      <c r="BQ488">
        <f>SUM(BP488,BB488,BK488)</f>
        <v>0</v>
      </c>
      <c r="BR488">
        <f t="shared" si="66"/>
        <v>0</v>
      </c>
    </row>
    <row r="489" spans="1:70" hidden="1">
      <c r="A489" s="16" t="str">
        <f t="shared" si="67"/>
        <v>CP_2025_UPZ_1_3</v>
      </c>
      <c r="B489" t="s">
        <v>50</v>
      </c>
      <c r="C489">
        <v>42.043399999999998</v>
      </c>
      <c r="D489">
        <v>-124.2899</v>
      </c>
      <c r="E489" s="8">
        <v>45834</v>
      </c>
      <c r="F489">
        <v>2025</v>
      </c>
      <c r="G489" t="s">
        <v>66</v>
      </c>
      <c r="H489" t="s">
        <v>45</v>
      </c>
      <c r="I489">
        <v>1</v>
      </c>
      <c r="J489">
        <v>3</v>
      </c>
      <c r="K489" t="s">
        <v>46</v>
      </c>
      <c r="L489" s="23">
        <v>22</v>
      </c>
      <c r="M489" s="23">
        <v>3</v>
      </c>
      <c r="N489" s="23">
        <v>3</v>
      </c>
      <c r="O489" s="23">
        <v>16</v>
      </c>
      <c r="P489" s="23">
        <v>16</v>
      </c>
      <c r="Q489" s="23" t="s">
        <v>44</v>
      </c>
      <c r="R489" s="23">
        <v>10</v>
      </c>
      <c r="S489" s="23">
        <v>0</v>
      </c>
      <c r="T489" s="23">
        <v>0</v>
      </c>
      <c r="U489" s="23">
        <v>3</v>
      </c>
      <c r="AG489" s="34">
        <v>25</v>
      </c>
      <c r="AH489">
        <v>1</v>
      </c>
      <c r="AI489">
        <v>32</v>
      </c>
      <c r="AJ489">
        <v>0</v>
      </c>
      <c r="AK489">
        <v>0</v>
      </c>
      <c r="AL489">
        <v>37</v>
      </c>
      <c r="AM489">
        <v>9</v>
      </c>
      <c r="AN489">
        <v>10</v>
      </c>
      <c r="AO489">
        <v>7</v>
      </c>
      <c r="AP489">
        <v>4</v>
      </c>
      <c r="AQ489" s="21">
        <f t="shared" si="71"/>
        <v>-21</v>
      </c>
      <c r="AR489" s="12">
        <f t="shared" si="70"/>
        <v>100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 s="6">
        <f t="shared" si="69"/>
        <v>2</v>
      </c>
      <c r="BM489" s="6">
        <f t="shared" si="68"/>
        <v>2</v>
      </c>
      <c r="BN489">
        <v>32</v>
      </c>
      <c r="BO489">
        <f t="shared" si="72"/>
        <v>32</v>
      </c>
      <c r="BP489">
        <v>0</v>
      </c>
      <c r="BQ489">
        <f>SUM(BP489,BB489,BK489)</f>
        <v>0</v>
      </c>
      <c r="BR489">
        <f t="shared" si="66"/>
        <v>0</v>
      </c>
    </row>
    <row r="490" spans="1:70" hidden="1">
      <c r="A490" s="16" t="str">
        <f t="shared" si="67"/>
        <v>CP_2025_UPZ_1_4</v>
      </c>
      <c r="B490" t="s">
        <v>50</v>
      </c>
      <c r="C490">
        <v>42.043399999999998</v>
      </c>
      <c r="D490">
        <v>-124.2899</v>
      </c>
      <c r="E490" s="8">
        <v>45834</v>
      </c>
      <c r="F490">
        <v>2025</v>
      </c>
      <c r="G490" t="s">
        <v>66</v>
      </c>
      <c r="H490" t="s">
        <v>45</v>
      </c>
      <c r="I490">
        <v>1</v>
      </c>
      <c r="J490">
        <v>4</v>
      </c>
      <c r="K490" t="s">
        <v>83</v>
      </c>
      <c r="L490" s="23">
        <v>22</v>
      </c>
      <c r="M490" s="23">
        <v>9</v>
      </c>
      <c r="N490" s="23">
        <v>2</v>
      </c>
      <c r="O490" s="23">
        <v>11</v>
      </c>
      <c r="P490" s="23">
        <v>8</v>
      </c>
      <c r="Q490" s="23" t="s">
        <v>44</v>
      </c>
      <c r="R490" s="23">
        <v>0</v>
      </c>
      <c r="S490" s="23">
        <v>0</v>
      </c>
      <c r="T490" s="23">
        <v>2</v>
      </c>
      <c r="U490" s="23">
        <v>11</v>
      </c>
      <c r="AG490" s="34">
        <v>24</v>
      </c>
      <c r="AH490">
        <v>2</v>
      </c>
      <c r="AI490">
        <v>53</v>
      </c>
      <c r="AJ490">
        <v>0</v>
      </c>
      <c r="AK490">
        <v>0</v>
      </c>
      <c r="AL490">
        <v>18</v>
      </c>
      <c r="AM490">
        <v>6</v>
      </c>
      <c r="AN490">
        <v>6</v>
      </c>
      <c r="AO490">
        <v>0</v>
      </c>
      <c r="AP490">
        <v>15</v>
      </c>
      <c r="AQ490" s="21">
        <f t="shared" si="71"/>
        <v>-9</v>
      </c>
      <c r="AR490" s="12">
        <f t="shared" si="70"/>
        <v>100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10</v>
      </c>
      <c r="BI490">
        <v>0</v>
      </c>
      <c r="BJ490">
        <v>0</v>
      </c>
      <c r="BK490">
        <v>0</v>
      </c>
      <c r="BL490" s="6">
        <f t="shared" si="69"/>
        <v>5</v>
      </c>
      <c r="BM490" s="6">
        <f t="shared" si="68"/>
        <v>15</v>
      </c>
    </row>
    <row r="491" spans="1:70" hidden="1">
      <c r="A491" s="16" t="str">
        <f t="shared" si="67"/>
        <v>CP_2025_UPZ_1_5</v>
      </c>
      <c r="B491" t="s">
        <v>50</v>
      </c>
      <c r="C491">
        <v>42.043399999999998</v>
      </c>
      <c r="D491">
        <v>-124.2899</v>
      </c>
      <c r="E491" s="8">
        <v>45834</v>
      </c>
      <c r="F491">
        <v>2025</v>
      </c>
      <c r="G491" t="s">
        <v>66</v>
      </c>
      <c r="H491" t="s">
        <v>45</v>
      </c>
      <c r="I491">
        <v>1</v>
      </c>
      <c r="J491">
        <v>5</v>
      </c>
      <c r="K491" t="s">
        <v>46</v>
      </c>
      <c r="L491" s="23">
        <v>37</v>
      </c>
      <c r="M491" s="23">
        <v>34</v>
      </c>
      <c r="N491" s="23">
        <v>0</v>
      </c>
      <c r="O491" s="23">
        <v>3</v>
      </c>
      <c r="P491" s="23">
        <v>8</v>
      </c>
      <c r="Q491" s="23" t="s">
        <v>44</v>
      </c>
      <c r="R491" s="23">
        <v>0</v>
      </c>
      <c r="S491" s="23">
        <v>0</v>
      </c>
      <c r="T491" s="23">
        <v>1</v>
      </c>
      <c r="U491" s="23">
        <v>35</v>
      </c>
      <c r="AG491" s="34">
        <v>30</v>
      </c>
      <c r="AH491">
        <v>0</v>
      </c>
      <c r="AI491">
        <v>34</v>
      </c>
      <c r="AJ491">
        <v>0</v>
      </c>
      <c r="AK491">
        <v>2</v>
      </c>
      <c r="AL491">
        <v>20</v>
      </c>
      <c r="AM491">
        <v>13</v>
      </c>
      <c r="AN491">
        <v>0</v>
      </c>
      <c r="AO491">
        <v>0</v>
      </c>
      <c r="AP491">
        <v>31</v>
      </c>
      <c r="AQ491" s="21">
        <f t="shared" si="71"/>
        <v>1</v>
      </c>
      <c r="AR491" s="12">
        <f t="shared" si="70"/>
        <v>100</v>
      </c>
      <c r="AS491">
        <v>0</v>
      </c>
      <c r="AT491">
        <v>10</v>
      </c>
      <c r="AU491">
        <v>0</v>
      </c>
      <c r="AV491">
        <v>5</v>
      </c>
      <c r="AW491">
        <v>10</v>
      </c>
      <c r="AX491">
        <v>0</v>
      </c>
      <c r="AY491">
        <v>0</v>
      </c>
      <c r="AZ491">
        <v>4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4</v>
      </c>
      <c r="BI491">
        <v>0</v>
      </c>
      <c r="BJ491">
        <v>0</v>
      </c>
      <c r="BK491">
        <v>0</v>
      </c>
      <c r="BL491" s="6">
        <f t="shared" si="69"/>
        <v>29</v>
      </c>
      <c r="BM491" s="6">
        <f t="shared" si="68"/>
        <v>33</v>
      </c>
    </row>
    <row r="492" spans="1:70" hidden="1">
      <c r="A492" s="16" t="str">
        <f t="shared" si="67"/>
        <v>CP_2025_UPZ_2_1</v>
      </c>
      <c r="B492" t="s">
        <v>50</v>
      </c>
      <c r="C492">
        <v>42.043399999999998</v>
      </c>
      <c r="D492">
        <v>-124.2899</v>
      </c>
      <c r="E492" s="8">
        <v>45834</v>
      </c>
      <c r="F492">
        <v>2025</v>
      </c>
      <c r="G492" t="s">
        <v>66</v>
      </c>
      <c r="H492" t="s">
        <v>45</v>
      </c>
      <c r="I492">
        <v>2</v>
      </c>
      <c r="J492">
        <v>1</v>
      </c>
      <c r="K492" t="s">
        <v>51</v>
      </c>
      <c r="L492" s="23">
        <v>16</v>
      </c>
      <c r="M492" s="23">
        <v>6</v>
      </c>
      <c r="N492" s="23">
        <v>0</v>
      </c>
      <c r="O492" s="23">
        <v>10</v>
      </c>
      <c r="P492" s="23">
        <v>1</v>
      </c>
      <c r="Q492" s="23" t="s">
        <v>44</v>
      </c>
      <c r="R492" s="23">
        <v>0</v>
      </c>
      <c r="S492" s="23">
        <v>0</v>
      </c>
      <c r="T492" s="23">
        <v>1</v>
      </c>
      <c r="U492" s="23">
        <v>7</v>
      </c>
      <c r="AG492" s="34">
        <v>10</v>
      </c>
      <c r="AH492">
        <v>1</v>
      </c>
      <c r="AI492">
        <v>28</v>
      </c>
      <c r="AJ492">
        <v>0</v>
      </c>
      <c r="AK492">
        <v>0</v>
      </c>
      <c r="AL492">
        <v>49</v>
      </c>
      <c r="AM492">
        <v>15</v>
      </c>
      <c r="AN492">
        <v>2</v>
      </c>
      <c r="AO492">
        <v>0</v>
      </c>
      <c r="AP492">
        <v>5</v>
      </c>
      <c r="AQ492" s="21">
        <f t="shared" si="71"/>
        <v>-5</v>
      </c>
      <c r="AR492" s="12">
        <f t="shared" si="70"/>
        <v>100</v>
      </c>
      <c r="AS492">
        <v>0</v>
      </c>
      <c r="AT492">
        <v>21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2</v>
      </c>
      <c r="BG492">
        <v>0</v>
      </c>
      <c r="BH492">
        <v>0</v>
      </c>
      <c r="BI492">
        <v>0</v>
      </c>
      <c r="BJ492">
        <v>0</v>
      </c>
      <c r="BK492">
        <v>0</v>
      </c>
      <c r="BL492" s="6">
        <f t="shared" si="69"/>
        <v>23</v>
      </c>
      <c r="BM492" s="6">
        <f t="shared" si="68"/>
        <v>23</v>
      </c>
      <c r="BN492">
        <v>28</v>
      </c>
      <c r="BO492">
        <f t="shared" si="72"/>
        <v>28</v>
      </c>
      <c r="BP492">
        <v>0</v>
      </c>
      <c r="BQ492">
        <f>SUM(BP492,BB492,BK492)</f>
        <v>0</v>
      </c>
      <c r="BR492">
        <f t="shared" si="66"/>
        <v>0</v>
      </c>
    </row>
    <row r="493" spans="1:70" hidden="1">
      <c r="A493" s="16" t="str">
        <f t="shared" si="67"/>
        <v>CP_2025_UPZ_2_2</v>
      </c>
      <c r="B493" t="s">
        <v>50</v>
      </c>
      <c r="C493">
        <v>42.043399999999998</v>
      </c>
      <c r="D493">
        <v>-124.2899</v>
      </c>
      <c r="E493" s="8">
        <v>45834</v>
      </c>
      <c r="F493">
        <v>2025</v>
      </c>
      <c r="G493" t="s">
        <v>66</v>
      </c>
      <c r="H493" t="s">
        <v>45</v>
      </c>
      <c r="I493">
        <v>2</v>
      </c>
      <c r="J493">
        <v>2</v>
      </c>
      <c r="K493" t="s">
        <v>83</v>
      </c>
      <c r="L493" s="23">
        <v>21</v>
      </c>
      <c r="M493" s="23">
        <v>2</v>
      </c>
      <c r="N493" s="23">
        <v>1</v>
      </c>
      <c r="O493" s="23">
        <v>18</v>
      </c>
      <c r="P493" s="23">
        <v>3</v>
      </c>
      <c r="Q493" s="23" t="s">
        <v>44</v>
      </c>
      <c r="R493" s="23">
        <v>0</v>
      </c>
      <c r="S493" s="23">
        <v>0</v>
      </c>
      <c r="T493" s="23">
        <v>0</v>
      </c>
      <c r="U493" s="23">
        <v>1</v>
      </c>
      <c r="AG493" s="34">
        <v>32</v>
      </c>
      <c r="AH493">
        <v>0</v>
      </c>
      <c r="AI493">
        <v>6</v>
      </c>
      <c r="AJ493">
        <v>0</v>
      </c>
      <c r="AK493">
        <v>0</v>
      </c>
      <c r="AL493">
        <v>50</v>
      </c>
      <c r="AM493">
        <v>6</v>
      </c>
      <c r="AN493">
        <v>2</v>
      </c>
      <c r="AO493">
        <v>0</v>
      </c>
      <c r="AP493">
        <v>36</v>
      </c>
      <c r="AQ493" s="21">
        <f t="shared" si="71"/>
        <v>4</v>
      </c>
      <c r="AR493" s="12">
        <f t="shared" si="70"/>
        <v>100</v>
      </c>
      <c r="AS493">
        <v>0</v>
      </c>
      <c r="AT493">
        <v>12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 s="6">
        <f t="shared" si="69"/>
        <v>12</v>
      </c>
      <c r="BM493" s="6">
        <f t="shared" si="68"/>
        <v>12</v>
      </c>
      <c r="BN493">
        <v>6</v>
      </c>
      <c r="BO493">
        <f t="shared" si="72"/>
        <v>6</v>
      </c>
      <c r="BP493">
        <v>0</v>
      </c>
      <c r="BQ493">
        <f>SUM(BP493,BB493,BK493)</f>
        <v>0</v>
      </c>
      <c r="BR493">
        <f t="shared" si="66"/>
        <v>0</v>
      </c>
    </row>
    <row r="494" spans="1:70" hidden="1">
      <c r="A494" s="16" t="str">
        <f t="shared" si="67"/>
        <v>CP_2025_UPZ_2_3</v>
      </c>
      <c r="B494" t="s">
        <v>50</v>
      </c>
      <c r="C494">
        <v>42.043399999999998</v>
      </c>
      <c r="D494">
        <v>-124.2899</v>
      </c>
      <c r="E494" s="8">
        <v>45834</v>
      </c>
      <c r="F494">
        <v>2025</v>
      </c>
      <c r="G494" t="s">
        <v>66</v>
      </c>
      <c r="H494" t="s">
        <v>45</v>
      </c>
      <c r="I494">
        <v>2</v>
      </c>
      <c r="J494">
        <v>3</v>
      </c>
      <c r="K494" t="s">
        <v>83</v>
      </c>
      <c r="L494" s="23">
        <v>28</v>
      </c>
      <c r="M494" s="23">
        <v>14</v>
      </c>
      <c r="N494" s="23">
        <v>4</v>
      </c>
      <c r="O494" s="23">
        <v>10</v>
      </c>
      <c r="P494" s="23">
        <v>15</v>
      </c>
      <c r="Q494" s="23" t="s">
        <v>44</v>
      </c>
      <c r="R494" s="23">
        <v>0</v>
      </c>
      <c r="S494" s="23">
        <v>0</v>
      </c>
      <c r="T494" s="23">
        <v>2</v>
      </c>
      <c r="U494" s="23">
        <v>16</v>
      </c>
      <c r="AG494" s="34">
        <v>27</v>
      </c>
      <c r="AH494">
        <v>0</v>
      </c>
      <c r="AI494">
        <v>14</v>
      </c>
      <c r="AJ494">
        <v>0</v>
      </c>
      <c r="AK494">
        <v>0</v>
      </c>
      <c r="AL494">
        <v>52</v>
      </c>
      <c r="AM494">
        <v>12</v>
      </c>
      <c r="AN494">
        <v>0</v>
      </c>
      <c r="AO494">
        <v>2</v>
      </c>
      <c r="AP494">
        <v>20</v>
      </c>
      <c r="AQ494" s="21">
        <f t="shared" si="71"/>
        <v>-7</v>
      </c>
      <c r="AR494" s="12">
        <f t="shared" si="70"/>
        <v>100</v>
      </c>
      <c r="AS494">
        <v>0</v>
      </c>
      <c r="AT494">
        <v>85</v>
      </c>
      <c r="AU494">
        <v>0</v>
      </c>
      <c r="AV494">
        <v>0</v>
      </c>
      <c r="AW494">
        <v>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2</v>
      </c>
      <c r="BI494">
        <v>0</v>
      </c>
      <c r="BJ494">
        <v>0</v>
      </c>
      <c r="BK494">
        <v>0</v>
      </c>
      <c r="BL494" s="6">
        <f t="shared" si="69"/>
        <v>89</v>
      </c>
      <c r="BM494" s="6">
        <f t="shared" si="68"/>
        <v>91</v>
      </c>
    </row>
    <row r="495" spans="1:70" hidden="1">
      <c r="A495" s="16" t="str">
        <f t="shared" si="67"/>
        <v>CP_2025_UPZ_2_4</v>
      </c>
      <c r="B495" t="s">
        <v>50</v>
      </c>
      <c r="C495">
        <v>42.043399999999998</v>
      </c>
      <c r="D495">
        <v>-124.2899</v>
      </c>
      <c r="E495" s="8">
        <v>45834</v>
      </c>
      <c r="F495">
        <v>2025</v>
      </c>
      <c r="G495" t="s">
        <v>66</v>
      </c>
      <c r="H495" t="s">
        <v>45</v>
      </c>
      <c r="I495">
        <v>2</v>
      </c>
      <c r="J495">
        <v>4</v>
      </c>
      <c r="K495" t="s">
        <v>83</v>
      </c>
      <c r="L495" s="23">
        <v>1</v>
      </c>
      <c r="M495" s="23">
        <v>0</v>
      </c>
      <c r="N495" s="23">
        <v>1</v>
      </c>
      <c r="O495" s="23">
        <v>0</v>
      </c>
      <c r="P495" s="23">
        <v>0</v>
      </c>
      <c r="Q495" s="23" t="s">
        <v>44</v>
      </c>
      <c r="R495" s="23">
        <v>0</v>
      </c>
      <c r="S495" s="23">
        <v>0</v>
      </c>
      <c r="T495" s="23">
        <v>0</v>
      </c>
      <c r="U495" s="23">
        <v>0</v>
      </c>
      <c r="AG495" s="34">
        <v>1</v>
      </c>
      <c r="AH495">
        <v>6</v>
      </c>
      <c r="AI495">
        <v>43</v>
      </c>
      <c r="AJ495">
        <v>0</v>
      </c>
      <c r="AK495">
        <v>0</v>
      </c>
      <c r="AL495">
        <v>43</v>
      </c>
      <c r="AM495">
        <v>6</v>
      </c>
      <c r="AN495">
        <v>2</v>
      </c>
      <c r="AO495">
        <v>0</v>
      </c>
      <c r="AP495">
        <v>0</v>
      </c>
      <c r="AQ495" s="21">
        <f t="shared" si="71"/>
        <v>-1</v>
      </c>
      <c r="AR495" s="12">
        <f t="shared" si="70"/>
        <v>100</v>
      </c>
      <c r="AS495">
        <v>0</v>
      </c>
      <c r="AT495">
        <v>77</v>
      </c>
      <c r="AU495">
        <v>0</v>
      </c>
      <c r="AV495">
        <v>0</v>
      </c>
      <c r="AW495">
        <v>0</v>
      </c>
      <c r="AX495">
        <v>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9</v>
      </c>
      <c r="BG495">
        <v>0</v>
      </c>
      <c r="BH495">
        <v>5</v>
      </c>
      <c r="BI495">
        <v>0</v>
      </c>
      <c r="BJ495">
        <v>0</v>
      </c>
      <c r="BK495">
        <v>0</v>
      </c>
      <c r="BL495" s="6">
        <f t="shared" si="69"/>
        <v>93</v>
      </c>
      <c r="BM495" s="6">
        <f t="shared" si="68"/>
        <v>98</v>
      </c>
    </row>
    <row r="496" spans="1:70" hidden="1">
      <c r="A496" s="16" t="str">
        <f t="shared" si="67"/>
        <v>CP_2025_UPZ_2_5</v>
      </c>
      <c r="B496" t="s">
        <v>50</v>
      </c>
      <c r="C496">
        <v>42.043399999999998</v>
      </c>
      <c r="D496">
        <v>-124.2899</v>
      </c>
      <c r="E496" s="8">
        <v>45834</v>
      </c>
      <c r="F496">
        <v>2025</v>
      </c>
      <c r="G496" t="s">
        <v>66</v>
      </c>
      <c r="H496" t="s">
        <v>45</v>
      </c>
      <c r="I496">
        <v>2</v>
      </c>
      <c r="J496">
        <v>5</v>
      </c>
      <c r="K496" t="s">
        <v>83</v>
      </c>
      <c r="L496" s="23">
        <v>13</v>
      </c>
      <c r="M496" s="23">
        <v>0</v>
      </c>
      <c r="N496" s="23">
        <v>5</v>
      </c>
      <c r="O496" s="23">
        <v>8</v>
      </c>
      <c r="P496" s="23">
        <v>2</v>
      </c>
      <c r="Q496" s="23" t="s">
        <v>44</v>
      </c>
      <c r="R496" s="23">
        <v>0</v>
      </c>
      <c r="S496" s="23">
        <v>0</v>
      </c>
      <c r="T496" s="23">
        <v>0</v>
      </c>
      <c r="U496" s="23">
        <v>0</v>
      </c>
      <c r="AG496" s="34">
        <v>12</v>
      </c>
      <c r="AH496">
        <v>1</v>
      </c>
      <c r="AI496">
        <v>1</v>
      </c>
      <c r="AJ496">
        <v>0</v>
      </c>
      <c r="AK496">
        <v>0</v>
      </c>
      <c r="AL496">
        <v>86</v>
      </c>
      <c r="AM496">
        <v>6</v>
      </c>
      <c r="AN496">
        <v>0</v>
      </c>
      <c r="AO496">
        <v>0</v>
      </c>
      <c r="AP496">
        <v>6</v>
      </c>
      <c r="AQ496" s="21">
        <f t="shared" si="71"/>
        <v>-6</v>
      </c>
      <c r="AR496" s="12">
        <f t="shared" si="70"/>
        <v>100</v>
      </c>
      <c r="AS496">
        <v>0</v>
      </c>
      <c r="AT496">
        <v>63</v>
      </c>
      <c r="AU496">
        <v>0</v>
      </c>
      <c r="AV496">
        <v>0</v>
      </c>
      <c r="AW496">
        <v>4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3</v>
      </c>
      <c r="BG496">
        <v>0</v>
      </c>
      <c r="BH496">
        <v>0</v>
      </c>
      <c r="BI496">
        <v>0</v>
      </c>
      <c r="BJ496">
        <v>0</v>
      </c>
      <c r="BK496">
        <v>0</v>
      </c>
      <c r="BL496" s="6">
        <f t="shared" si="69"/>
        <v>70</v>
      </c>
      <c r="BM496" s="6">
        <f t="shared" si="68"/>
        <v>70</v>
      </c>
      <c r="BN496">
        <v>1</v>
      </c>
      <c r="BO496">
        <f t="shared" si="72"/>
        <v>1</v>
      </c>
      <c r="BP496">
        <v>0</v>
      </c>
      <c r="BQ496">
        <f>SUM(BP496,BB496,BK496)</f>
        <v>0</v>
      </c>
      <c r="BR496">
        <f t="shared" si="66"/>
        <v>0</v>
      </c>
    </row>
    <row r="497" spans="1:70" hidden="1">
      <c r="A497" s="16" t="str">
        <f t="shared" si="67"/>
        <v>CP_2025_NPZ_1_1</v>
      </c>
      <c r="B497" t="s">
        <v>50</v>
      </c>
      <c r="C497">
        <v>42.043399999999998</v>
      </c>
      <c r="D497">
        <v>-124.2899</v>
      </c>
      <c r="E497" s="8">
        <v>45834</v>
      </c>
      <c r="F497">
        <v>2025</v>
      </c>
      <c r="G497" t="s">
        <v>66</v>
      </c>
      <c r="H497" t="s">
        <v>48</v>
      </c>
      <c r="I497">
        <v>1</v>
      </c>
      <c r="J497">
        <v>1</v>
      </c>
      <c r="K497" t="s">
        <v>47</v>
      </c>
      <c r="L497" s="23">
        <v>32</v>
      </c>
      <c r="M497" s="23">
        <v>0</v>
      </c>
      <c r="N497" s="23">
        <v>0</v>
      </c>
      <c r="O497" s="23">
        <v>32</v>
      </c>
      <c r="P497" s="23">
        <v>19</v>
      </c>
      <c r="Q497" s="23" t="s">
        <v>44</v>
      </c>
      <c r="R497" s="23">
        <v>0</v>
      </c>
      <c r="S497" s="23">
        <v>0</v>
      </c>
      <c r="T497" s="23">
        <v>0</v>
      </c>
      <c r="U497" s="23">
        <v>0</v>
      </c>
      <c r="AG497" s="34">
        <v>25</v>
      </c>
      <c r="AH497">
        <v>0</v>
      </c>
      <c r="AI497">
        <v>0</v>
      </c>
      <c r="AJ497">
        <v>0</v>
      </c>
      <c r="AK497">
        <v>0</v>
      </c>
      <c r="AL497">
        <v>66</v>
      </c>
      <c r="AM497">
        <v>1</v>
      </c>
      <c r="AN497">
        <v>5</v>
      </c>
      <c r="AO497">
        <v>0</v>
      </c>
      <c r="AP497">
        <v>28</v>
      </c>
      <c r="AQ497" s="21">
        <f t="shared" si="71"/>
        <v>3</v>
      </c>
      <c r="AR497" s="12">
        <f t="shared" si="70"/>
        <v>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 s="6">
        <f t="shared" si="69"/>
        <v>0</v>
      </c>
      <c r="BM497" s="6">
        <f t="shared" si="68"/>
        <v>0</v>
      </c>
      <c r="BN497">
        <v>0</v>
      </c>
      <c r="BO497">
        <f t="shared" si="72"/>
        <v>0</v>
      </c>
      <c r="BP497">
        <v>0</v>
      </c>
      <c r="BQ497">
        <f>SUM(BP497,BB497,BK497)</f>
        <v>0</v>
      </c>
      <c r="BR497">
        <f t="shared" si="66"/>
        <v>0</v>
      </c>
    </row>
    <row r="498" spans="1:70" hidden="1">
      <c r="A498" s="16" t="str">
        <f t="shared" si="67"/>
        <v>CP_2025_NPZ_1_2</v>
      </c>
      <c r="B498" t="s">
        <v>50</v>
      </c>
      <c r="C498">
        <v>42.043399999999998</v>
      </c>
      <c r="D498">
        <v>-124.2899</v>
      </c>
      <c r="E498" s="8">
        <v>45834</v>
      </c>
      <c r="F498">
        <v>2025</v>
      </c>
      <c r="G498" t="s">
        <v>66</v>
      </c>
      <c r="H498" t="s">
        <v>48</v>
      </c>
      <c r="I498">
        <v>1</v>
      </c>
      <c r="J498">
        <v>2</v>
      </c>
      <c r="K498" t="s">
        <v>51</v>
      </c>
      <c r="L498" s="23">
        <v>46</v>
      </c>
      <c r="M498" s="23">
        <v>1</v>
      </c>
      <c r="N498" s="23">
        <v>3</v>
      </c>
      <c r="O498" s="23">
        <v>42</v>
      </c>
      <c r="P498" s="23">
        <v>20</v>
      </c>
      <c r="Q498" s="23" t="s">
        <v>44</v>
      </c>
      <c r="R498" s="23">
        <v>0</v>
      </c>
      <c r="S498" s="23">
        <v>0</v>
      </c>
      <c r="T498" s="23">
        <v>0</v>
      </c>
      <c r="U498" s="23">
        <v>1</v>
      </c>
      <c r="AG498" s="34">
        <v>50</v>
      </c>
      <c r="AH498">
        <v>0</v>
      </c>
      <c r="AI498">
        <v>3</v>
      </c>
      <c r="AJ498">
        <v>0</v>
      </c>
      <c r="AK498">
        <v>0</v>
      </c>
      <c r="AL498">
        <v>36</v>
      </c>
      <c r="AM498">
        <v>3</v>
      </c>
      <c r="AN498">
        <v>2</v>
      </c>
      <c r="AO498">
        <v>0</v>
      </c>
      <c r="AP498">
        <v>56</v>
      </c>
      <c r="AQ498" s="21">
        <f t="shared" si="71"/>
        <v>6</v>
      </c>
      <c r="AR498" s="12">
        <f t="shared" si="70"/>
        <v>100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 s="6">
        <f t="shared" si="69"/>
        <v>0</v>
      </c>
      <c r="BM498" s="6">
        <f t="shared" si="68"/>
        <v>0</v>
      </c>
      <c r="BN498">
        <v>3</v>
      </c>
      <c r="BO498">
        <f t="shared" si="72"/>
        <v>3</v>
      </c>
      <c r="BP498">
        <v>0</v>
      </c>
      <c r="BQ498">
        <f>SUM(BP498,BB498,BK498)</f>
        <v>0</v>
      </c>
      <c r="BR498">
        <f t="shared" si="66"/>
        <v>0</v>
      </c>
    </row>
    <row r="499" spans="1:70" hidden="1">
      <c r="A499" s="16" t="str">
        <f t="shared" si="67"/>
        <v>CP_2025_NPZ_1_3</v>
      </c>
      <c r="B499" t="s">
        <v>50</v>
      </c>
      <c r="C499">
        <v>42.043399999999998</v>
      </c>
      <c r="D499">
        <v>-124.2899</v>
      </c>
      <c r="E499" s="8">
        <v>45834</v>
      </c>
      <c r="F499">
        <v>2025</v>
      </c>
      <c r="G499" t="s">
        <v>66</v>
      </c>
      <c r="H499" t="s">
        <v>48</v>
      </c>
      <c r="I499">
        <v>1</v>
      </c>
      <c r="J499">
        <v>3</v>
      </c>
      <c r="K499" t="s">
        <v>57</v>
      </c>
      <c r="L499" s="23">
        <v>34</v>
      </c>
      <c r="M499" s="23">
        <v>1</v>
      </c>
      <c r="N499" s="23">
        <v>1</v>
      </c>
      <c r="O499" s="23">
        <v>32</v>
      </c>
      <c r="P499" s="23">
        <v>5</v>
      </c>
      <c r="Q499" s="23" t="s">
        <v>44</v>
      </c>
      <c r="R499" s="23">
        <v>0</v>
      </c>
      <c r="S499" s="23">
        <v>0</v>
      </c>
      <c r="T499" s="23">
        <v>0</v>
      </c>
      <c r="U499" s="23">
        <v>1</v>
      </c>
      <c r="AG499" s="34">
        <v>26</v>
      </c>
      <c r="AH499">
        <v>0</v>
      </c>
      <c r="AI499">
        <v>2</v>
      </c>
      <c r="AJ499">
        <v>0</v>
      </c>
      <c r="AK499">
        <v>0</v>
      </c>
      <c r="AL499">
        <v>69</v>
      </c>
      <c r="AM499">
        <v>8</v>
      </c>
      <c r="AN499">
        <v>2</v>
      </c>
      <c r="AO499">
        <v>0</v>
      </c>
      <c r="AP499">
        <v>19</v>
      </c>
      <c r="AQ499" s="21">
        <f t="shared" si="71"/>
        <v>-7</v>
      </c>
      <c r="AR499" s="12">
        <f t="shared" si="70"/>
        <v>100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 s="6">
        <f t="shared" si="69"/>
        <v>0</v>
      </c>
      <c r="BM499" s="6">
        <f t="shared" si="68"/>
        <v>0</v>
      </c>
      <c r="BN499">
        <v>2</v>
      </c>
      <c r="BO499">
        <f t="shared" si="72"/>
        <v>2</v>
      </c>
      <c r="BP499">
        <v>0</v>
      </c>
      <c r="BQ499">
        <f>SUM(BP499,BB499,BK499)</f>
        <v>0</v>
      </c>
      <c r="BR499">
        <f t="shared" si="66"/>
        <v>0</v>
      </c>
    </row>
    <row r="500" spans="1:70" hidden="1">
      <c r="A500" s="16" t="str">
        <f t="shared" si="67"/>
        <v>CP_2025_NPZ_1_4</v>
      </c>
      <c r="B500" t="s">
        <v>50</v>
      </c>
      <c r="C500">
        <v>42.043399999999998</v>
      </c>
      <c r="D500">
        <v>-124.2899</v>
      </c>
      <c r="E500" s="8">
        <v>45834</v>
      </c>
      <c r="F500">
        <v>2025</v>
      </c>
      <c r="G500" t="s">
        <v>66</v>
      </c>
      <c r="H500" t="s">
        <v>48</v>
      </c>
      <c r="I500">
        <v>1</v>
      </c>
      <c r="J500">
        <v>4</v>
      </c>
      <c r="K500" t="s">
        <v>83</v>
      </c>
      <c r="L500" s="23">
        <v>23</v>
      </c>
      <c r="M500" s="23">
        <v>0</v>
      </c>
      <c r="N500" s="23">
        <v>0</v>
      </c>
      <c r="O500" s="23">
        <v>23</v>
      </c>
      <c r="P500" s="23">
        <v>3</v>
      </c>
      <c r="Q500" s="23" t="s">
        <v>44</v>
      </c>
      <c r="R500" s="23">
        <v>0</v>
      </c>
      <c r="S500" s="23">
        <v>0</v>
      </c>
      <c r="T500" s="23">
        <v>0</v>
      </c>
      <c r="U500" s="23">
        <v>0</v>
      </c>
      <c r="AG500" s="34">
        <v>25</v>
      </c>
      <c r="AH500">
        <v>0</v>
      </c>
      <c r="AI500">
        <v>1</v>
      </c>
      <c r="AJ500">
        <v>0</v>
      </c>
      <c r="AK500">
        <v>0</v>
      </c>
      <c r="AL500">
        <v>80</v>
      </c>
      <c r="AM500">
        <v>7</v>
      </c>
      <c r="AN500">
        <v>6</v>
      </c>
      <c r="AO500">
        <v>3</v>
      </c>
      <c r="AP500">
        <v>3</v>
      </c>
      <c r="AQ500" s="21">
        <f t="shared" si="71"/>
        <v>-22</v>
      </c>
      <c r="AR500" s="12">
        <f t="shared" si="70"/>
        <v>100</v>
      </c>
      <c r="AS500">
        <v>0</v>
      </c>
      <c r="AT500">
        <v>8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 s="6">
        <f t="shared" si="69"/>
        <v>8</v>
      </c>
      <c r="BM500" s="6">
        <f t="shared" si="68"/>
        <v>8</v>
      </c>
      <c r="BN500">
        <v>1</v>
      </c>
      <c r="BO500">
        <f t="shared" si="72"/>
        <v>1</v>
      </c>
      <c r="BP500">
        <v>0</v>
      </c>
      <c r="BQ500">
        <f>SUM(BP500,BB500,BK500)</f>
        <v>0</v>
      </c>
      <c r="BR500">
        <f t="shared" si="66"/>
        <v>0</v>
      </c>
    </row>
    <row r="501" spans="1:70" hidden="1">
      <c r="A501" s="16" t="str">
        <f t="shared" si="67"/>
        <v>CP_2025_NPZ_1_5</v>
      </c>
      <c r="B501" t="s">
        <v>50</v>
      </c>
      <c r="C501">
        <v>42.043399999999998</v>
      </c>
      <c r="D501">
        <v>-124.2899</v>
      </c>
      <c r="E501" s="8">
        <v>45834</v>
      </c>
      <c r="F501">
        <v>2025</v>
      </c>
      <c r="G501" t="s">
        <v>66</v>
      </c>
      <c r="H501" t="s">
        <v>48</v>
      </c>
      <c r="I501">
        <v>1</v>
      </c>
      <c r="J501">
        <v>5</v>
      </c>
      <c r="K501" t="s">
        <v>51</v>
      </c>
      <c r="L501" s="23">
        <v>43</v>
      </c>
      <c r="M501" s="23">
        <v>5</v>
      </c>
      <c r="N501" s="23">
        <v>5</v>
      </c>
      <c r="O501" s="23">
        <v>33</v>
      </c>
      <c r="P501" s="23">
        <v>34</v>
      </c>
      <c r="Q501" s="23" t="s">
        <v>44</v>
      </c>
      <c r="R501" s="23">
        <v>1</v>
      </c>
      <c r="S501" s="23">
        <v>0</v>
      </c>
      <c r="T501" s="23">
        <v>2</v>
      </c>
      <c r="U501" s="23">
        <v>7</v>
      </c>
      <c r="AG501" s="34">
        <v>45</v>
      </c>
      <c r="AH501">
        <v>0</v>
      </c>
      <c r="AI501">
        <v>4</v>
      </c>
      <c r="AJ501">
        <v>0</v>
      </c>
      <c r="AK501">
        <v>0</v>
      </c>
      <c r="AL501">
        <v>8</v>
      </c>
      <c r="AM501">
        <v>21</v>
      </c>
      <c r="AN501">
        <v>5</v>
      </c>
      <c r="AO501">
        <v>0</v>
      </c>
      <c r="AP501">
        <v>62</v>
      </c>
      <c r="AQ501" s="21">
        <f t="shared" si="71"/>
        <v>17</v>
      </c>
      <c r="AR501" s="12">
        <f t="shared" si="70"/>
        <v>100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 s="6">
        <f t="shared" si="69"/>
        <v>0</v>
      </c>
      <c r="BM501" s="6">
        <f t="shared" si="68"/>
        <v>0</v>
      </c>
      <c r="BN501">
        <v>4</v>
      </c>
      <c r="BO501">
        <f t="shared" si="72"/>
        <v>4</v>
      </c>
      <c r="BP501">
        <v>0</v>
      </c>
      <c r="BQ501">
        <f>SUM(BP501,BB501,BK501)</f>
        <v>0</v>
      </c>
      <c r="BR501">
        <f t="shared" si="66"/>
        <v>0</v>
      </c>
    </row>
    <row r="502" spans="1:70" hidden="1">
      <c r="A502" s="16" t="str">
        <f t="shared" si="67"/>
        <v>CP_2025_NPZ_2_1</v>
      </c>
      <c r="B502" t="s">
        <v>50</v>
      </c>
      <c r="C502">
        <v>42.043399999999998</v>
      </c>
      <c r="D502">
        <v>-124.2899</v>
      </c>
      <c r="E502" s="8">
        <v>45834</v>
      </c>
      <c r="F502">
        <v>2025</v>
      </c>
      <c r="G502" t="s">
        <v>66</v>
      </c>
      <c r="H502" t="s">
        <v>48</v>
      </c>
      <c r="I502">
        <v>2</v>
      </c>
      <c r="J502">
        <v>1</v>
      </c>
      <c r="K502" t="s">
        <v>47</v>
      </c>
      <c r="L502" s="23">
        <v>25</v>
      </c>
      <c r="M502" s="23">
        <v>0</v>
      </c>
      <c r="N502" s="23">
        <v>0</v>
      </c>
      <c r="O502" s="23">
        <v>25</v>
      </c>
      <c r="P502" s="23">
        <v>16</v>
      </c>
      <c r="Q502" s="23" t="s">
        <v>44</v>
      </c>
      <c r="R502" s="23">
        <v>0</v>
      </c>
      <c r="S502" s="23">
        <v>0</v>
      </c>
      <c r="T502" s="23">
        <v>0</v>
      </c>
      <c r="U502" s="23">
        <v>0</v>
      </c>
      <c r="AG502" s="34">
        <v>23</v>
      </c>
      <c r="AH502">
        <v>0</v>
      </c>
      <c r="AI502">
        <v>1</v>
      </c>
      <c r="AJ502">
        <v>0.1</v>
      </c>
      <c r="AK502">
        <v>0</v>
      </c>
      <c r="AL502">
        <v>65</v>
      </c>
      <c r="AM502">
        <v>24</v>
      </c>
      <c r="AN502">
        <v>0</v>
      </c>
      <c r="AO502">
        <v>0</v>
      </c>
      <c r="AP502">
        <v>10</v>
      </c>
      <c r="AQ502" s="21">
        <f t="shared" si="71"/>
        <v>-13</v>
      </c>
      <c r="AR502" s="12">
        <f t="shared" si="70"/>
        <v>100.1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 s="6">
        <f t="shared" si="69"/>
        <v>0</v>
      </c>
      <c r="BM502" s="6">
        <f t="shared" si="68"/>
        <v>0</v>
      </c>
      <c r="BN502">
        <v>1</v>
      </c>
      <c r="BO502">
        <f t="shared" si="72"/>
        <v>1</v>
      </c>
      <c r="BP502">
        <v>0.1</v>
      </c>
      <c r="BQ502">
        <f>SUM(BP502,BB502,BK502)</f>
        <v>0.1</v>
      </c>
      <c r="BR502">
        <f t="shared" si="66"/>
        <v>0</v>
      </c>
    </row>
    <row r="503" spans="1:70" hidden="1">
      <c r="A503" s="16" t="str">
        <f t="shared" si="67"/>
        <v>CP_2025_NPZ_2_2</v>
      </c>
      <c r="B503" t="s">
        <v>50</v>
      </c>
      <c r="C503">
        <v>42.043399999999998</v>
      </c>
      <c r="D503">
        <v>-124.2899</v>
      </c>
      <c r="E503" s="8">
        <v>45834</v>
      </c>
      <c r="F503">
        <v>2025</v>
      </c>
      <c r="G503" t="s">
        <v>66</v>
      </c>
      <c r="H503" t="s">
        <v>48</v>
      </c>
      <c r="I503">
        <v>2</v>
      </c>
      <c r="J503">
        <v>2</v>
      </c>
      <c r="K503" t="s">
        <v>51</v>
      </c>
      <c r="L503" s="23">
        <v>34</v>
      </c>
      <c r="M503" s="23">
        <v>0</v>
      </c>
      <c r="N503" s="23">
        <v>0</v>
      </c>
      <c r="O503" s="23">
        <v>34</v>
      </c>
      <c r="P503" s="23">
        <v>26</v>
      </c>
      <c r="Q503" s="23" t="s">
        <v>44</v>
      </c>
      <c r="R503" s="23">
        <v>0</v>
      </c>
      <c r="S503" s="23">
        <v>0</v>
      </c>
      <c r="T503" s="23">
        <v>0</v>
      </c>
      <c r="U503" s="23">
        <v>0</v>
      </c>
      <c r="AG503" s="34">
        <v>38</v>
      </c>
      <c r="AH503">
        <v>0</v>
      </c>
      <c r="AI503">
        <v>0</v>
      </c>
      <c r="AJ503">
        <v>0</v>
      </c>
      <c r="AK503">
        <v>0</v>
      </c>
      <c r="AL503">
        <v>50</v>
      </c>
      <c r="AM503">
        <v>5</v>
      </c>
      <c r="AN503">
        <v>1</v>
      </c>
      <c r="AO503">
        <v>4</v>
      </c>
      <c r="AP503">
        <v>40</v>
      </c>
      <c r="AQ503" s="21">
        <f t="shared" si="71"/>
        <v>2</v>
      </c>
      <c r="AR503" s="12">
        <f t="shared" si="70"/>
        <v>100</v>
      </c>
      <c r="AS503">
        <v>0</v>
      </c>
      <c r="AT503">
        <v>6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 s="6">
        <f t="shared" si="69"/>
        <v>6</v>
      </c>
      <c r="BM503" s="6">
        <f t="shared" si="68"/>
        <v>6</v>
      </c>
      <c r="BN503">
        <v>0</v>
      </c>
      <c r="BO503">
        <f t="shared" si="72"/>
        <v>0</v>
      </c>
      <c r="BP503">
        <v>0</v>
      </c>
      <c r="BQ503">
        <f>SUM(BP503,BB503,BK503)</f>
        <v>0</v>
      </c>
      <c r="BR503">
        <f t="shared" si="66"/>
        <v>0</v>
      </c>
    </row>
    <row r="504" spans="1:70" hidden="1">
      <c r="A504" s="16" t="str">
        <f t="shared" si="67"/>
        <v>CP_2025_NPZ_2_3</v>
      </c>
      <c r="B504" t="s">
        <v>50</v>
      </c>
      <c r="C504">
        <v>42.043399999999998</v>
      </c>
      <c r="D504">
        <v>-124.2899</v>
      </c>
      <c r="E504" s="8">
        <v>45834</v>
      </c>
      <c r="F504">
        <v>2025</v>
      </c>
      <c r="G504" t="s">
        <v>66</v>
      </c>
      <c r="H504" t="s">
        <v>48</v>
      </c>
      <c r="I504">
        <v>2</v>
      </c>
      <c r="J504">
        <v>3</v>
      </c>
      <c r="K504" t="s">
        <v>57</v>
      </c>
      <c r="L504" s="23">
        <v>44</v>
      </c>
      <c r="M504" s="23">
        <v>4</v>
      </c>
      <c r="N504" s="23">
        <v>0</v>
      </c>
      <c r="O504" s="23">
        <v>40</v>
      </c>
      <c r="P504" s="23">
        <v>49</v>
      </c>
      <c r="Q504" s="23" t="s">
        <v>44</v>
      </c>
      <c r="R504" s="23">
        <v>0</v>
      </c>
      <c r="S504" s="23">
        <v>0</v>
      </c>
      <c r="T504" s="23">
        <v>0</v>
      </c>
      <c r="U504" s="23">
        <v>4</v>
      </c>
      <c r="AG504" s="34">
        <v>42</v>
      </c>
      <c r="AH504">
        <v>0</v>
      </c>
      <c r="AI504">
        <v>0</v>
      </c>
      <c r="AJ504">
        <v>0</v>
      </c>
      <c r="AK504">
        <v>0</v>
      </c>
      <c r="AL504">
        <v>25</v>
      </c>
      <c r="AM504">
        <v>6</v>
      </c>
      <c r="AN504">
        <v>12</v>
      </c>
      <c r="AO504">
        <v>8</v>
      </c>
      <c r="AP504">
        <v>49</v>
      </c>
      <c r="AQ504" s="21">
        <f t="shared" si="71"/>
        <v>7</v>
      </c>
      <c r="AR504" s="12">
        <f t="shared" si="70"/>
        <v>100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 s="6">
        <f t="shared" si="69"/>
        <v>0</v>
      </c>
      <c r="BM504" s="6">
        <f t="shared" si="68"/>
        <v>0</v>
      </c>
      <c r="BN504">
        <v>0</v>
      </c>
      <c r="BO504">
        <f t="shared" si="72"/>
        <v>0</v>
      </c>
      <c r="BP504">
        <v>0</v>
      </c>
      <c r="BQ504">
        <f>SUM(BP504,BB504,BK504)</f>
        <v>0</v>
      </c>
      <c r="BR504">
        <f t="shared" si="66"/>
        <v>0</v>
      </c>
    </row>
    <row r="505" spans="1:70" hidden="1">
      <c r="A505" s="16" t="str">
        <f t="shared" si="67"/>
        <v>CP_2025_NPZ_2_4</v>
      </c>
      <c r="B505" t="s">
        <v>50</v>
      </c>
      <c r="C505">
        <v>42.043399999999998</v>
      </c>
      <c r="D505">
        <v>-124.2899</v>
      </c>
      <c r="E505" s="8">
        <v>45834</v>
      </c>
      <c r="F505">
        <v>2025</v>
      </c>
      <c r="G505" t="s">
        <v>66</v>
      </c>
      <c r="H505" t="s">
        <v>48</v>
      </c>
      <c r="I505">
        <v>2</v>
      </c>
      <c r="J505">
        <v>4</v>
      </c>
      <c r="K505" t="s">
        <v>57</v>
      </c>
      <c r="L505" s="23">
        <v>38</v>
      </c>
      <c r="M505" s="23">
        <v>0</v>
      </c>
      <c r="N505" s="23">
        <v>0</v>
      </c>
      <c r="O505" s="23">
        <v>38</v>
      </c>
      <c r="P505" s="23">
        <v>8</v>
      </c>
      <c r="Q505" s="23" t="s">
        <v>44</v>
      </c>
      <c r="R505" s="23">
        <v>0</v>
      </c>
      <c r="S505" s="23">
        <v>0</v>
      </c>
      <c r="T505" s="23">
        <v>0</v>
      </c>
      <c r="U505" s="23">
        <v>0</v>
      </c>
      <c r="AG505" s="34">
        <v>30</v>
      </c>
      <c r="AH505">
        <v>0</v>
      </c>
      <c r="AI505">
        <v>0</v>
      </c>
      <c r="AJ505">
        <v>0</v>
      </c>
      <c r="AK505">
        <v>0</v>
      </c>
      <c r="AL505">
        <v>26</v>
      </c>
      <c r="AM505">
        <v>2</v>
      </c>
      <c r="AN505">
        <v>1</v>
      </c>
      <c r="AO505">
        <v>4</v>
      </c>
      <c r="AP505">
        <v>67</v>
      </c>
      <c r="AQ505" s="21">
        <f t="shared" si="71"/>
        <v>37</v>
      </c>
      <c r="AR505" s="12">
        <f t="shared" si="70"/>
        <v>100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 s="6">
        <f t="shared" si="69"/>
        <v>1</v>
      </c>
      <c r="BM505" s="6">
        <f t="shared" si="68"/>
        <v>1</v>
      </c>
      <c r="BN505">
        <v>0</v>
      </c>
      <c r="BO505">
        <f t="shared" si="72"/>
        <v>0</v>
      </c>
      <c r="BP505">
        <v>0</v>
      </c>
      <c r="BQ505">
        <f>SUM(BP505,BB505,BK505)</f>
        <v>0</v>
      </c>
      <c r="BR505">
        <f t="shared" si="66"/>
        <v>0</v>
      </c>
    </row>
    <row r="506" spans="1:70" hidden="1">
      <c r="A506" s="16" t="str">
        <f t="shared" si="67"/>
        <v>CP_2025_NPZ_2_5</v>
      </c>
      <c r="B506" t="s">
        <v>50</v>
      </c>
      <c r="C506">
        <v>42.043399999999998</v>
      </c>
      <c r="D506">
        <v>-124.2899</v>
      </c>
      <c r="E506" s="8">
        <v>45834</v>
      </c>
      <c r="F506">
        <v>2025</v>
      </c>
      <c r="G506" t="s">
        <v>66</v>
      </c>
      <c r="H506" t="s">
        <v>48</v>
      </c>
      <c r="I506">
        <v>2</v>
      </c>
      <c r="J506">
        <v>5</v>
      </c>
      <c r="K506" t="s">
        <v>47</v>
      </c>
      <c r="L506" s="23">
        <v>26</v>
      </c>
      <c r="M506" s="23">
        <v>0</v>
      </c>
      <c r="N506" s="23">
        <v>1</v>
      </c>
      <c r="O506" s="23">
        <v>19</v>
      </c>
      <c r="P506" s="23">
        <v>17</v>
      </c>
      <c r="Q506" s="23" t="s">
        <v>44</v>
      </c>
      <c r="R506" s="23">
        <v>0</v>
      </c>
      <c r="S506" s="23">
        <v>0</v>
      </c>
      <c r="T506" s="23">
        <v>0</v>
      </c>
      <c r="U506" s="23">
        <v>0</v>
      </c>
      <c r="AG506" s="34">
        <v>29</v>
      </c>
      <c r="AH506">
        <v>0</v>
      </c>
      <c r="AI506">
        <v>0</v>
      </c>
      <c r="AJ506">
        <v>0</v>
      </c>
      <c r="AK506">
        <v>0</v>
      </c>
      <c r="AL506">
        <v>38</v>
      </c>
      <c r="AM506">
        <v>2</v>
      </c>
      <c r="AN506">
        <v>0</v>
      </c>
      <c r="AO506">
        <v>0</v>
      </c>
      <c r="AP506">
        <v>60</v>
      </c>
      <c r="AQ506" s="21">
        <f t="shared" si="71"/>
        <v>31</v>
      </c>
      <c r="AR506" s="12">
        <f t="shared" si="70"/>
        <v>100</v>
      </c>
      <c r="AS506">
        <v>0</v>
      </c>
      <c r="AT506">
        <v>0</v>
      </c>
      <c r="AU506">
        <v>0</v>
      </c>
      <c r="AV506">
        <v>0</v>
      </c>
      <c r="AW506">
        <v>27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 s="6">
        <f t="shared" si="69"/>
        <v>27</v>
      </c>
      <c r="BM506" s="6">
        <f t="shared" si="68"/>
        <v>27</v>
      </c>
      <c r="BN506">
        <v>0</v>
      </c>
      <c r="BO506">
        <f t="shared" si="72"/>
        <v>0</v>
      </c>
      <c r="BP506">
        <v>0</v>
      </c>
      <c r="BQ506">
        <f>SUM(BP506,BB506,BK506)</f>
        <v>0</v>
      </c>
      <c r="BR506">
        <f t="shared" si="66"/>
        <v>0</v>
      </c>
    </row>
    <row r="507" spans="1:70" hidden="1">
      <c r="A507" s="16" t="str">
        <f t="shared" si="67"/>
        <v>CB_2025_AZ_1_1</v>
      </c>
      <c r="B507" t="s">
        <v>56</v>
      </c>
      <c r="C507">
        <v>42.839689999999997</v>
      </c>
      <c r="D507">
        <v>-124.5651</v>
      </c>
      <c r="E507" s="8">
        <v>45835</v>
      </c>
      <c r="F507">
        <v>2025</v>
      </c>
      <c r="G507" t="s">
        <v>56</v>
      </c>
      <c r="H507" t="s">
        <v>42</v>
      </c>
      <c r="I507">
        <v>1</v>
      </c>
      <c r="J507">
        <v>1</v>
      </c>
      <c r="K507" t="s">
        <v>47</v>
      </c>
      <c r="L507" s="23">
        <v>0</v>
      </c>
      <c r="M507" s="23">
        <v>0</v>
      </c>
      <c r="N507" s="23">
        <v>0</v>
      </c>
      <c r="O507" s="23">
        <v>0</v>
      </c>
      <c r="P507" s="23">
        <v>0</v>
      </c>
      <c r="Q507" s="23" t="s">
        <v>44</v>
      </c>
      <c r="R507" s="23">
        <v>0</v>
      </c>
      <c r="S507" s="23">
        <v>0</v>
      </c>
      <c r="T507" s="23">
        <v>0</v>
      </c>
      <c r="U507" s="23">
        <v>0</v>
      </c>
      <c r="V507" s="41" t="s">
        <v>44</v>
      </c>
      <c r="W507" s="41" t="s">
        <v>44</v>
      </c>
      <c r="X507" s="41" t="s">
        <v>44</v>
      </c>
      <c r="Y507" s="41" t="s">
        <v>44</v>
      </c>
      <c r="Z507" s="41" t="s">
        <v>44</v>
      </c>
      <c r="AA507" s="42" t="s">
        <v>44</v>
      </c>
      <c r="AB507" s="42" t="s">
        <v>44</v>
      </c>
      <c r="AC507" s="42" t="s">
        <v>44</v>
      </c>
      <c r="AD507" s="42" t="s">
        <v>44</v>
      </c>
      <c r="AE507" s="42" t="s">
        <v>44</v>
      </c>
      <c r="AF507" s="42" t="s">
        <v>44</v>
      </c>
      <c r="AG507" s="34">
        <v>0</v>
      </c>
      <c r="AH507">
        <v>4</v>
      </c>
      <c r="AI507">
        <v>8</v>
      </c>
      <c r="AJ507">
        <v>0</v>
      </c>
      <c r="AK507">
        <v>0</v>
      </c>
      <c r="AL507">
        <v>3</v>
      </c>
      <c r="AM507">
        <v>2</v>
      </c>
      <c r="AN507">
        <v>5</v>
      </c>
      <c r="AO507">
        <v>8</v>
      </c>
      <c r="AP507">
        <v>75</v>
      </c>
      <c r="AQ507" s="21">
        <f t="shared" si="71"/>
        <v>75</v>
      </c>
      <c r="AR507" s="12">
        <f t="shared" si="70"/>
        <v>105</v>
      </c>
      <c r="AS507">
        <v>0</v>
      </c>
      <c r="AT507">
        <v>0</v>
      </c>
      <c r="AU507">
        <v>0</v>
      </c>
      <c r="AV507">
        <v>5</v>
      </c>
      <c r="AW507">
        <v>60</v>
      </c>
      <c r="AX507">
        <v>5</v>
      </c>
      <c r="AY507">
        <v>0</v>
      </c>
      <c r="AZ507">
        <v>15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</v>
      </c>
      <c r="BG507">
        <v>0</v>
      </c>
      <c r="BH507">
        <v>5</v>
      </c>
      <c r="BI507">
        <v>0</v>
      </c>
      <c r="BJ507">
        <v>0</v>
      </c>
      <c r="BK507">
        <v>0</v>
      </c>
      <c r="BL507" s="6">
        <f t="shared" si="69"/>
        <v>87</v>
      </c>
      <c r="BM507" s="6">
        <f t="shared" si="68"/>
        <v>92</v>
      </c>
    </row>
    <row r="508" spans="1:70" hidden="1">
      <c r="A508" s="16" t="str">
        <f t="shared" si="67"/>
        <v>CB_2025_AZ_1_2</v>
      </c>
      <c r="B508" t="s">
        <v>56</v>
      </c>
      <c r="C508">
        <v>42.839689999999997</v>
      </c>
      <c r="D508">
        <v>-124.5651</v>
      </c>
      <c r="E508" s="8">
        <v>45835</v>
      </c>
      <c r="F508">
        <v>2025</v>
      </c>
      <c r="G508" t="s">
        <v>56</v>
      </c>
      <c r="H508" t="s">
        <v>42</v>
      </c>
      <c r="I508">
        <v>1</v>
      </c>
      <c r="J508">
        <v>2</v>
      </c>
      <c r="K508" t="s">
        <v>47</v>
      </c>
      <c r="L508" s="23">
        <v>1</v>
      </c>
      <c r="M508" s="23">
        <v>0</v>
      </c>
      <c r="N508" s="23">
        <v>0</v>
      </c>
      <c r="O508" s="23">
        <v>1</v>
      </c>
      <c r="P508" s="23">
        <v>0</v>
      </c>
      <c r="Q508" s="23" t="s">
        <v>44</v>
      </c>
      <c r="R508" s="23">
        <v>0</v>
      </c>
      <c r="S508" s="23">
        <v>0</v>
      </c>
      <c r="T508" s="23">
        <v>0</v>
      </c>
      <c r="U508" s="23">
        <v>0</v>
      </c>
      <c r="V508" s="41" t="s">
        <v>44</v>
      </c>
      <c r="W508" s="41" t="s">
        <v>44</v>
      </c>
      <c r="X508" s="41" t="s">
        <v>44</v>
      </c>
      <c r="Y508" s="41" t="s">
        <v>44</v>
      </c>
      <c r="Z508" s="41" t="s">
        <v>44</v>
      </c>
      <c r="AA508" s="42" t="s">
        <v>44</v>
      </c>
      <c r="AB508" s="42" t="s">
        <v>44</v>
      </c>
      <c r="AC508" s="42" t="s">
        <v>44</v>
      </c>
      <c r="AD508" s="42" t="s">
        <v>44</v>
      </c>
      <c r="AE508" s="42" t="s">
        <v>44</v>
      </c>
      <c r="AF508" s="42" t="s">
        <v>44</v>
      </c>
      <c r="AG508" s="34">
        <v>1</v>
      </c>
      <c r="AH508">
        <v>6</v>
      </c>
      <c r="AI508">
        <v>18</v>
      </c>
      <c r="AJ508">
        <v>5</v>
      </c>
      <c r="AK508">
        <v>0</v>
      </c>
      <c r="AL508">
        <v>9</v>
      </c>
      <c r="AM508">
        <v>6</v>
      </c>
      <c r="AN508">
        <v>13</v>
      </c>
      <c r="AO508">
        <v>29</v>
      </c>
      <c r="AP508">
        <v>14</v>
      </c>
      <c r="AQ508" s="21">
        <f t="shared" si="71"/>
        <v>13</v>
      </c>
      <c r="AR508" s="12">
        <f t="shared" si="70"/>
        <v>100</v>
      </c>
      <c r="AS508">
        <v>0</v>
      </c>
      <c r="AT508">
        <v>0</v>
      </c>
      <c r="AU508">
        <v>0</v>
      </c>
      <c r="AV508">
        <v>7</v>
      </c>
      <c r="AW508">
        <v>0</v>
      </c>
      <c r="AX508">
        <v>98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 s="6">
        <f t="shared" si="69"/>
        <v>105</v>
      </c>
      <c r="BM508" s="6">
        <f t="shared" si="68"/>
        <v>105</v>
      </c>
      <c r="BN508">
        <v>18</v>
      </c>
      <c r="BO508">
        <f t="shared" si="72"/>
        <v>18</v>
      </c>
      <c r="BP508">
        <v>5</v>
      </c>
      <c r="BQ508">
        <f>SUM(BP508,BB508,BK508)</f>
        <v>5</v>
      </c>
      <c r="BR508">
        <f t="shared" ref="BR508:BR571" si="73">BQ508-BP508</f>
        <v>0</v>
      </c>
    </row>
    <row r="509" spans="1:70" hidden="1">
      <c r="A509" s="16" t="str">
        <f t="shared" si="67"/>
        <v>CB_2025_AZ_1_3</v>
      </c>
      <c r="B509" t="s">
        <v>56</v>
      </c>
      <c r="C509">
        <v>42.839689999999997</v>
      </c>
      <c r="D509">
        <v>-124.5651</v>
      </c>
      <c r="E509" s="8">
        <v>45835</v>
      </c>
      <c r="F509">
        <v>2025</v>
      </c>
      <c r="G509" t="s">
        <v>56</v>
      </c>
      <c r="H509" t="s">
        <v>42</v>
      </c>
      <c r="I509">
        <v>1</v>
      </c>
      <c r="J509">
        <v>3</v>
      </c>
      <c r="K509" t="s">
        <v>51</v>
      </c>
      <c r="L509" s="23">
        <v>0</v>
      </c>
      <c r="M509" s="23">
        <v>0</v>
      </c>
      <c r="N509" s="23">
        <v>0</v>
      </c>
      <c r="O509" s="23">
        <v>0</v>
      </c>
      <c r="P509" s="23">
        <v>0</v>
      </c>
      <c r="Q509" s="23" t="s">
        <v>44</v>
      </c>
      <c r="R509" s="23">
        <v>0</v>
      </c>
      <c r="S509" s="23">
        <v>0</v>
      </c>
      <c r="T509" s="23">
        <v>0</v>
      </c>
      <c r="U509" s="23">
        <v>0</v>
      </c>
      <c r="V509" s="41" t="s">
        <v>44</v>
      </c>
      <c r="W509" s="41" t="s">
        <v>44</v>
      </c>
      <c r="X509" s="41" t="s">
        <v>44</v>
      </c>
      <c r="Y509" s="41" t="s">
        <v>44</v>
      </c>
      <c r="Z509" s="41" t="s">
        <v>44</v>
      </c>
      <c r="AA509" s="42" t="s">
        <v>44</v>
      </c>
      <c r="AB509" s="42" t="s">
        <v>44</v>
      </c>
      <c r="AC509" s="42" t="s">
        <v>44</v>
      </c>
      <c r="AD509" s="42" t="s">
        <v>44</v>
      </c>
      <c r="AE509" s="42" t="s">
        <v>44</v>
      </c>
      <c r="AF509" s="42" t="s">
        <v>44</v>
      </c>
      <c r="AG509" s="34">
        <v>0</v>
      </c>
      <c r="AH509">
        <v>73</v>
      </c>
      <c r="AI509">
        <v>10</v>
      </c>
      <c r="AJ509">
        <v>0</v>
      </c>
      <c r="AK509">
        <v>0</v>
      </c>
      <c r="AL509">
        <v>4</v>
      </c>
      <c r="AM509">
        <v>10</v>
      </c>
      <c r="AN509">
        <v>0</v>
      </c>
      <c r="AO509">
        <v>0</v>
      </c>
      <c r="AP509">
        <v>3</v>
      </c>
      <c r="AQ509" s="21">
        <f t="shared" si="71"/>
        <v>3</v>
      </c>
      <c r="AR509" s="12">
        <f t="shared" si="70"/>
        <v>100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22</v>
      </c>
      <c r="AY509">
        <v>0</v>
      </c>
      <c r="AZ509">
        <v>0.1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5</v>
      </c>
      <c r="BG509">
        <v>0</v>
      </c>
      <c r="BH509">
        <v>0</v>
      </c>
      <c r="BI509">
        <v>0</v>
      </c>
      <c r="BJ509">
        <v>0</v>
      </c>
      <c r="BK509">
        <v>0</v>
      </c>
      <c r="BL509" s="6">
        <f t="shared" si="69"/>
        <v>27.1</v>
      </c>
      <c r="BM509" s="6">
        <f t="shared" si="68"/>
        <v>27.1</v>
      </c>
      <c r="BN509">
        <v>10</v>
      </c>
      <c r="BO509">
        <f t="shared" si="72"/>
        <v>10</v>
      </c>
      <c r="BP509">
        <v>0</v>
      </c>
      <c r="BQ509">
        <f>SUM(BP509,BB509,BK509)</f>
        <v>0</v>
      </c>
      <c r="BR509">
        <f t="shared" si="73"/>
        <v>0</v>
      </c>
    </row>
    <row r="510" spans="1:70" hidden="1">
      <c r="A510" s="16" t="str">
        <f t="shared" si="67"/>
        <v>CB_2025_AZ_1_4</v>
      </c>
      <c r="B510" t="s">
        <v>56</v>
      </c>
      <c r="C510">
        <v>42.839689999999997</v>
      </c>
      <c r="D510">
        <v>-124.5651</v>
      </c>
      <c r="E510" s="8">
        <v>45835</v>
      </c>
      <c r="F510">
        <v>2025</v>
      </c>
      <c r="G510" t="s">
        <v>56</v>
      </c>
      <c r="H510" t="s">
        <v>42</v>
      </c>
      <c r="I510">
        <v>1</v>
      </c>
      <c r="J510">
        <v>4</v>
      </c>
      <c r="K510" t="s">
        <v>47</v>
      </c>
      <c r="L510" s="23">
        <v>0</v>
      </c>
      <c r="M510" s="23">
        <v>0</v>
      </c>
      <c r="N510" s="23">
        <v>0</v>
      </c>
      <c r="O510" s="23">
        <v>0</v>
      </c>
      <c r="P510" s="23">
        <v>0</v>
      </c>
      <c r="Q510" s="23" t="s">
        <v>44</v>
      </c>
      <c r="R510" s="23">
        <v>0</v>
      </c>
      <c r="S510" s="23">
        <v>0</v>
      </c>
      <c r="T510" s="23">
        <v>0</v>
      </c>
      <c r="U510" s="23">
        <v>0</v>
      </c>
      <c r="V510" s="41" t="s">
        <v>44</v>
      </c>
      <c r="W510" s="41" t="s">
        <v>44</v>
      </c>
      <c r="X510" s="41" t="s">
        <v>44</v>
      </c>
      <c r="Y510" s="41" t="s">
        <v>44</v>
      </c>
      <c r="Z510" s="41" t="s">
        <v>44</v>
      </c>
      <c r="AA510" s="42" t="s">
        <v>44</v>
      </c>
      <c r="AB510" s="42" t="s">
        <v>44</v>
      </c>
      <c r="AC510" s="42" t="s">
        <v>44</v>
      </c>
      <c r="AD510" s="42" t="s">
        <v>44</v>
      </c>
      <c r="AE510" s="42" t="s">
        <v>44</v>
      </c>
      <c r="AF510" s="42" t="s">
        <v>44</v>
      </c>
      <c r="AG510" s="34">
        <v>0</v>
      </c>
      <c r="AH510" s="13">
        <v>11</v>
      </c>
      <c r="AI510" s="13">
        <v>34</v>
      </c>
      <c r="AJ510" s="13">
        <v>0</v>
      </c>
      <c r="AK510" s="13">
        <v>0.1</v>
      </c>
      <c r="AL510" s="13">
        <v>1</v>
      </c>
      <c r="AM510" s="13">
        <v>9</v>
      </c>
      <c r="AN510" s="13">
        <v>0</v>
      </c>
      <c r="AO510" s="13">
        <v>45</v>
      </c>
      <c r="AP510" s="13">
        <v>0</v>
      </c>
      <c r="AQ510" s="21">
        <f t="shared" si="71"/>
        <v>0</v>
      </c>
      <c r="AR510" s="12">
        <f t="shared" si="70"/>
        <v>100.1</v>
      </c>
      <c r="AS510">
        <v>0</v>
      </c>
      <c r="AT510">
        <v>0</v>
      </c>
      <c r="AU510">
        <v>0</v>
      </c>
      <c r="AV510">
        <v>0</v>
      </c>
      <c r="AW510">
        <v>8</v>
      </c>
      <c r="AX510">
        <v>16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16</v>
      </c>
      <c r="BG510">
        <v>0</v>
      </c>
      <c r="BH510">
        <v>0</v>
      </c>
      <c r="BI510">
        <v>0</v>
      </c>
      <c r="BJ510">
        <v>0</v>
      </c>
      <c r="BK510">
        <v>0</v>
      </c>
      <c r="BL510" s="6">
        <f t="shared" si="69"/>
        <v>40</v>
      </c>
      <c r="BM510" s="6">
        <f t="shared" si="68"/>
        <v>40</v>
      </c>
      <c r="BN510" s="13">
        <v>34</v>
      </c>
      <c r="BO510">
        <f t="shared" si="72"/>
        <v>34</v>
      </c>
      <c r="BP510" s="13">
        <v>0</v>
      </c>
      <c r="BQ510">
        <f>SUM(BP510,BB510,BK510)</f>
        <v>0</v>
      </c>
      <c r="BR510">
        <f t="shared" si="73"/>
        <v>0</v>
      </c>
    </row>
    <row r="511" spans="1:70" hidden="1">
      <c r="A511" s="16" t="str">
        <f t="shared" si="67"/>
        <v>CB_2025_AZ_1_5</v>
      </c>
      <c r="B511" t="s">
        <v>56</v>
      </c>
      <c r="C511">
        <v>42.839689999999997</v>
      </c>
      <c r="D511">
        <v>-124.5651</v>
      </c>
      <c r="E511" s="8">
        <v>45835</v>
      </c>
      <c r="F511">
        <v>2025</v>
      </c>
      <c r="G511" t="s">
        <v>56</v>
      </c>
      <c r="H511" t="s">
        <v>42</v>
      </c>
      <c r="I511">
        <v>1</v>
      </c>
      <c r="J511">
        <v>5</v>
      </c>
      <c r="K511" t="s">
        <v>51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 t="s">
        <v>44</v>
      </c>
      <c r="R511" s="23">
        <v>0</v>
      </c>
      <c r="S511" s="23">
        <v>0</v>
      </c>
      <c r="T511" s="23">
        <v>0</v>
      </c>
      <c r="U511" s="23">
        <v>0</v>
      </c>
      <c r="V511" s="41" t="s">
        <v>44</v>
      </c>
      <c r="W511" s="41" t="s">
        <v>44</v>
      </c>
      <c r="X511" s="41" t="s">
        <v>44</v>
      </c>
      <c r="Y511" s="41" t="s">
        <v>44</v>
      </c>
      <c r="Z511" s="41" t="s">
        <v>44</v>
      </c>
      <c r="AA511" s="42" t="s">
        <v>44</v>
      </c>
      <c r="AB511" s="42" t="s">
        <v>44</v>
      </c>
      <c r="AC511" s="42" t="s">
        <v>44</v>
      </c>
      <c r="AD511" s="42" t="s">
        <v>44</v>
      </c>
      <c r="AE511" s="42" t="s">
        <v>44</v>
      </c>
      <c r="AF511" s="42" t="s">
        <v>44</v>
      </c>
      <c r="AG511" s="34">
        <v>0</v>
      </c>
      <c r="AH511">
        <v>11</v>
      </c>
      <c r="AI511">
        <v>25</v>
      </c>
      <c r="AJ511">
        <v>3</v>
      </c>
      <c r="AK511">
        <v>0</v>
      </c>
      <c r="AL511">
        <v>12</v>
      </c>
      <c r="AM511">
        <v>40</v>
      </c>
      <c r="AN511">
        <v>2</v>
      </c>
      <c r="AO511">
        <v>7</v>
      </c>
      <c r="AP511">
        <v>0</v>
      </c>
      <c r="AQ511" s="21">
        <f t="shared" si="71"/>
        <v>0</v>
      </c>
      <c r="AR511" s="12">
        <f t="shared" si="70"/>
        <v>100</v>
      </c>
      <c r="AS511">
        <v>0</v>
      </c>
      <c r="AT511">
        <v>0</v>
      </c>
      <c r="AU511">
        <v>0</v>
      </c>
      <c r="AV511">
        <v>0</v>
      </c>
      <c r="AW511">
        <v>12</v>
      </c>
      <c r="AX511">
        <v>64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9</v>
      </c>
      <c r="BI511">
        <v>0</v>
      </c>
      <c r="BJ511">
        <v>0</v>
      </c>
      <c r="BK511">
        <v>17</v>
      </c>
      <c r="BL511" s="6">
        <f t="shared" si="69"/>
        <v>76</v>
      </c>
      <c r="BM511" s="6">
        <f t="shared" si="68"/>
        <v>85</v>
      </c>
    </row>
    <row r="512" spans="1:70" hidden="1">
      <c r="A512" s="16" t="str">
        <f t="shared" si="67"/>
        <v>CB_2025_AZ_2_1</v>
      </c>
      <c r="B512" t="s">
        <v>56</v>
      </c>
      <c r="C512">
        <v>42.839689999999997</v>
      </c>
      <c r="D512">
        <v>-124.5651</v>
      </c>
      <c r="E512" s="8">
        <v>45835</v>
      </c>
      <c r="F512">
        <v>2025</v>
      </c>
      <c r="G512" t="s">
        <v>56</v>
      </c>
      <c r="H512" t="s">
        <v>42</v>
      </c>
      <c r="I512">
        <v>2</v>
      </c>
      <c r="J512">
        <v>1</v>
      </c>
      <c r="K512" t="s">
        <v>47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 t="s">
        <v>44</v>
      </c>
      <c r="R512" s="23">
        <v>0</v>
      </c>
      <c r="S512" s="23">
        <v>0</v>
      </c>
      <c r="T512" s="23">
        <v>0</v>
      </c>
      <c r="U512" s="23">
        <v>0</v>
      </c>
      <c r="V512" s="41" t="s">
        <v>44</v>
      </c>
      <c r="W512" s="41" t="s">
        <v>44</v>
      </c>
      <c r="X512" s="41" t="s">
        <v>44</v>
      </c>
      <c r="Y512" s="41" t="s">
        <v>44</v>
      </c>
      <c r="Z512" s="41" t="s">
        <v>44</v>
      </c>
      <c r="AA512" s="42" t="s">
        <v>44</v>
      </c>
      <c r="AB512" s="42" t="s">
        <v>44</v>
      </c>
      <c r="AC512" s="42" t="s">
        <v>44</v>
      </c>
      <c r="AD512" s="42" t="s">
        <v>44</v>
      </c>
      <c r="AE512" s="42" t="s">
        <v>44</v>
      </c>
      <c r="AF512" s="42" t="s">
        <v>44</v>
      </c>
      <c r="AG512" s="34">
        <v>0</v>
      </c>
      <c r="AH512">
        <v>9</v>
      </c>
      <c r="AI512">
        <v>27</v>
      </c>
      <c r="AJ512">
        <v>0.1</v>
      </c>
      <c r="AK512">
        <v>0</v>
      </c>
      <c r="AL512">
        <v>5</v>
      </c>
      <c r="AM512">
        <v>4</v>
      </c>
      <c r="AN512">
        <v>0</v>
      </c>
      <c r="AO512">
        <v>52</v>
      </c>
      <c r="AP512">
        <v>3</v>
      </c>
      <c r="AQ512" s="21">
        <f t="shared" si="71"/>
        <v>3</v>
      </c>
      <c r="AR512" s="12">
        <f t="shared" si="70"/>
        <v>100.1</v>
      </c>
      <c r="AS512">
        <v>0</v>
      </c>
      <c r="AT512">
        <v>0</v>
      </c>
      <c r="AU512">
        <v>0</v>
      </c>
      <c r="AV512">
        <v>0</v>
      </c>
      <c r="AW512">
        <v>65</v>
      </c>
      <c r="AX512">
        <v>13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6</v>
      </c>
      <c r="BG512">
        <v>5</v>
      </c>
      <c r="BH512">
        <v>9</v>
      </c>
      <c r="BI512">
        <v>0</v>
      </c>
      <c r="BJ512">
        <v>5</v>
      </c>
      <c r="BK512">
        <v>0</v>
      </c>
      <c r="BL512" s="6">
        <f t="shared" si="69"/>
        <v>89</v>
      </c>
      <c r="BM512" s="6">
        <f t="shared" si="68"/>
        <v>103</v>
      </c>
    </row>
    <row r="513" spans="1:70" hidden="1">
      <c r="A513" s="16" t="str">
        <f t="shared" si="67"/>
        <v>CB_2025_AZ_2_2</v>
      </c>
      <c r="B513" t="s">
        <v>56</v>
      </c>
      <c r="C513">
        <v>42.839689999999997</v>
      </c>
      <c r="D513">
        <v>-124.5651</v>
      </c>
      <c r="E513" s="8">
        <v>45835</v>
      </c>
      <c r="F513">
        <v>2025</v>
      </c>
      <c r="G513" t="s">
        <v>56</v>
      </c>
      <c r="H513" t="s">
        <v>42</v>
      </c>
      <c r="I513">
        <v>2</v>
      </c>
      <c r="J513">
        <v>2</v>
      </c>
      <c r="K513" t="s">
        <v>47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 t="s">
        <v>44</v>
      </c>
      <c r="R513" s="23">
        <v>0</v>
      </c>
      <c r="S513" s="23">
        <v>0</v>
      </c>
      <c r="T513" s="23">
        <v>0</v>
      </c>
      <c r="U513" s="23">
        <v>0</v>
      </c>
      <c r="V513" s="41" t="s">
        <v>44</v>
      </c>
      <c r="W513" s="41" t="s">
        <v>44</v>
      </c>
      <c r="X513" s="41" t="s">
        <v>44</v>
      </c>
      <c r="Y513" s="41" t="s">
        <v>44</v>
      </c>
      <c r="Z513" s="41" t="s">
        <v>44</v>
      </c>
      <c r="AA513" s="42" t="s">
        <v>44</v>
      </c>
      <c r="AB513" s="42" t="s">
        <v>44</v>
      </c>
      <c r="AC513" s="42" t="s">
        <v>44</v>
      </c>
      <c r="AD513" s="42" t="s">
        <v>44</v>
      </c>
      <c r="AE513" s="42" t="s">
        <v>44</v>
      </c>
      <c r="AF513" s="42" t="s">
        <v>44</v>
      </c>
      <c r="AG513" s="34">
        <v>0</v>
      </c>
      <c r="AH513">
        <v>6</v>
      </c>
      <c r="AI513">
        <v>14</v>
      </c>
      <c r="AJ513">
        <v>7</v>
      </c>
      <c r="AK513">
        <v>0</v>
      </c>
      <c r="AL513">
        <v>2</v>
      </c>
      <c r="AM513">
        <v>2</v>
      </c>
      <c r="AN513">
        <v>2</v>
      </c>
      <c r="AO513">
        <v>18</v>
      </c>
      <c r="AP513">
        <v>49</v>
      </c>
      <c r="AQ513" s="21">
        <f t="shared" si="71"/>
        <v>49</v>
      </c>
      <c r="AR513" s="12">
        <f t="shared" si="70"/>
        <v>100</v>
      </c>
      <c r="AS513">
        <v>13</v>
      </c>
      <c r="AT513">
        <v>0</v>
      </c>
      <c r="AU513">
        <v>0</v>
      </c>
      <c r="AV513">
        <v>0</v>
      </c>
      <c r="AW513">
        <v>4</v>
      </c>
      <c r="AX513">
        <v>47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4</v>
      </c>
      <c r="BI513">
        <v>0</v>
      </c>
      <c r="BJ513">
        <v>0</v>
      </c>
      <c r="BK513">
        <v>0</v>
      </c>
      <c r="BL513" s="6">
        <f t="shared" si="69"/>
        <v>64</v>
      </c>
      <c r="BM513" s="6">
        <f t="shared" si="68"/>
        <v>68</v>
      </c>
    </row>
    <row r="514" spans="1:70">
      <c r="A514" s="16" t="str">
        <f t="shared" ref="A514:A577" si="74">_xlfn.CONCAT(B514,"_",F514, "_",H514, "_",I514,"_",J514)</f>
        <v>CB_2025_AZ_2_3</v>
      </c>
      <c r="B514" t="s">
        <v>56</v>
      </c>
      <c r="C514">
        <v>42.839689999999997</v>
      </c>
      <c r="D514">
        <v>-124.5651</v>
      </c>
      <c r="E514" s="8">
        <v>45835</v>
      </c>
      <c r="F514">
        <v>2025</v>
      </c>
      <c r="G514" t="s">
        <v>56</v>
      </c>
      <c r="H514" t="s">
        <v>42</v>
      </c>
      <c r="I514">
        <v>2</v>
      </c>
      <c r="J514">
        <v>3</v>
      </c>
      <c r="K514" t="s">
        <v>57</v>
      </c>
      <c r="L514" s="23">
        <v>2</v>
      </c>
      <c r="M514" s="23">
        <v>0</v>
      </c>
      <c r="N514" s="23">
        <v>2</v>
      </c>
      <c r="O514" s="23">
        <v>0</v>
      </c>
      <c r="P514" s="23">
        <v>0</v>
      </c>
      <c r="Q514" s="23" t="s">
        <v>44</v>
      </c>
      <c r="R514" s="23">
        <v>0</v>
      </c>
      <c r="S514" s="23">
        <v>0</v>
      </c>
      <c r="T514" s="23">
        <v>0</v>
      </c>
      <c r="U514" s="23">
        <v>0</v>
      </c>
      <c r="V514" s="41" t="s">
        <v>44</v>
      </c>
      <c r="W514" s="41" t="s">
        <v>44</v>
      </c>
      <c r="X514" s="41" t="s">
        <v>44</v>
      </c>
      <c r="Y514" s="41" t="s">
        <v>44</v>
      </c>
      <c r="Z514" s="41" t="s">
        <v>44</v>
      </c>
      <c r="AA514" s="42" t="s">
        <v>44</v>
      </c>
      <c r="AB514" s="42" t="s">
        <v>44</v>
      </c>
      <c r="AC514" s="42" t="s">
        <v>44</v>
      </c>
      <c r="AD514" s="42" t="s">
        <v>44</v>
      </c>
      <c r="AE514" s="42" t="s">
        <v>44</v>
      </c>
      <c r="AF514" s="42" t="s">
        <v>44</v>
      </c>
      <c r="AG514" s="34">
        <v>0</v>
      </c>
      <c r="AH514">
        <v>0</v>
      </c>
      <c r="AI514">
        <v>85</v>
      </c>
      <c r="AJ514">
        <v>0</v>
      </c>
      <c r="AK514">
        <v>0</v>
      </c>
      <c r="AL514">
        <v>0</v>
      </c>
      <c r="AM514">
        <v>0</v>
      </c>
      <c r="AN514">
        <v>3</v>
      </c>
      <c r="AO514">
        <v>10</v>
      </c>
      <c r="AP514">
        <v>2</v>
      </c>
      <c r="AQ514" s="21">
        <f t="shared" si="71"/>
        <v>2</v>
      </c>
      <c r="AR514" s="12">
        <f t="shared" si="70"/>
        <v>100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19</v>
      </c>
      <c r="AY514">
        <v>0</v>
      </c>
      <c r="AZ514">
        <v>0</v>
      </c>
      <c r="BA514">
        <v>0</v>
      </c>
      <c r="BB514">
        <v>15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 s="6">
        <f t="shared" si="69"/>
        <v>20</v>
      </c>
      <c r="BM514" s="6">
        <f t="shared" ref="BM514:BM577" si="75">SUM(AS514:BJ514)</f>
        <v>35</v>
      </c>
      <c r="BN514">
        <v>59</v>
      </c>
    </row>
    <row r="515" spans="1:70" hidden="1">
      <c r="A515" s="16" t="str">
        <f t="shared" si="74"/>
        <v>CB_2025_AZ_2_4</v>
      </c>
      <c r="B515" t="s">
        <v>56</v>
      </c>
      <c r="C515">
        <v>42.839689999999997</v>
      </c>
      <c r="D515">
        <v>-124.5651</v>
      </c>
      <c r="E515" s="8">
        <v>45835</v>
      </c>
      <c r="F515">
        <v>2025</v>
      </c>
      <c r="G515" t="s">
        <v>56</v>
      </c>
      <c r="H515" t="s">
        <v>42</v>
      </c>
      <c r="I515">
        <v>2</v>
      </c>
      <c r="J515">
        <v>4</v>
      </c>
      <c r="K515" t="s">
        <v>57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 t="s">
        <v>44</v>
      </c>
      <c r="R515" s="23">
        <v>0</v>
      </c>
      <c r="S515" s="23">
        <v>0</v>
      </c>
      <c r="T515" s="23">
        <v>0</v>
      </c>
      <c r="U515" s="23">
        <v>0</v>
      </c>
      <c r="V515" s="41" t="s">
        <v>44</v>
      </c>
      <c r="W515" s="41" t="s">
        <v>44</v>
      </c>
      <c r="X515" s="41" t="s">
        <v>44</v>
      </c>
      <c r="Y515" s="41" t="s">
        <v>44</v>
      </c>
      <c r="Z515" s="41" t="s">
        <v>44</v>
      </c>
      <c r="AA515" s="42" t="s">
        <v>44</v>
      </c>
      <c r="AB515" s="42" t="s">
        <v>44</v>
      </c>
      <c r="AC515" s="42" t="s">
        <v>44</v>
      </c>
      <c r="AD515" s="42" t="s">
        <v>44</v>
      </c>
      <c r="AE515" s="42" t="s">
        <v>44</v>
      </c>
      <c r="AF515" s="42" t="s">
        <v>44</v>
      </c>
      <c r="AG515" s="34">
        <v>0</v>
      </c>
      <c r="AH515">
        <v>4</v>
      </c>
      <c r="AI515">
        <v>40</v>
      </c>
      <c r="AJ515">
        <v>15</v>
      </c>
      <c r="AK515">
        <v>0</v>
      </c>
      <c r="AL515">
        <v>1</v>
      </c>
      <c r="AM515">
        <v>5</v>
      </c>
      <c r="AN515">
        <v>3</v>
      </c>
      <c r="AO515">
        <v>9</v>
      </c>
      <c r="AP515">
        <v>23</v>
      </c>
      <c r="AQ515" s="21">
        <f t="shared" si="71"/>
        <v>23</v>
      </c>
      <c r="AR515" s="12">
        <f t="shared" ref="AR515:AR578" si="76">SUM(AH515:AP515)</f>
        <v>100</v>
      </c>
      <c r="AS515">
        <v>21</v>
      </c>
      <c r="AT515">
        <v>17</v>
      </c>
      <c r="AU515">
        <v>3</v>
      </c>
      <c r="AV515">
        <v>0</v>
      </c>
      <c r="AW515">
        <v>0</v>
      </c>
      <c r="AX515">
        <v>5</v>
      </c>
      <c r="AY515">
        <v>0</v>
      </c>
      <c r="AZ515">
        <v>0</v>
      </c>
      <c r="BA515">
        <v>0</v>
      </c>
      <c r="BB515">
        <v>32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 s="6">
        <f t="shared" ref="BL515:BL578" si="77">SUM(AS515:AT515,AV515:AW515,AX515:BA515,BC515:BF515,BJ515)</f>
        <v>43</v>
      </c>
      <c r="BM515" s="6">
        <f t="shared" si="75"/>
        <v>78</v>
      </c>
    </row>
    <row r="516" spans="1:70" hidden="1">
      <c r="A516" s="16" t="str">
        <f t="shared" si="74"/>
        <v>CB_2025_AZ_2_5</v>
      </c>
      <c r="B516" t="s">
        <v>56</v>
      </c>
      <c r="C516">
        <v>42.839689999999997</v>
      </c>
      <c r="D516">
        <v>-124.5651</v>
      </c>
      <c r="E516" s="8">
        <v>45835</v>
      </c>
      <c r="F516">
        <v>2025</v>
      </c>
      <c r="G516" t="s">
        <v>56</v>
      </c>
      <c r="H516" t="s">
        <v>42</v>
      </c>
      <c r="I516">
        <v>2</v>
      </c>
      <c r="J516">
        <v>5</v>
      </c>
      <c r="K516" t="s">
        <v>46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 t="s">
        <v>44</v>
      </c>
      <c r="R516" s="23">
        <v>0</v>
      </c>
      <c r="S516" s="23">
        <v>0</v>
      </c>
      <c r="T516" s="23">
        <v>0</v>
      </c>
      <c r="U516" s="23">
        <v>0</v>
      </c>
      <c r="V516" s="41" t="s">
        <v>44</v>
      </c>
      <c r="W516" s="41" t="s">
        <v>44</v>
      </c>
      <c r="X516" s="41" t="s">
        <v>44</v>
      </c>
      <c r="Y516" s="41" t="s">
        <v>44</v>
      </c>
      <c r="Z516" s="41" t="s">
        <v>44</v>
      </c>
      <c r="AA516" s="42" t="s">
        <v>44</v>
      </c>
      <c r="AB516" s="42" t="s">
        <v>44</v>
      </c>
      <c r="AC516" s="42" t="s">
        <v>44</v>
      </c>
      <c r="AD516" s="42" t="s">
        <v>44</v>
      </c>
      <c r="AE516" s="42" t="s">
        <v>44</v>
      </c>
      <c r="AF516" s="42" t="s">
        <v>44</v>
      </c>
      <c r="AG516" s="34">
        <v>0</v>
      </c>
      <c r="AH516">
        <v>8</v>
      </c>
      <c r="AI516">
        <v>12</v>
      </c>
      <c r="AJ516">
        <v>20</v>
      </c>
      <c r="AK516">
        <v>0</v>
      </c>
      <c r="AL516">
        <v>0.1</v>
      </c>
      <c r="AM516">
        <v>9</v>
      </c>
      <c r="AN516">
        <v>2</v>
      </c>
      <c r="AO516">
        <v>8</v>
      </c>
      <c r="AP516">
        <v>41</v>
      </c>
      <c r="AQ516" s="21">
        <f t="shared" si="71"/>
        <v>41</v>
      </c>
      <c r="AR516" s="12">
        <f t="shared" si="76"/>
        <v>100.1</v>
      </c>
      <c r="AS516">
        <v>0</v>
      </c>
      <c r="AT516">
        <v>7</v>
      </c>
      <c r="AU516">
        <v>2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 s="6">
        <f t="shared" si="77"/>
        <v>8</v>
      </c>
      <c r="BM516" s="6">
        <f t="shared" si="75"/>
        <v>10</v>
      </c>
    </row>
    <row r="517" spans="1:70" hidden="1">
      <c r="A517" s="16" t="str">
        <f t="shared" si="74"/>
        <v>CB_2025_UPZ_1_1</v>
      </c>
      <c r="B517" t="s">
        <v>56</v>
      </c>
      <c r="C517">
        <v>42.839689999999997</v>
      </c>
      <c r="D517">
        <v>-124.5651</v>
      </c>
      <c r="E517" s="8">
        <v>45835</v>
      </c>
      <c r="F517">
        <v>2025</v>
      </c>
      <c r="G517" t="s">
        <v>56</v>
      </c>
      <c r="H517" t="s">
        <v>45</v>
      </c>
      <c r="I517">
        <v>1</v>
      </c>
      <c r="J517">
        <v>1</v>
      </c>
      <c r="K517" t="s">
        <v>46</v>
      </c>
      <c r="L517" s="23">
        <v>11</v>
      </c>
      <c r="M517" s="23">
        <v>8</v>
      </c>
      <c r="N517" s="23">
        <v>2</v>
      </c>
      <c r="O517" s="23">
        <v>1</v>
      </c>
      <c r="P517" s="23">
        <v>0</v>
      </c>
      <c r="Q517" s="23" t="s">
        <v>44</v>
      </c>
      <c r="R517" s="23">
        <v>0</v>
      </c>
      <c r="S517" s="23">
        <v>0</v>
      </c>
      <c r="T517" s="23">
        <v>3</v>
      </c>
      <c r="U517" s="23">
        <v>11</v>
      </c>
      <c r="AG517" s="34">
        <v>7</v>
      </c>
      <c r="AH517">
        <v>2</v>
      </c>
      <c r="AI517">
        <v>14</v>
      </c>
      <c r="AJ517">
        <v>0</v>
      </c>
      <c r="AK517">
        <v>0</v>
      </c>
      <c r="AL517">
        <v>17</v>
      </c>
      <c r="AM517">
        <v>18</v>
      </c>
      <c r="AN517">
        <v>7</v>
      </c>
      <c r="AO517">
        <v>1</v>
      </c>
      <c r="AP517">
        <v>41</v>
      </c>
      <c r="AQ517" s="21">
        <f t="shared" si="71"/>
        <v>34</v>
      </c>
      <c r="AR517" s="12">
        <f t="shared" si="76"/>
        <v>100</v>
      </c>
      <c r="AS517">
        <v>0</v>
      </c>
      <c r="AT517">
        <v>45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 s="6">
        <f t="shared" si="77"/>
        <v>47</v>
      </c>
      <c r="BM517" s="6">
        <f t="shared" si="75"/>
        <v>47</v>
      </c>
      <c r="BN517">
        <v>14</v>
      </c>
      <c r="BO517">
        <f t="shared" si="72"/>
        <v>14</v>
      </c>
      <c r="BP517">
        <v>0</v>
      </c>
      <c r="BQ517">
        <f>SUM(BP517,BB517,BK517)</f>
        <v>0</v>
      </c>
      <c r="BR517">
        <f t="shared" si="73"/>
        <v>0</v>
      </c>
    </row>
    <row r="518" spans="1:70" hidden="1">
      <c r="A518" s="16" t="str">
        <f t="shared" si="74"/>
        <v>CB_2025_UPZ_1_2</v>
      </c>
      <c r="B518" t="s">
        <v>56</v>
      </c>
      <c r="C518">
        <v>42.839689999999997</v>
      </c>
      <c r="D518">
        <v>-124.5651</v>
      </c>
      <c r="E518" s="8">
        <v>45835</v>
      </c>
      <c r="F518">
        <v>2025</v>
      </c>
      <c r="G518" t="s">
        <v>56</v>
      </c>
      <c r="H518" t="s">
        <v>45</v>
      </c>
      <c r="I518">
        <v>1</v>
      </c>
      <c r="J518">
        <v>2</v>
      </c>
      <c r="K518" t="s">
        <v>46</v>
      </c>
      <c r="L518" s="23">
        <v>4</v>
      </c>
      <c r="M518" s="23">
        <v>4</v>
      </c>
      <c r="N518" s="23">
        <v>0</v>
      </c>
      <c r="O518" s="23">
        <v>0</v>
      </c>
      <c r="P518" s="23">
        <v>0</v>
      </c>
      <c r="Q518" s="23" t="s">
        <v>44</v>
      </c>
      <c r="R518" s="23">
        <v>0</v>
      </c>
      <c r="S518" s="23">
        <v>0</v>
      </c>
      <c r="T518" s="23">
        <v>17</v>
      </c>
      <c r="U518" s="23">
        <v>21</v>
      </c>
      <c r="AG518" s="34">
        <v>4</v>
      </c>
      <c r="AH518">
        <v>7</v>
      </c>
      <c r="AI518">
        <v>9</v>
      </c>
      <c r="AJ518">
        <v>9</v>
      </c>
      <c r="AK518">
        <v>0</v>
      </c>
      <c r="AL518">
        <v>13</v>
      </c>
      <c r="AM518">
        <v>4</v>
      </c>
      <c r="AN518">
        <v>4</v>
      </c>
      <c r="AO518">
        <v>0</v>
      </c>
      <c r="AP518">
        <v>54</v>
      </c>
      <c r="AQ518" s="21">
        <f t="shared" si="71"/>
        <v>50</v>
      </c>
      <c r="AR518" s="12">
        <f t="shared" si="76"/>
        <v>100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67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4</v>
      </c>
      <c r="BI518">
        <v>0</v>
      </c>
      <c r="BJ518">
        <v>0</v>
      </c>
      <c r="BK518">
        <v>8</v>
      </c>
      <c r="BL518" s="6">
        <f t="shared" si="77"/>
        <v>67</v>
      </c>
      <c r="BM518" s="6">
        <f t="shared" si="75"/>
        <v>71</v>
      </c>
    </row>
    <row r="519" spans="1:70">
      <c r="A519" s="16" t="str">
        <f t="shared" si="74"/>
        <v>CB_2025_UPZ_1_3</v>
      </c>
      <c r="B519" t="s">
        <v>56</v>
      </c>
      <c r="C519">
        <v>42.839689999999997</v>
      </c>
      <c r="D519">
        <v>-124.5651</v>
      </c>
      <c r="E519" s="8">
        <v>45835</v>
      </c>
      <c r="F519">
        <v>2025</v>
      </c>
      <c r="G519" t="s">
        <v>56</v>
      </c>
      <c r="H519" t="s">
        <v>45</v>
      </c>
      <c r="I519">
        <v>1</v>
      </c>
      <c r="J519">
        <v>3</v>
      </c>
      <c r="K519" t="s">
        <v>46</v>
      </c>
      <c r="L519" s="23">
        <v>6</v>
      </c>
      <c r="M519" s="23">
        <v>3</v>
      </c>
      <c r="N519" s="23">
        <v>0</v>
      </c>
      <c r="O519" s="23">
        <v>3</v>
      </c>
      <c r="P519" s="23">
        <v>0</v>
      </c>
      <c r="Q519" s="23" t="s">
        <v>44</v>
      </c>
      <c r="R519" s="23">
        <v>0</v>
      </c>
      <c r="S519" s="23">
        <v>0</v>
      </c>
      <c r="T519" s="23">
        <v>6</v>
      </c>
      <c r="U519" s="23">
        <v>9</v>
      </c>
      <c r="AG519" s="34">
        <v>4</v>
      </c>
      <c r="AH519">
        <v>0</v>
      </c>
      <c r="AI519">
        <v>55</v>
      </c>
      <c r="AJ519">
        <v>0</v>
      </c>
      <c r="AK519">
        <v>0</v>
      </c>
      <c r="AL519">
        <v>1</v>
      </c>
      <c r="AM519">
        <v>4</v>
      </c>
      <c r="AN519">
        <v>9</v>
      </c>
      <c r="AO519">
        <v>0.1</v>
      </c>
      <c r="AP519">
        <v>31</v>
      </c>
      <c r="AQ519" s="21">
        <f t="shared" si="71"/>
        <v>27</v>
      </c>
      <c r="AR519" s="12">
        <f t="shared" si="76"/>
        <v>100.1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22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28</v>
      </c>
      <c r="BL519" s="6">
        <f t="shared" si="77"/>
        <v>22</v>
      </c>
      <c r="BM519" s="6">
        <f t="shared" si="75"/>
        <v>22</v>
      </c>
      <c r="BN519">
        <v>16</v>
      </c>
      <c r="BO519">
        <f t="shared" si="72"/>
        <v>16</v>
      </c>
    </row>
    <row r="520" spans="1:70" hidden="1">
      <c r="A520" s="16" t="str">
        <f t="shared" si="74"/>
        <v>CB_2025_UPZ_1_4</v>
      </c>
      <c r="B520" t="s">
        <v>56</v>
      </c>
      <c r="C520">
        <v>42.839689999999997</v>
      </c>
      <c r="D520">
        <v>-124.5651</v>
      </c>
      <c r="E520" s="8">
        <v>45835</v>
      </c>
      <c r="F520">
        <v>2025</v>
      </c>
      <c r="G520" t="s">
        <v>56</v>
      </c>
      <c r="H520" t="s">
        <v>45</v>
      </c>
      <c r="I520">
        <v>1</v>
      </c>
      <c r="J520">
        <v>4</v>
      </c>
      <c r="K520" t="s">
        <v>46</v>
      </c>
      <c r="L520" s="23">
        <v>12</v>
      </c>
      <c r="M520" s="23">
        <v>5</v>
      </c>
      <c r="N520" s="23">
        <v>0</v>
      </c>
      <c r="O520" s="23">
        <v>7</v>
      </c>
      <c r="P520" s="23">
        <v>0</v>
      </c>
      <c r="Q520" s="23" t="s">
        <v>44</v>
      </c>
      <c r="R520" s="23">
        <v>0</v>
      </c>
      <c r="S520" s="23">
        <v>0</v>
      </c>
      <c r="T520" s="23">
        <v>5</v>
      </c>
      <c r="U520" s="23">
        <v>10</v>
      </c>
      <c r="AG520" s="34">
        <v>14</v>
      </c>
      <c r="AH520">
        <v>3</v>
      </c>
      <c r="AI520">
        <v>41</v>
      </c>
      <c r="AJ520">
        <v>5</v>
      </c>
      <c r="AK520">
        <v>0</v>
      </c>
      <c r="AL520">
        <v>6</v>
      </c>
      <c r="AM520">
        <v>1</v>
      </c>
      <c r="AN520">
        <v>4</v>
      </c>
      <c r="AO520">
        <v>25</v>
      </c>
      <c r="AP520">
        <v>15</v>
      </c>
      <c r="AQ520" s="21">
        <f t="shared" si="71"/>
        <v>1</v>
      </c>
      <c r="AR520" s="12">
        <f t="shared" si="76"/>
        <v>100</v>
      </c>
      <c r="AS520">
        <v>0</v>
      </c>
      <c r="AT520">
        <v>5</v>
      </c>
      <c r="AU520">
        <v>0</v>
      </c>
      <c r="AV520">
        <v>0</v>
      </c>
      <c r="AW520">
        <v>0</v>
      </c>
      <c r="AX520">
        <v>24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7</v>
      </c>
      <c r="BH520">
        <v>0</v>
      </c>
      <c r="BI520">
        <v>0</v>
      </c>
      <c r="BJ520">
        <v>0</v>
      </c>
      <c r="BK520">
        <v>22</v>
      </c>
      <c r="BL520" s="6">
        <f t="shared" si="77"/>
        <v>29</v>
      </c>
      <c r="BM520" s="6">
        <f t="shared" si="75"/>
        <v>36</v>
      </c>
    </row>
    <row r="521" spans="1:70">
      <c r="A521" s="16" t="str">
        <f t="shared" si="74"/>
        <v>CB_2025_UPZ_1_5</v>
      </c>
      <c r="B521" t="s">
        <v>56</v>
      </c>
      <c r="C521">
        <v>42.839689999999997</v>
      </c>
      <c r="D521">
        <v>-124.5651</v>
      </c>
      <c r="E521" s="8">
        <v>45835</v>
      </c>
      <c r="F521">
        <v>2025</v>
      </c>
      <c r="G521" t="s">
        <v>56</v>
      </c>
      <c r="H521" t="s">
        <v>45</v>
      </c>
      <c r="I521">
        <v>1</v>
      </c>
      <c r="J521">
        <v>5</v>
      </c>
      <c r="K521" t="s">
        <v>46</v>
      </c>
      <c r="L521" s="23">
        <v>12</v>
      </c>
      <c r="M521" s="23">
        <v>6</v>
      </c>
      <c r="N521" s="23">
        <v>6</v>
      </c>
      <c r="O521" s="23">
        <v>0</v>
      </c>
      <c r="P521" s="23">
        <v>10</v>
      </c>
      <c r="Q521" s="23" t="s">
        <v>44</v>
      </c>
      <c r="R521" s="23">
        <v>0</v>
      </c>
      <c r="S521" s="23">
        <v>0</v>
      </c>
      <c r="T521" s="23">
        <v>2</v>
      </c>
      <c r="U521" s="23">
        <v>8</v>
      </c>
      <c r="AG521" s="34">
        <v>11</v>
      </c>
      <c r="AH521">
        <v>0</v>
      </c>
      <c r="AI521">
        <v>60</v>
      </c>
      <c r="AJ521">
        <v>16</v>
      </c>
      <c r="AK521">
        <v>0</v>
      </c>
      <c r="AL521">
        <v>8</v>
      </c>
      <c r="AM521">
        <v>0</v>
      </c>
      <c r="AN521">
        <v>6</v>
      </c>
      <c r="AO521">
        <v>3</v>
      </c>
      <c r="AP521">
        <v>7</v>
      </c>
      <c r="AQ521" s="21">
        <f t="shared" si="71"/>
        <v>-4</v>
      </c>
      <c r="AR521" s="12">
        <f t="shared" si="76"/>
        <v>100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38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40</v>
      </c>
      <c r="BL521" s="6">
        <f t="shared" si="77"/>
        <v>38</v>
      </c>
      <c r="BM521" s="6">
        <f t="shared" si="75"/>
        <v>38</v>
      </c>
      <c r="BN521">
        <v>56</v>
      </c>
    </row>
    <row r="522" spans="1:70">
      <c r="A522" s="16" t="str">
        <f t="shared" si="74"/>
        <v>CB_2025_UPZ_2_1</v>
      </c>
      <c r="B522" t="s">
        <v>56</v>
      </c>
      <c r="C522">
        <v>42.839689999999997</v>
      </c>
      <c r="D522">
        <v>-124.5651</v>
      </c>
      <c r="E522" s="8">
        <v>45835</v>
      </c>
      <c r="F522">
        <v>2025</v>
      </c>
      <c r="G522" t="s">
        <v>56</v>
      </c>
      <c r="H522" t="s">
        <v>45</v>
      </c>
      <c r="I522">
        <v>2</v>
      </c>
      <c r="J522">
        <v>1</v>
      </c>
      <c r="K522" t="s">
        <v>46</v>
      </c>
      <c r="L522" s="23">
        <v>14</v>
      </c>
      <c r="M522" s="23">
        <v>14</v>
      </c>
      <c r="N522" s="23">
        <v>0</v>
      </c>
      <c r="O522" s="23">
        <v>0</v>
      </c>
      <c r="P522" s="23">
        <v>0</v>
      </c>
      <c r="Q522" s="23" t="s">
        <v>44</v>
      </c>
      <c r="R522" s="23">
        <v>0</v>
      </c>
      <c r="S522" s="23">
        <v>0</v>
      </c>
      <c r="T522" s="23">
        <v>5</v>
      </c>
      <c r="U522" s="23">
        <v>19</v>
      </c>
      <c r="AG522" s="34">
        <v>9</v>
      </c>
      <c r="AH522">
        <v>0</v>
      </c>
      <c r="AI522">
        <v>16</v>
      </c>
      <c r="AJ522">
        <v>17</v>
      </c>
      <c r="AK522">
        <v>0</v>
      </c>
      <c r="AL522">
        <v>10</v>
      </c>
      <c r="AM522">
        <v>9</v>
      </c>
      <c r="AN522">
        <v>0.1</v>
      </c>
      <c r="AO522">
        <v>0.1</v>
      </c>
      <c r="AP522">
        <v>48</v>
      </c>
      <c r="AQ522" s="21">
        <f t="shared" si="71"/>
        <v>39</v>
      </c>
      <c r="AR522" s="12">
        <f t="shared" si="76"/>
        <v>100.2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17</v>
      </c>
      <c r="BL522" s="6">
        <f t="shared" si="77"/>
        <v>1</v>
      </c>
      <c r="BM522" s="6">
        <f t="shared" si="75"/>
        <v>1</v>
      </c>
      <c r="BN522">
        <v>4</v>
      </c>
      <c r="BO522">
        <f t="shared" si="72"/>
        <v>4</v>
      </c>
    </row>
    <row r="523" spans="1:70">
      <c r="A523" s="16" t="str">
        <f t="shared" si="74"/>
        <v>CB_2025_UPZ_2_2</v>
      </c>
      <c r="B523" t="s">
        <v>56</v>
      </c>
      <c r="C523">
        <v>42.839689999999997</v>
      </c>
      <c r="D523">
        <v>-124.5651</v>
      </c>
      <c r="E523" s="8">
        <v>45835</v>
      </c>
      <c r="F523">
        <v>2025</v>
      </c>
      <c r="G523" t="s">
        <v>56</v>
      </c>
      <c r="H523" t="s">
        <v>45</v>
      </c>
      <c r="I523">
        <v>2</v>
      </c>
      <c r="J523">
        <v>2</v>
      </c>
      <c r="K523" t="s">
        <v>46</v>
      </c>
      <c r="L523" s="23">
        <v>21</v>
      </c>
      <c r="M523" s="23">
        <v>20</v>
      </c>
      <c r="N523" s="23">
        <v>0</v>
      </c>
      <c r="O523" s="23">
        <v>1</v>
      </c>
      <c r="P523" s="23">
        <v>1</v>
      </c>
      <c r="Q523" s="23" t="s">
        <v>44</v>
      </c>
      <c r="R523" s="23">
        <v>0</v>
      </c>
      <c r="S523" s="23">
        <v>0</v>
      </c>
      <c r="T523" s="23">
        <v>16</v>
      </c>
      <c r="U523" s="23">
        <v>36</v>
      </c>
      <c r="AG523" s="34">
        <v>8</v>
      </c>
      <c r="AH523">
        <v>0</v>
      </c>
      <c r="AI523">
        <v>1</v>
      </c>
      <c r="AJ523">
        <v>5</v>
      </c>
      <c r="AK523">
        <v>0</v>
      </c>
      <c r="AL523">
        <v>20</v>
      </c>
      <c r="AM523">
        <v>11</v>
      </c>
      <c r="AN523">
        <v>4</v>
      </c>
      <c r="AO523">
        <v>0</v>
      </c>
      <c r="AP523">
        <v>59</v>
      </c>
      <c r="AQ523" s="21">
        <f t="shared" si="71"/>
        <v>51</v>
      </c>
      <c r="AR523" s="12">
        <f t="shared" si="76"/>
        <v>100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5</v>
      </c>
      <c r="BL523" s="6">
        <f t="shared" si="77"/>
        <v>0</v>
      </c>
      <c r="BM523" s="6">
        <f t="shared" si="75"/>
        <v>0</v>
      </c>
      <c r="BN523">
        <v>1</v>
      </c>
      <c r="BO523">
        <f t="shared" si="72"/>
        <v>1</v>
      </c>
      <c r="BP523">
        <v>0</v>
      </c>
    </row>
    <row r="524" spans="1:70" hidden="1">
      <c r="A524" s="16" t="str">
        <f t="shared" si="74"/>
        <v>CB_2025_UPZ_2_3</v>
      </c>
      <c r="B524" t="s">
        <v>56</v>
      </c>
      <c r="C524">
        <v>42.839689999999997</v>
      </c>
      <c r="D524">
        <v>-124.5651</v>
      </c>
      <c r="E524" s="8">
        <v>45835</v>
      </c>
      <c r="F524">
        <v>2025</v>
      </c>
      <c r="G524" t="s">
        <v>56</v>
      </c>
      <c r="H524" t="s">
        <v>45</v>
      </c>
      <c r="I524">
        <v>2</v>
      </c>
      <c r="J524">
        <v>3</v>
      </c>
      <c r="K524" t="s">
        <v>53</v>
      </c>
      <c r="L524" s="23">
        <v>15</v>
      </c>
      <c r="M524" s="23">
        <v>5</v>
      </c>
      <c r="N524" s="23">
        <v>0</v>
      </c>
      <c r="O524" s="23">
        <v>10</v>
      </c>
      <c r="P524" s="23">
        <v>3</v>
      </c>
      <c r="Q524" s="23" t="s">
        <v>44</v>
      </c>
      <c r="R524" s="23">
        <v>0</v>
      </c>
      <c r="S524" s="23">
        <v>0</v>
      </c>
      <c r="T524" s="23">
        <v>3</v>
      </c>
      <c r="U524" s="23">
        <v>8</v>
      </c>
      <c r="AG524" s="34">
        <v>19</v>
      </c>
      <c r="AH524">
        <v>0</v>
      </c>
      <c r="AI524">
        <v>5</v>
      </c>
      <c r="AJ524">
        <v>0</v>
      </c>
      <c r="AK524">
        <v>0</v>
      </c>
      <c r="AL524">
        <v>18</v>
      </c>
      <c r="AM524">
        <v>65</v>
      </c>
      <c r="AN524">
        <v>5</v>
      </c>
      <c r="AO524">
        <v>0.1</v>
      </c>
      <c r="AP524">
        <v>7</v>
      </c>
      <c r="AQ524" s="21">
        <f t="shared" si="71"/>
        <v>-12</v>
      </c>
      <c r="AR524" s="12">
        <f t="shared" si="76"/>
        <v>100.1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 s="6">
        <f t="shared" si="77"/>
        <v>0</v>
      </c>
      <c r="BM524" s="6">
        <f t="shared" si="75"/>
        <v>0</v>
      </c>
      <c r="BN524">
        <v>5</v>
      </c>
      <c r="BO524">
        <f t="shared" si="72"/>
        <v>5</v>
      </c>
      <c r="BP524">
        <v>0</v>
      </c>
      <c r="BQ524">
        <f>SUM(BP524,BB524,BK524)</f>
        <v>0</v>
      </c>
      <c r="BR524">
        <f t="shared" si="73"/>
        <v>0</v>
      </c>
    </row>
    <row r="525" spans="1:70" hidden="1">
      <c r="A525" s="16" t="str">
        <f t="shared" si="74"/>
        <v>CB_2025_UPZ_2_4</v>
      </c>
      <c r="B525" t="s">
        <v>56</v>
      </c>
      <c r="C525">
        <v>42.839689999999997</v>
      </c>
      <c r="D525">
        <v>-124.5651</v>
      </c>
      <c r="E525" s="8">
        <v>45835</v>
      </c>
      <c r="F525">
        <v>2025</v>
      </c>
      <c r="G525" t="s">
        <v>56</v>
      </c>
      <c r="H525" t="s">
        <v>45</v>
      </c>
      <c r="I525">
        <v>2</v>
      </c>
      <c r="J525">
        <v>4</v>
      </c>
      <c r="K525" t="s">
        <v>46</v>
      </c>
      <c r="L525" s="23">
        <v>32</v>
      </c>
      <c r="M525" s="23">
        <v>28</v>
      </c>
      <c r="N525" s="23">
        <v>0</v>
      </c>
      <c r="O525" s="23">
        <v>4</v>
      </c>
      <c r="P525" s="23">
        <v>4</v>
      </c>
      <c r="Q525" s="23" t="s">
        <v>44</v>
      </c>
      <c r="R525" s="23">
        <v>0</v>
      </c>
      <c r="S525" s="23">
        <v>0</v>
      </c>
      <c r="T525" s="23">
        <v>18</v>
      </c>
      <c r="U525" s="23">
        <v>46</v>
      </c>
      <c r="AG525" s="34">
        <v>12</v>
      </c>
      <c r="AH525">
        <v>0</v>
      </c>
      <c r="AI525">
        <v>0</v>
      </c>
      <c r="AJ525">
        <v>0</v>
      </c>
      <c r="AK525">
        <v>0</v>
      </c>
      <c r="AL525">
        <v>20</v>
      </c>
      <c r="AM525">
        <v>5</v>
      </c>
      <c r="AN525">
        <v>2</v>
      </c>
      <c r="AO525">
        <v>0</v>
      </c>
      <c r="AP525">
        <v>73</v>
      </c>
      <c r="AQ525" s="21">
        <f t="shared" si="71"/>
        <v>61</v>
      </c>
      <c r="AR525" s="12">
        <f t="shared" si="76"/>
        <v>100</v>
      </c>
      <c r="AS525">
        <v>0</v>
      </c>
      <c r="AT525">
        <v>35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 s="6">
        <f t="shared" si="77"/>
        <v>35</v>
      </c>
      <c r="BM525" s="6">
        <f t="shared" si="75"/>
        <v>35</v>
      </c>
      <c r="BN525">
        <v>0</v>
      </c>
      <c r="BO525">
        <f t="shared" si="72"/>
        <v>0</v>
      </c>
      <c r="BP525">
        <v>0</v>
      </c>
      <c r="BQ525">
        <f>SUM(BP525,BB525,BK525)</f>
        <v>0</v>
      </c>
      <c r="BR525">
        <f t="shared" si="73"/>
        <v>0</v>
      </c>
    </row>
    <row r="526" spans="1:70" hidden="1">
      <c r="A526" s="16" t="str">
        <f t="shared" si="74"/>
        <v>CB_2025_UPZ_2_5</v>
      </c>
      <c r="B526" t="s">
        <v>56</v>
      </c>
      <c r="C526">
        <v>42.839689999999997</v>
      </c>
      <c r="D526">
        <v>-124.5651</v>
      </c>
      <c r="E526" s="8">
        <v>45835</v>
      </c>
      <c r="F526">
        <v>2025</v>
      </c>
      <c r="G526" t="s">
        <v>56</v>
      </c>
      <c r="H526" t="s">
        <v>45</v>
      </c>
      <c r="I526">
        <v>2</v>
      </c>
      <c r="J526">
        <v>5</v>
      </c>
      <c r="K526" t="s">
        <v>46</v>
      </c>
      <c r="L526" s="23">
        <v>23</v>
      </c>
      <c r="M526" s="23">
        <v>21</v>
      </c>
      <c r="N526" s="23">
        <v>2</v>
      </c>
      <c r="O526" s="23">
        <v>0</v>
      </c>
      <c r="P526" s="23">
        <v>2</v>
      </c>
      <c r="Q526" s="23" t="s">
        <v>44</v>
      </c>
      <c r="R526" s="23">
        <v>0</v>
      </c>
      <c r="S526" s="23">
        <v>0</v>
      </c>
      <c r="T526" s="23">
        <v>5</v>
      </c>
      <c r="U526" s="23">
        <v>28</v>
      </c>
      <c r="AG526" s="34">
        <v>11</v>
      </c>
      <c r="AH526">
        <v>9</v>
      </c>
      <c r="AI526">
        <v>18</v>
      </c>
      <c r="AJ526">
        <v>0</v>
      </c>
      <c r="AK526">
        <v>0</v>
      </c>
      <c r="AL526">
        <v>42</v>
      </c>
      <c r="AM526">
        <v>9</v>
      </c>
      <c r="AN526">
        <v>5</v>
      </c>
      <c r="AO526">
        <v>0</v>
      </c>
      <c r="AP526">
        <v>17</v>
      </c>
      <c r="AQ526" s="21">
        <f t="shared" si="71"/>
        <v>6</v>
      </c>
      <c r="AR526" s="12">
        <f t="shared" si="76"/>
        <v>100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 s="6">
        <f t="shared" si="77"/>
        <v>0</v>
      </c>
      <c r="BM526" s="6">
        <f t="shared" si="75"/>
        <v>0</v>
      </c>
      <c r="BN526">
        <v>18</v>
      </c>
      <c r="BO526">
        <f t="shared" si="72"/>
        <v>18</v>
      </c>
      <c r="BP526">
        <v>0</v>
      </c>
      <c r="BQ526">
        <f>SUM(BP526,BB526,BK526)</f>
        <v>0</v>
      </c>
      <c r="BR526">
        <f t="shared" si="73"/>
        <v>0</v>
      </c>
    </row>
    <row r="527" spans="1:70" hidden="1">
      <c r="A527" s="16" t="str">
        <f t="shared" si="74"/>
        <v>CB_2025_NPZ_1_1</v>
      </c>
      <c r="B527" t="s">
        <v>56</v>
      </c>
      <c r="C527">
        <v>42.839689999999997</v>
      </c>
      <c r="D527">
        <v>-124.5651</v>
      </c>
      <c r="E527" s="8">
        <v>45835</v>
      </c>
      <c r="F527">
        <v>2025</v>
      </c>
      <c r="G527" t="s">
        <v>56</v>
      </c>
      <c r="H527" t="s">
        <v>48</v>
      </c>
      <c r="I527">
        <v>1</v>
      </c>
      <c r="J527">
        <v>1</v>
      </c>
      <c r="K527" t="s">
        <v>57</v>
      </c>
      <c r="L527" s="23">
        <v>31</v>
      </c>
      <c r="M527" s="23">
        <v>0</v>
      </c>
      <c r="N527" s="23">
        <v>2</v>
      </c>
      <c r="O527" s="23">
        <v>29</v>
      </c>
      <c r="P527" s="23">
        <v>2</v>
      </c>
      <c r="Q527" s="23" t="s">
        <v>44</v>
      </c>
      <c r="R527" s="23">
        <v>0</v>
      </c>
      <c r="S527" s="23">
        <v>0</v>
      </c>
      <c r="T527" s="23">
        <v>0</v>
      </c>
      <c r="U527" s="23">
        <v>0</v>
      </c>
      <c r="AG527" s="34">
        <v>33</v>
      </c>
      <c r="AH527">
        <v>0</v>
      </c>
      <c r="AI527">
        <v>0</v>
      </c>
      <c r="AJ527">
        <v>0</v>
      </c>
      <c r="AK527">
        <v>0</v>
      </c>
      <c r="AL527">
        <v>9</v>
      </c>
      <c r="AM527">
        <v>6</v>
      </c>
      <c r="AN527">
        <v>0</v>
      </c>
      <c r="AO527">
        <v>18</v>
      </c>
      <c r="AP527">
        <v>67</v>
      </c>
      <c r="AQ527" s="21">
        <f t="shared" si="71"/>
        <v>34</v>
      </c>
      <c r="AR527" s="12">
        <f t="shared" si="76"/>
        <v>100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 s="6">
        <f t="shared" si="77"/>
        <v>0</v>
      </c>
      <c r="BM527" s="6">
        <f t="shared" si="75"/>
        <v>0</v>
      </c>
      <c r="BN527">
        <v>0</v>
      </c>
      <c r="BO527">
        <f t="shared" si="72"/>
        <v>0</v>
      </c>
      <c r="BP527">
        <v>0</v>
      </c>
      <c r="BQ527">
        <f>SUM(BP527,BB527,BK527)</f>
        <v>0</v>
      </c>
      <c r="BR527">
        <f t="shared" si="73"/>
        <v>0</v>
      </c>
    </row>
    <row r="528" spans="1:70">
      <c r="A528" s="16" t="str">
        <f t="shared" si="74"/>
        <v>CB_2025_NPZ_1_2</v>
      </c>
      <c r="B528" t="s">
        <v>56</v>
      </c>
      <c r="C528">
        <v>42.839689999999997</v>
      </c>
      <c r="D528">
        <v>-124.5651</v>
      </c>
      <c r="E528" s="8">
        <v>45835</v>
      </c>
      <c r="F528">
        <v>2025</v>
      </c>
      <c r="G528" t="s">
        <v>56</v>
      </c>
      <c r="H528" t="s">
        <v>48</v>
      </c>
      <c r="I528">
        <v>1</v>
      </c>
      <c r="J528">
        <v>2</v>
      </c>
      <c r="K528" t="s">
        <v>57</v>
      </c>
      <c r="L528" s="23">
        <v>16</v>
      </c>
      <c r="M528" s="23">
        <v>0</v>
      </c>
      <c r="N528" s="23">
        <v>0</v>
      </c>
      <c r="O528" s="23">
        <v>16</v>
      </c>
      <c r="P528" s="23">
        <v>0</v>
      </c>
      <c r="Q528" s="23" t="s">
        <v>44</v>
      </c>
      <c r="R528" s="23">
        <v>0</v>
      </c>
      <c r="S528" s="23">
        <v>0</v>
      </c>
      <c r="T528" s="23">
        <v>0</v>
      </c>
      <c r="U528" s="23">
        <v>0</v>
      </c>
      <c r="AG528" s="34">
        <v>36</v>
      </c>
      <c r="AH528">
        <v>0</v>
      </c>
      <c r="AI528">
        <v>0</v>
      </c>
      <c r="AJ528">
        <v>12</v>
      </c>
      <c r="AK528">
        <v>0</v>
      </c>
      <c r="AL528">
        <v>16</v>
      </c>
      <c r="AM528">
        <v>1</v>
      </c>
      <c r="AN528">
        <v>0</v>
      </c>
      <c r="AO528">
        <v>13</v>
      </c>
      <c r="AP528">
        <v>58</v>
      </c>
      <c r="AQ528" s="21">
        <f t="shared" si="71"/>
        <v>22</v>
      </c>
      <c r="AR528" s="12">
        <f t="shared" si="76"/>
        <v>100</v>
      </c>
      <c r="AS528">
        <v>3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12</v>
      </c>
      <c r="BL528" s="6">
        <f t="shared" si="77"/>
        <v>3</v>
      </c>
      <c r="BM528" s="6">
        <f t="shared" si="75"/>
        <v>3</v>
      </c>
      <c r="BN528">
        <v>0</v>
      </c>
    </row>
    <row r="529" spans="1:70">
      <c r="A529" s="16" t="str">
        <f t="shared" si="74"/>
        <v>CB_2025_NPZ_1_3</v>
      </c>
      <c r="B529" t="s">
        <v>56</v>
      </c>
      <c r="C529">
        <v>42.839689999999997</v>
      </c>
      <c r="D529">
        <v>-124.5651</v>
      </c>
      <c r="E529" s="8">
        <v>45835</v>
      </c>
      <c r="F529">
        <v>2025</v>
      </c>
      <c r="G529" t="s">
        <v>56</v>
      </c>
      <c r="H529" t="s">
        <v>48</v>
      </c>
      <c r="I529">
        <v>1</v>
      </c>
      <c r="J529">
        <v>3</v>
      </c>
      <c r="K529" t="s">
        <v>47</v>
      </c>
      <c r="L529" s="23">
        <v>25</v>
      </c>
      <c r="M529" s="23">
        <v>3</v>
      </c>
      <c r="N529" s="23">
        <v>4</v>
      </c>
      <c r="O529" s="23">
        <v>18</v>
      </c>
      <c r="P529" s="23">
        <v>0</v>
      </c>
      <c r="Q529" s="23" t="s">
        <v>44</v>
      </c>
      <c r="R529" s="23">
        <v>0</v>
      </c>
      <c r="S529" s="23">
        <v>0</v>
      </c>
      <c r="T529" s="23">
        <v>5</v>
      </c>
      <c r="U529" s="23">
        <v>8</v>
      </c>
      <c r="AG529" s="34">
        <v>34</v>
      </c>
      <c r="AH529">
        <v>0</v>
      </c>
      <c r="AI529">
        <v>0</v>
      </c>
      <c r="AJ529">
        <v>8</v>
      </c>
      <c r="AK529">
        <v>0</v>
      </c>
      <c r="AL529">
        <v>20</v>
      </c>
      <c r="AM529">
        <v>5</v>
      </c>
      <c r="AN529">
        <v>10</v>
      </c>
      <c r="AO529">
        <v>4</v>
      </c>
      <c r="AP529">
        <v>53</v>
      </c>
      <c r="AQ529" s="21">
        <f t="shared" si="71"/>
        <v>19</v>
      </c>
      <c r="AR529" s="12">
        <f t="shared" si="76"/>
        <v>100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8</v>
      </c>
      <c r="BL529" s="6">
        <f t="shared" si="77"/>
        <v>0</v>
      </c>
      <c r="BM529" s="6">
        <f t="shared" si="75"/>
        <v>0</v>
      </c>
      <c r="BN529">
        <v>0</v>
      </c>
      <c r="BO529">
        <f t="shared" si="72"/>
        <v>0</v>
      </c>
      <c r="BP529">
        <v>0</v>
      </c>
    </row>
    <row r="530" spans="1:70" hidden="1">
      <c r="A530" s="16" t="str">
        <f t="shared" si="74"/>
        <v>CB_2025_NPZ_1_4</v>
      </c>
      <c r="B530" t="s">
        <v>56</v>
      </c>
      <c r="C530">
        <v>42.839689999999997</v>
      </c>
      <c r="D530">
        <v>-124.5651</v>
      </c>
      <c r="E530" s="8">
        <v>45835</v>
      </c>
      <c r="F530">
        <v>2025</v>
      </c>
      <c r="G530" t="s">
        <v>56</v>
      </c>
      <c r="H530" t="s">
        <v>48</v>
      </c>
      <c r="I530">
        <v>1</v>
      </c>
      <c r="J530">
        <v>4</v>
      </c>
      <c r="K530" t="s">
        <v>57</v>
      </c>
      <c r="L530" s="23">
        <v>16</v>
      </c>
      <c r="M530" s="23">
        <v>0</v>
      </c>
      <c r="N530" s="23">
        <v>0</v>
      </c>
      <c r="O530" s="23">
        <v>16</v>
      </c>
      <c r="P530" s="23">
        <v>0</v>
      </c>
      <c r="Q530" s="23" t="s">
        <v>44</v>
      </c>
      <c r="R530" s="23">
        <v>0</v>
      </c>
      <c r="S530" s="23">
        <v>0</v>
      </c>
      <c r="T530" s="23">
        <v>0</v>
      </c>
      <c r="U530" s="23">
        <v>0</v>
      </c>
      <c r="AG530" s="34">
        <v>14</v>
      </c>
      <c r="AH530">
        <v>0</v>
      </c>
      <c r="AI530">
        <v>0</v>
      </c>
      <c r="AJ530">
        <v>0</v>
      </c>
      <c r="AK530">
        <v>0</v>
      </c>
      <c r="AL530">
        <v>9</v>
      </c>
      <c r="AM530">
        <v>6</v>
      </c>
      <c r="AN530">
        <v>9</v>
      </c>
      <c r="AO530">
        <v>68</v>
      </c>
      <c r="AP530">
        <v>8</v>
      </c>
      <c r="AQ530" s="21">
        <f t="shared" si="71"/>
        <v>-6</v>
      </c>
      <c r="AR530" s="12">
        <f t="shared" si="76"/>
        <v>100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 s="6">
        <f t="shared" si="77"/>
        <v>0</v>
      </c>
      <c r="BM530" s="6">
        <f t="shared" si="75"/>
        <v>0</v>
      </c>
      <c r="BN530">
        <v>0</v>
      </c>
      <c r="BO530">
        <f t="shared" si="72"/>
        <v>0</v>
      </c>
      <c r="BP530">
        <v>0</v>
      </c>
      <c r="BQ530">
        <f>SUM(BP530,BB530,BK530)</f>
        <v>0</v>
      </c>
      <c r="BR530">
        <f t="shared" si="73"/>
        <v>0</v>
      </c>
    </row>
    <row r="531" spans="1:70">
      <c r="A531" s="16" t="str">
        <f t="shared" si="74"/>
        <v>CB_2025_NPZ_1_5</v>
      </c>
      <c r="B531" t="s">
        <v>56</v>
      </c>
      <c r="C531">
        <v>42.839689999999997</v>
      </c>
      <c r="D531">
        <v>-124.5651</v>
      </c>
      <c r="E531" s="8">
        <v>45835</v>
      </c>
      <c r="F531">
        <v>2025</v>
      </c>
      <c r="G531" t="s">
        <v>56</v>
      </c>
      <c r="H531" t="s">
        <v>48</v>
      </c>
      <c r="I531">
        <v>1</v>
      </c>
      <c r="J531">
        <v>5</v>
      </c>
      <c r="K531" t="s">
        <v>46</v>
      </c>
      <c r="L531" s="23">
        <v>6</v>
      </c>
      <c r="M531" s="23">
        <v>3</v>
      </c>
      <c r="N531" s="23">
        <v>0</v>
      </c>
      <c r="O531" s="23">
        <v>3</v>
      </c>
      <c r="P531" s="23">
        <v>2</v>
      </c>
      <c r="Q531" s="23" t="s">
        <v>44</v>
      </c>
      <c r="R531" s="23">
        <v>0</v>
      </c>
      <c r="S531" s="23">
        <v>0</v>
      </c>
      <c r="T531" s="23">
        <v>0</v>
      </c>
      <c r="U531" s="23">
        <v>3</v>
      </c>
      <c r="AG531" s="34">
        <v>6</v>
      </c>
      <c r="AH531">
        <v>0</v>
      </c>
      <c r="AI531">
        <v>0</v>
      </c>
      <c r="AJ531">
        <v>9</v>
      </c>
      <c r="AK531">
        <v>0</v>
      </c>
      <c r="AL531">
        <v>23</v>
      </c>
      <c r="AM531">
        <v>8</v>
      </c>
      <c r="AN531">
        <v>0</v>
      </c>
      <c r="AO531">
        <v>0</v>
      </c>
      <c r="AP531">
        <v>60</v>
      </c>
      <c r="AQ531" s="21">
        <f t="shared" si="71"/>
        <v>54</v>
      </c>
      <c r="AR531" s="12">
        <f t="shared" si="76"/>
        <v>100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16</v>
      </c>
      <c r="BL531" s="6">
        <f t="shared" si="77"/>
        <v>2</v>
      </c>
      <c r="BM531" s="6">
        <f t="shared" si="75"/>
        <v>2</v>
      </c>
      <c r="BN531">
        <v>0</v>
      </c>
    </row>
    <row r="532" spans="1:70">
      <c r="A532" s="16" t="str">
        <f t="shared" si="74"/>
        <v>CB_2025_NPZ_2_1</v>
      </c>
      <c r="B532" t="s">
        <v>56</v>
      </c>
      <c r="C532">
        <v>42.839689999999997</v>
      </c>
      <c r="D532">
        <v>-124.5651</v>
      </c>
      <c r="E532" s="8">
        <v>45835</v>
      </c>
      <c r="F532">
        <v>2025</v>
      </c>
      <c r="G532" t="s">
        <v>56</v>
      </c>
      <c r="H532" t="s">
        <v>48</v>
      </c>
      <c r="I532">
        <v>2</v>
      </c>
      <c r="J532">
        <v>1</v>
      </c>
      <c r="K532" t="s">
        <v>83</v>
      </c>
      <c r="L532" s="23">
        <v>4</v>
      </c>
      <c r="M532" s="23">
        <v>0</v>
      </c>
      <c r="N532" s="23">
        <v>0</v>
      </c>
      <c r="O532" s="23">
        <v>4</v>
      </c>
      <c r="P532" s="23">
        <v>0</v>
      </c>
      <c r="Q532" s="23" t="s">
        <v>44</v>
      </c>
      <c r="R532" s="23">
        <v>0</v>
      </c>
      <c r="S532" s="23">
        <v>0</v>
      </c>
      <c r="T532" s="23">
        <v>0</v>
      </c>
      <c r="U532" s="23">
        <v>0</v>
      </c>
      <c r="AG532" s="34">
        <v>8</v>
      </c>
      <c r="AH532">
        <v>0</v>
      </c>
      <c r="AI532">
        <v>11</v>
      </c>
      <c r="AJ532">
        <v>29</v>
      </c>
      <c r="AK532">
        <v>0</v>
      </c>
      <c r="AL532">
        <v>12</v>
      </c>
      <c r="AM532">
        <v>14</v>
      </c>
      <c r="AN532">
        <v>0</v>
      </c>
      <c r="AO532">
        <v>6</v>
      </c>
      <c r="AP532">
        <v>28</v>
      </c>
      <c r="AQ532" s="21">
        <f t="shared" si="71"/>
        <v>20</v>
      </c>
      <c r="AR532" s="12">
        <f t="shared" si="76"/>
        <v>100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29</v>
      </c>
      <c r="BL532" s="6">
        <f t="shared" si="77"/>
        <v>0</v>
      </c>
      <c r="BM532" s="6">
        <f t="shared" si="75"/>
        <v>0</v>
      </c>
      <c r="BN532">
        <v>11</v>
      </c>
    </row>
    <row r="533" spans="1:70" hidden="1">
      <c r="A533" s="16" t="str">
        <f t="shared" si="74"/>
        <v>CB_2025_NPZ_2_2</v>
      </c>
      <c r="B533" t="s">
        <v>56</v>
      </c>
      <c r="C533">
        <v>42.839689999999997</v>
      </c>
      <c r="D533">
        <v>-124.5651</v>
      </c>
      <c r="E533" s="8">
        <v>45835</v>
      </c>
      <c r="F533">
        <v>2025</v>
      </c>
      <c r="G533" t="s">
        <v>56</v>
      </c>
      <c r="H533" t="s">
        <v>48</v>
      </c>
      <c r="I533">
        <v>2</v>
      </c>
      <c r="J533">
        <v>2</v>
      </c>
      <c r="K533" t="s">
        <v>57</v>
      </c>
      <c r="L533" s="23">
        <v>8</v>
      </c>
      <c r="M533" s="23">
        <v>0</v>
      </c>
      <c r="N533" s="23">
        <v>2</v>
      </c>
      <c r="O533" s="23">
        <v>6</v>
      </c>
      <c r="P533" s="23">
        <v>0</v>
      </c>
      <c r="Q533" s="23" t="s">
        <v>44</v>
      </c>
      <c r="R533" s="23">
        <v>0</v>
      </c>
      <c r="S533" s="23">
        <v>0</v>
      </c>
      <c r="T533" s="23">
        <v>0</v>
      </c>
      <c r="U533" s="23">
        <v>0</v>
      </c>
      <c r="AG533" s="34">
        <v>9</v>
      </c>
      <c r="AH533">
        <v>0</v>
      </c>
      <c r="AI533">
        <v>1</v>
      </c>
      <c r="AJ533">
        <v>0</v>
      </c>
      <c r="AK533">
        <v>0</v>
      </c>
      <c r="AL533">
        <v>8</v>
      </c>
      <c r="AM533">
        <v>10</v>
      </c>
      <c r="AN533">
        <v>7</v>
      </c>
      <c r="AO533">
        <v>70</v>
      </c>
      <c r="AP533">
        <v>4</v>
      </c>
      <c r="AQ533" s="21">
        <f t="shared" si="71"/>
        <v>-5</v>
      </c>
      <c r="AR533" s="12">
        <f t="shared" si="76"/>
        <v>100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 s="6">
        <f t="shared" si="77"/>
        <v>0</v>
      </c>
      <c r="BM533" s="6">
        <f t="shared" si="75"/>
        <v>0</v>
      </c>
      <c r="BN533">
        <v>1</v>
      </c>
      <c r="BO533">
        <f t="shared" si="72"/>
        <v>1</v>
      </c>
      <c r="BP533">
        <v>0</v>
      </c>
      <c r="BQ533">
        <f>SUM(BP533,BB533,BK533)</f>
        <v>0</v>
      </c>
      <c r="BR533">
        <f t="shared" si="73"/>
        <v>0</v>
      </c>
    </row>
    <row r="534" spans="1:70">
      <c r="A534" s="16" t="str">
        <f t="shared" si="74"/>
        <v>CB_2025_NPZ_2_3</v>
      </c>
      <c r="B534" t="s">
        <v>56</v>
      </c>
      <c r="C534">
        <v>42.839689999999997</v>
      </c>
      <c r="D534">
        <v>-124.5651</v>
      </c>
      <c r="E534" s="8">
        <v>45835</v>
      </c>
      <c r="F534">
        <v>2025</v>
      </c>
      <c r="G534" t="s">
        <v>56</v>
      </c>
      <c r="H534" t="s">
        <v>48</v>
      </c>
      <c r="I534">
        <v>2</v>
      </c>
      <c r="J534">
        <v>3</v>
      </c>
      <c r="K534" t="s">
        <v>57</v>
      </c>
      <c r="L534" s="23">
        <v>26</v>
      </c>
      <c r="M534" s="23">
        <v>0</v>
      </c>
      <c r="N534" s="23">
        <v>6</v>
      </c>
      <c r="O534" s="23">
        <v>20</v>
      </c>
      <c r="P534" s="23">
        <v>2</v>
      </c>
      <c r="Q534" s="23" t="s">
        <v>44</v>
      </c>
      <c r="R534" s="23">
        <v>0</v>
      </c>
      <c r="S534" s="23">
        <v>0</v>
      </c>
      <c r="T534" s="23">
        <v>0</v>
      </c>
      <c r="U534" s="23">
        <v>0</v>
      </c>
      <c r="AG534" s="34">
        <v>28</v>
      </c>
      <c r="AH534">
        <v>0</v>
      </c>
      <c r="AI534">
        <v>0</v>
      </c>
      <c r="AJ534">
        <v>10</v>
      </c>
      <c r="AK534">
        <v>0</v>
      </c>
      <c r="AL534">
        <v>5</v>
      </c>
      <c r="AM534">
        <v>4</v>
      </c>
      <c r="AN534">
        <v>3</v>
      </c>
      <c r="AO534">
        <v>4</v>
      </c>
      <c r="AP534">
        <v>74</v>
      </c>
      <c r="AQ534" s="21">
        <f t="shared" si="71"/>
        <v>46</v>
      </c>
      <c r="AR534" s="12">
        <f t="shared" si="76"/>
        <v>100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38</v>
      </c>
      <c r="BL534" s="6">
        <f t="shared" si="77"/>
        <v>0</v>
      </c>
      <c r="BM534" s="6">
        <f t="shared" si="75"/>
        <v>0</v>
      </c>
      <c r="BN534">
        <v>0</v>
      </c>
    </row>
    <row r="535" spans="1:70">
      <c r="A535" s="16" t="str">
        <f t="shared" si="74"/>
        <v>CB_2025_NPZ_2_4</v>
      </c>
      <c r="B535" t="s">
        <v>56</v>
      </c>
      <c r="C535">
        <v>42.839689999999997</v>
      </c>
      <c r="D535">
        <v>-124.5651</v>
      </c>
      <c r="E535" s="8">
        <v>45835</v>
      </c>
      <c r="F535">
        <v>2025</v>
      </c>
      <c r="G535" t="s">
        <v>56</v>
      </c>
      <c r="H535" t="s">
        <v>48</v>
      </c>
      <c r="I535">
        <v>2</v>
      </c>
      <c r="J535">
        <v>4</v>
      </c>
      <c r="K535" t="s">
        <v>57</v>
      </c>
      <c r="L535" s="23">
        <v>18</v>
      </c>
      <c r="M535" s="23">
        <v>0</v>
      </c>
      <c r="N535" s="23">
        <v>3</v>
      </c>
      <c r="O535" s="23">
        <v>15</v>
      </c>
      <c r="P535" s="23">
        <v>0</v>
      </c>
      <c r="Q535" s="23" t="s">
        <v>44</v>
      </c>
      <c r="R535" s="23">
        <v>0</v>
      </c>
      <c r="S535" s="23">
        <v>1</v>
      </c>
      <c r="T535" s="23">
        <v>0</v>
      </c>
      <c r="U535" s="23">
        <v>0</v>
      </c>
      <c r="AG535" s="34">
        <v>18</v>
      </c>
      <c r="AH535">
        <v>0</v>
      </c>
      <c r="AI535">
        <v>0</v>
      </c>
      <c r="AJ535">
        <v>24</v>
      </c>
      <c r="AK535">
        <v>0</v>
      </c>
      <c r="AL535">
        <v>11</v>
      </c>
      <c r="AM535">
        <v>4</v>
      </c>
      <c r="AN535">
        <v>0</v>
      </c>
      <c r="AO535">
        <v>10</v>
      </c>
      <c r="AP535">
        <v>51</v>
      </c>
      <c r="AQ535" s="21">
        <f t="shared" si="71"/>
        <v>33</v>
      </c>
      <c r="AR535" s="12">
        <f t="shared" si="76"/>
        <v>100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24</v>
      </c>
      <c r="BL535" s="6">
        <f t="shared" si="77"/>
        <v>0</v>
      </c>
      <c r="BM535" s="6">
        <f t="shared" si="75"/>
        <v>0</v>
      </c>
    </row>
    <row r="536" spans="1:70" hidden="1">
      <c r="A536" s="16" t="str">
        <f t="shared" si="74"/>
        <v>CB_2025_NPZ_2_5</v>
      </c>
      <c r="B536" t="s">
        <v>56</v>
      </c>
      <c r="C536">
        <v>42.839689999999997</v>
      </c>
      <c r="D536">
        <v>-124.5651</v>
      </c>
      <c r="E536" s="8">
        <v>45835</v>
      </c>
      <c r="F536">
        <v>2025</v>
      </c>
      <c r="G536" t="s">
        <v>56</v>
      </c>
      <c r="H536" t="s">
        <v>48</v>
      </c>
      <c r="I536">
        <v>2</v>
      </c>
      <c r="J536">
        <v>5</v>
      </c>
      <c r="K536" t="s">
        <v>57</v>
      </c>
      <c r="L536" s="23">
        <v>21</v>
      </c>
      <c r="M536" s="23">
        <v>0</v>
      </c>
      <c r="N536" s="23">
        <v>2</v>
      </c>
      <c r="O536" s="23">
        <v>19</v>
      </c>
      <c r="P536" s="23">
        <v>4</v>
      </c>
      <c r="Q536" s="23" t="s">
        <v>44</v>
      </c>
      <c r="R536" s="23">
        <v>0</v>
      </c>
      <c r="S536" s="23">
        <v>0</v>
      </c>
      <c r="T536" s="23">
        <v>0</v>
      </c>
      <c r="U536" s="23">
        <v>0</v>
      </c>
      <c r="AG536" s="34">
        <v>32</v>
      </c>
      <c r="AH536">
        <v>2</v>
      </c>
      <c r="AI536">
        <v>0</v>
      </c>
      <c r="AJ536">
        <v>0</v>
      </c>
      <c r="AK536">
        <v>0</v>
      </c>
      <c r="AL536">
        <v>15</v>
      </c>
      <c r="AM536">
        <v>9</v>
      </c>
      <c r="AN536">
        <v>1</v>
      </c>
      <c r="AO536">
        <v>70</v>
      </c>
      <c r="AP536">
        <v>3</v>
      </c>
      <c r="AQ536" s="21">
        <f t="shared" si="71"/>
        <v>-29</v>
      </c>
      <c r="AR536" s="12">
        <f t="shared" si="76"/>
        <v>100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 s="6">
        <f t="shared" si="77"/>
        <v>0</v>
      </c>
      <c r="BM536" s="6">
        <f t="shared" si="75"/>
        <v>0</v>
      </c>
      <c r="BN536">
        <v>0</v>
      </c>
      <c r="BO536">
        <f t="shared" si="72"/>
        <v>0</v>
      </c>
      <c r="BP536">
        <v>0</v>
      </c>
      <c r="BQ536">
        <f>SUM(BP536,BB536,BK536)</f>
        <v>0</v>
      </c>
      <c r="BR536">
        <f t="shared" si="73"/>
        <v>0</v>
      </c>
    </row>
    <row r="537" spans="1:70" hidden="1">
      <c r="A537" s="16" t="str">
        <f t="shared" si="74"/>
        <v>SB_2025_AZ_1_1</v>
      </c>
      <c r="B537" t="s">
        <v>40</v>
      </c>
      <c r="C537">
        <v>43.3339</v>
      </c>
      <c r="D537">
        <v>-124.3767</v>
      </c>
      <c r="E537" s="8">
        <v>45836</v>
      </c>
      <c r="F537">
        <v>2025</v>
      </c>
      <c r="G537" t="s">
        <v>41</v>
      </c>
      <c r="H537" t="s">
        <v>42</v>
      </c>
      <c r="I537">
        <v>1</v>
      </c>
      <c r="J537">
        <v>1</v>
      </c>
      <c r="K537" t="s">
        <v>47</v>
      </c>
      <c r="L537" s="23">
        <v>23</v>
      </c>
      <c r="M537" s="23">
        <v>20</v>
      </c>
      <c r="N537" s="23">
        <v>0</v>
      </c>
      <c r="O537" s="23">
        <v>3</v>
      </c>
      <c r="P537" s="23">
        <v>0</v>
      </c>
      <c r="Q537" s="23" t="s">
        <v>44</v>
      </c>
      <c r="R537" s="23">
        <v>0</v>
      </c>
      <c r="S537" s="23">
        <v>0</v>
      </c>
      <c r="T537" s="23">
        <v>0</v>
      </c>
      <c r="U537" s="23">
        <v>20</v>
      </c>
      <c r="V537" s="18" t="s">
        <v>44</v>
      </c>
      <c r="W537" s="18" t="s">
        <v>44</v>
      </c>
      <c r="X537" s="18" t="s">
        <v>44</v>
      </c>
      <c r="Y537" s="18" t="s">
        <v>44</v>
      </c>
      <c r="Z537" s="18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s="34">
        <v>12</v>
      </c>
      <c r="AH537">
        <v>5</v>
      </c>
      <c r="AI537">
        <v>23</v>
      </c>
      <c r="AJ537">
        <v>4</v>
      </c>
      <c r="AK537">
        <v>0</v>
      </c>
      <c r="AL537">
        <v>11</v>
      </c>
      <c r="AM537">
        <v>1</v>
      </c>
      <c r="AN537">
        <v>0.1</v>
      </c>
      <c r="AO537">
        <v>0.1</v>
      </c>
      <c r="AP537">
        <v>56</v>
      </c>
      <c r="AQ537" s="21">
        <f t="shared" si="71"/>
        <v>44</v>
      </c>
      <c r="AR537" s="12">
        <f t="shared" si="76"/>
        <v>100.2</v>
      </c>
      <c r="AS537">
        <v>0</v>
      </c>
      <c r="AT537">
        <v>0</v>
      </c>
      <c r="AU537">
        <v>0</v>
      </c>
      <c r="AV537">
        <v>0</v>
      </c>
      <c r="AW537">
        <v>81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</v>
      </c>
      <c r="BG537">
        <v>0</v>
      </c>
      <c r="BH537">
        <v>0</v>
      </c>
      <c r="BI537">
        <v>0</v>
      </c>
      <c r="BJ537">
        <v>0</v>
      </c>
      <c r="BK537">
        <v>0</v>
      </c>
      <c r="BL537" s="6">
        <f t="shared" si="77"/>
        <v>83</v>
      </c>
      <c r="BM537" s="6">
        <f t="shared" si="75"/>
        <v>83</v>
      </c>
      <c r="BN537">
        <v>23</v>
      </c>
      <c r="BO537">
        <f t="shared" si="72"/>
        <v>23</v>
      </c>
      <c r="BP537">
        <v>4</v>
      </c>
      <c r="BQ537">
        <f>SUM(BP537,BB537,BK537)</f>
        <v>4</v>
      </c>
      <c r="BR537">
        <f t="shared" si="73"/>
        <v>0</v>
      </c>
    </row>
    <row r="538" spans="1:70" hidden="1">
      <c r="A538" s="16" t="str">
        <f t="shared" si="74"/>
        <v>SB_2025_AZ_1_2</v>
      </c>
      <c r="B538" t="s">
        <v>40</v>
      </c>
      <c r="C538">
        <v>43.3339</v>
      </c>
      <c r="D538">
        <v>-124.3767</v>
      </c>
      <c r="E538" s="8">
        <v>45836</v>
      </c>
      <c r="F538">
        <v>2025</v>
      </c>
      <c r="G538" t="s">
        <v>41</v>
      </c>
      <c r="H538" t="s">
        <v>42</v>
      </c>
      <c r="I538">
        <v>1</v>
      </c>
      <c r="J538">
        <v>2</v>
      </c>
      <c r="K538" t="s">
        <v>47</v>
      </c>
      <c r="L538" s="23">
        <v>1</v>
      </c>
      <c r="M538" s="23">
        <v>0</v>
      </c>
      <c r="N538" s="23">
        <v>0</v>
      </c>
      <c r="O538" s="23">
        <v>1</v>
      </c>
      <c r="P538" s="23">
        <v>0</v>
      </c>
      <c r="Q538" s="23" t="s">
        <v>44</v>
      </c>
      <c r="R538" s="23">
        <v>0</v>
      </c>
      <c r="S538" s="23">
        <v>0</v>
      </c>
      <c r="T538" s="23">
        <v>0</v>
      </c>
      <c r="U538" s="23">
        <v>0</v>
      </c>
      <c r="V538" s="18" t="s">
        <v>44</v>
      </c>
      <c r="W538" s="18" t="s">
        <v>44</v>
      </c>
      <c r="X538" s="18" t="s">
        <v>44</v>
      </c>
      <c r="Y538" s="18" t="s">
        <v>44</v>
      </c>
      <c r="Z538" s="1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s="34">
        <v>1</v>
      </c>
      <c r="AH538">
        <v>23</v>
      </c>
      <c r="AI538">
        <v>38</v>
      </c>
      <c r="AJ538">
        <v>7</v>
      </c>
      <c r="AK538">
        <v>0</v>
      </c>
      <c r="AL538">
        <v>7</v>
      </c>
      <c r="AM538">
        <v>1</v>
      </c>
      <c r="AN538">
        <v>0</v>
      </c>
      <c r="AO538">
        <v>1</v>
      </c>
      <c r="AP538">
        <v>23</v>
      </c>
      <c r="AQ538" s="21">
        <f t="shared" si="71"/>
        <v>22</v>
      </c>
      <c r="AR538" s="12">
        <f t="shared" si="76"/>
        <v>100</v>
      </c>
      <c r="AS538">
        <v>24</v>
      </c>
      <c r="AT538">
        <v>23</v>
      </c>
      <c r="AU538">
        <v>0</v>
      </c>
      <c r="AV538">
        <v>0</v>
      </c>
      <c r="AW538">
        <v>65</v>
      </c>
      <c r="AX538">
        <v>23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 s="6">
        <f t="shared" si="77"/>
        <v>135</v>
      </c>
      <c r="BM538" s="6">
        <f t="shared" si="75"/>
        <v>135</v>
      </c>
      <c r="BN538">
        <v>38</v>
      </c>
      <c r="BO538">
        <f t="shared" si="72"/>
        <v>38</v>
      </c>
      <c r="BP538">
        <v>7</v>
      </c>
      <c r="BQ538">
        <f>SUM(BP538,BB538,BK538)</f>
        <v>7</v>
      </c>
      <c r="BR538">
        <f t="shared" si="73"/>
        <v>0</v>
      </c>
    </row>
    <row r="539" spans="1:70" hidden="1">
      <c r="A539" s="16" t="str">
        <f t="shared" si="74"/>
        <v>SB_2025_AZ_1_3</v>
      </c>
      <c r="B539" t="s">
        <v>40</v>
      </c>
      <c r="C539">
        <v>43.3339</v>
      </c>
      <c r="D539">
        <v>-124.3767</v>
      </c>
      <c r="E539" s="8">
        <v>45836</v>
      </c>
      <c r="F539">
        <v>2025</v>
      </c>
      <c r="G539" t="s">
        <v>41</v>
      </c>
      <c r="H539" t="s">
        <v>42</v>
      </c>
      <c r="I539">
        <v>1</v>
      </c>
      <c r="J539">
        <v>3</v>
      </c>
      <c r="K539" t="s">
        <v>47</v>
      </c>
      <c r="L539" s="23">
        <v>2</v>
      </c>
      <c r="M539" s="23">
        <v>0</v>
      </c>
      <c r="N539" s="23">
        <v>2</v>
      </c>
      <c r="O539" s="23">
        <v>0</v>
      </c>
      <c r="P539" s="23">
        <v>0</v>
      </c>
      <c r="Q539" s="23" t="s">
        <v>44</v>
      </c>
      <c r="R539" s="23">
        <v>0</v>
      </c>
      <c r="S539" s="23">
        <v>0</v>
      </c>
      <c r="T539" s="23">
        <v>0</v>
      </c>
      <c r="U539" s="23">
        <v>0</v>
      </c>
      <c r="V539" s="18" t="s">
        <v>44</v>
      </c>
      <c r="W539" s="18" t="s">
        <v>44</v>
      </c>
      <c r="X539" s="18" t="s">
        <v>44</v>
      </c>
      <c r="Y539" s="18" t="s">
        <v>44</v>
      </c>
      <c r="Z539" s="18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s="34">
        <v>1</v>
      </c>
      <c r="AH539">
        <v>4</v>
      </c>
      <c r="AI539">
        <v>28</v>
      </c>
      <c r="AJ539">
        <v>2</v>
      </c>
      <c r="AK539">
        <v>0</v>
      </c>
      <c r="AL539">
        <v>2</v>
      </c>
      <c r="AM539">
        <v>0</v>
      </c>
      <c r="AN539">
        <v>0</v>
      </c>
      <c r="AO539">
        <v>4</v>
      </c>
      <c r="AP539">
        <v>60</v>
      </c>
      <c r="AQ539" s="21">
        <f t="shared" si="71"/>
        <v>59</v>
      </c>
      <c r="AR539" s="12">
        <f t="shared" si="76"/>
        <v>100</v>
      </c>
      <c r="AS539">
        <v>98</v>
      </c>
      <c r="AT539">
        <v>0</v>
      </c>
      <c r="AU539">
        <v>0</v>
      </c>
      <c r="AV539">
        <v>0</v>
      </c>
      <c r="AW539">
        <v>56</v>
      </c>
      <c r="AX539">
        <v>12</v>
      </c>
      <c r="AY539">
        <v>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 s="6">
        <f t="shared" si="77"/>
        <v>171</v>
      </c>
      <c r="BM539" s="6">
        <f t="shared" si="75"/>
        <v>171</v>
      </c>
      <c r="BN539">
        <v>28</v>
      </c>
      <c r="BO539">
        <f t="shared" si="72"/>
        <v>28</v>
      </c>
      <c r="BP539">
        <v>2</v>
      </c>
      <c r="BQ539">
        <f>SUM(BP539,BB539,BK539)</f>
        <v>2</v>
      </c>
      <c r="BR539">
        <f t="shared" si="73"/>
        <v>0</v>
      </c>
    </row>
    <row r="540" spans="1:70" hidden="1">
      <c r="A540" s="16" t="str">
        <f t="shared" si="74"/>
        <v>SB_2025_AZ_1_4</v>
      </c>
      <c r="B540" t="s">
        <v>40</v>
      </c>
      <c r="C540">
        <v>43.3339</v>
      </c>
      <c r="D540">
        <v>-124.3767</v>
      </c>
      <c r="E540" s="8">
        <v>45836</v>
      </c>
      <c r="F540">
        <v>2025</v>
      </c>
      <c r="G540" t="s">
        <v>41</v>
      </c>
      <c r="H540" t="s">
        <v>42</v>
      </c>
      <c r="I540">
        <v>1</v>
      </c>
      <c r="J540">
        <v>4</v>
      </c>
      <c r="K540" t="s">
        <v>47</v>
      </c>
      <c r="L540" s="23">
        <v>6</v>
      </c>
      <c r="M540" s="23">
        <v>6</v>
      </c>
      <c r="N540" s="23">
        <v>0</v>
      </c>
      <c r="O540" s="23">
        <v>0</v>
      </c>
      <c r="P540" s="23">
        <v>0</v>
      </c>
      <c r="Q540" s="23" t="s">
        <v>44</v>
      </c>
      <c r="R540" s="23">
        <v>0</v>
      </c>
      <c r="S540" s="23">
        <v>0</v>
      </c>
      <c r="T540" s="23">
        <v>3</v>
      </c>
      <c r="U540" s="23">
        <v>9</v>
      </c>
      <c r="V540" s="18" t="s">
        <v>44</v>
      </c>
      <c r="W540" s="18" t="s">
        <v>44</v>
      </c>
      <c r="X540" s="18" t="s">
        <v>44</v>
      </c>
      <c r="Y540" s="18" t="s">
        <v>44</v>
      </c>
      <c r="Z540" s="18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s="34">
        <v>4</v>
      </c>
      <c r="AH540">
        <v>5</v>
      </c>
      <c r="AI540">
        <v>22</v>
      </c>
      <c r="AJ540">
        <v>1</v>
      </c>
      <c r="AK540">
        <v>0</v>
      </c>
      <c r="AL540">
        <v>5</v>
      </c>
      <c r="AM540">
        <v>1</v>
      </c>
      <c r="AN540">
        <v>0.1</v>
      </c>
      <c r="AO540">
        <v>10</v>
      </c>
      <c r="AP540">
        <v>56</v>
      </c>
      <c r="AQ540" s="21">
        <f t="shared" ref="AQ540:AQ596" si="78">AP540-AG540</f>
        <v>52</v>
      </c>
      <c r="AR540" s="12">
        <f t="shared" si="76"/>
        <v>100.1</v>
      </c>
      <c r="AS540">
        <v>0</v>
      </c>
      <c r="AT540">
        <v>0</v>
      </c>
      <c r="AU540">
        <v>0</v>
      </c>
      <c r="AV540">
        <v>0</v>
      </c>
      <c r="AW540">
        <v>57</v>
      </c>
      <c r="AX540">
        <v>1</v>
      </c>
      <c r="AY540">
        <v>20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 s="6">
        <f t="shared" si="77"/>
        <v>78</v>
      </c>
      <c r="BM540" s="6">
        <f t="shared" si="75"/>
        <v>78</v>
      </c>
      <c r="BN540">
        <v>22</v>
      </c>
      <c r="BO540">
        <f t="shared" si="72"/>
        <v>22</v>
      </c>
      <c r="BP540">
        <v>1</v>
      </c>
      <c r="BQ540">
        <f>SUM(BP540,BB540,BK540)</f>
        <v>1</v>
      </c>
      <c r="BR540">
        <f t="shared" si="73"/>
        <v>0</v>
      </c>
    </row>
    <row r="541" spans="1:70" hidden="1">
      <c r="A541" s="16" t="str">
        <f t="shared" si="74"/>
        <v>SB_2025_AZ_1_5</v>
      </c>
      <c r="B541" t="s">
        <v>40</v>
      </c>
      <c r="C541">
        <v>43.3339</v>
      </c>
      <c r="D541">
        <v>-124.3767</v>
      </c>
      <c r="E541" s="8">
        <v>45836</v>
      </c>
      <c r="F541">
        <v>2025</v>
      </c>
      <c r="G541" t="s">
        <v>41</v>
      </c>
      <c r="H541" t="s">
        <v>42</v>
      </c>
      <c r="I541">
        <v>1</v>
      </c>
      <c r="J541">
        <v>5</v>
      </c>
      <c r="K541" t="s">
        <v>47</v>
      </c>
      <c r="L541" s="23">
        <v>0</v>
      </c>
      <c r="M541" s="23">
        <v>0</v>
      </c>
      <c r="N541" s="23">
        <v>0</v>
      </c>
      <c r="O541" s="23">
        <v>0</v>
      </c>
      <c r="P541" s="23">
        <v>0</v>
      </c>
      <c r="Q541" s="23" t="s">
        <v>44</v>
      </c>
      <c r="R541" s="23">
        <v>0</v>
      </c>
      <c r="S541" s="23">
        <v>0</v>
      </c>
      <c r="T541" s="23">
        <v>0</v>
      </c>
      <c r="U541" s="23">
        <v>0</v>
      </c>
      <c r="V541" s="18" t="s">
        <v>44</v>
      </c>
      <c r="W541" s="18" t="s">
        <v>44</v>
      </c>
      <c r="X541" s="18" t="s">
        <v>44</v>
      </c>
      <c r="Y541" s="18" t="s">
        <v>44</v>
      </c>
      <c r="Z541" s="18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s="34">
        <v>0</v>
      </c>
      <c r="AH541">
        <v>19</v>
      </c>
      <c r="AI541">
        <v>6</v>
      </c>
      <c r="AJ541">
        <v>3</v>
      </c>
      <c r="AK541">
        <v>0</v>
      </c>
      <c r="AL541">
        <v>13</v>
      </c>
      <c r="AM541">
        <v>1</v>
      </c>
      <c r="AN541">
        <v>1</v>
      </c>
      <c r="AO541">
        <v>0</v>
      </c>
      <c r="AP541">
        <v>57</v>
      </c>
      <c r="AQ541" s="21">
        <f t="shared" si="78"/>
        <v>57</v>
      </c>
      <c r="AR541" s="12">
        <f t="shared" si="76"/>
        <v>100</v>
      </c>
      <c r="AS541">
        <v>0</v>
      </c>
      <c r="AT541">
        <v>0</v>
      </c>
      <c r="AU541">
        <v>0</v>
      </c>
      <c r="AV541">
        <v>2</v>
      </c>
      <c r="AW541">
        <v>93</v>
      </c>
      <c r="AX541">
        <v>8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 s="6">
        <f t="shared" si="77"/>
        <v>103</v>
      </c>
      <c r="BM541" s="6">
        <f t="shared" si="75"/>
        <v>103</v>
      </c>
      <c r="BN541">
        <v>6</v>
      </c>
      <c r="BO541">
        <f t="shared" si="72"/>
        <v>6</v>
      </c>
      <c r="BP541">
        <v>3</v>
      </c>
      <c r="BQ541">
        <f>SUM(BP541,BB541,BK541)</f>
        <v>3</v>
      </c>
      <c r="BR541">
        <f t="shared" si="73"/>
        <v>0</v>
      </c>
    </row>
    <row r="542" spans="1:70" hidden="1">
      <c r="A542" s="16" t="str">
        <f t="shared" si="74"/>
        <v>SB_2025_AZ_2_1</v>
      </c>
      <c r="B542" t="s">
        <v>40</v>
      </c>
      <c r="C542">
        <v>43.3339</v>
      </c>
      <c r="D542">
        <v>-124.3767</v>
      </c>
      <c r="E542" s="8">
        <v>45836</v>
      </c>
      <c r="F542">
        <v>2025</v>
      </c>
      <c r="G542" t="s">
        <v>41</v>
      </c>
      <c r="H542" t="s">
        <v>42</v>
      </c>
      <c r="I542">
        <v>2</v>
      </c>
      <c r="J542">
        <v>1</v>
      </c>
      <c r="K542" t="s">
        <v>46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 t="s">
        <v>44</v>
      </c>
      <c r="R542" s="23">
        <v>0</v>
      </c>
      <c r="S542" s="23">
        <v>0</v>
      </c>
      <c r="T542" s="23">
        <v>0</v>
      </c>
      <c r="U542" s="23">
        <v>0</v>
      </c>
      <c r="V542" s="18" t="s">
        <v>44</v>
      </c>
      <c r="W542" s="18" t="s">
        <v>44</v>
      </c>
      <c r="X542" s="18" t="s">
        <v>44</v>
      </c>
      <c r="Y542" s="18" t="s">
        <v>44</v>
      </c>
      <c r="Z542" s="18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s="34">
        <v>0</v>
      </c>
      <c r="AH542">
        <v>6</v>
      </c>
      <c r="AI542">
        <v>15</v>
      </c>
      <c r="AJ542">
        <v>24</v>
      </c>
      <c r="AK542">
        <v>0</v>
      </c>
      <c r="AL542">
        <v>9</v>
      </c>
      <c r="AM542">
        <v>7</v>
      </c>
      <c r="AN542">
        <v>0</v>
      </c>
      <c r="AO542">
        <v>6</v>
      </c>
      <c r="AP542">
        <v>33</v>
      </c>
      <c r="AQ542" s="21">
        <f t="shared" si="78"/>
        <v>33</v>
      </c>
      <c r="AR542" s="12">
        <f t="shared" si="76"/>
        <v>100</v>
      </c>
      <c r="AS542">
        <v>15</v>
      </c>
      <c r="AT542">
        <v>0</v>
      </c>
      <c r="AU542">
        <v>3</v>
      </c>
      <c r="AV542">
        <v>0</v>
      </c>
      <c r="AW542">
        <v>24</v>
      </c>
      <c r="AX542">
        <v>15</v>
      </c>
      <c r="AY542">
        <v>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 s="6">
        <f t="shared" si="77"/>
        <v>59</v>
      </c>
      <c r="BM542" s="6">
        <f t="shared" si="75"/>
        <v>62</v>
      </c>
    </row>
    <row r="543" spans="1:70" hidden="1">
      <c r="A543" s="16" t="str">
        <f t="shared" si="74"/>
        <v>SB_2025_AZ_2_2</v>
      </c>
      <c r="B543" t="s">
        <v>40</v>
      </c>
      <c r="C543">
        <v>43.3339</v>
      </c>
      <c r="D543">
        <v>-124.3767</v>
      </c>
      <c r="E543" s="8">
        <v>45836</v>
      </c>
      <c r="F543">
        <v>2025</v>
      </c>
      <c r="G543" t="s">
        <v>41</v>
      </c>
      <c r="H543" t="s">
        <v>42</v>
      </c>
      <c r="I543">
        <v>2</v>
      </c>
      <c r="J543">
        <v>2</v>
      </c>
      <c r="K543" t="s">
        <v>46</v>
      </c>
      <c r="L543" s="23">
        <v>1</v>
      </c>
      <c r="M543" s="23">
        <v>0</v>
      </c>
      <c r="N543" s="23">
        <v>0</v>
      </c>
      <c r="O543" s="23">
        <v>1</v>
      </c>
      <c r="P543" s="23">
        <v>0</v>
      </c>
      <c r="Q543" s="23" t="s">
        <v>44</v>
      </c>
      <c r="R543" s="23">
        <v>0</v>
      </c>
      <c r="S543" s="23">
        <v>0</v>
      </c>
      <c r="T543" s="23">
        <v>0</v>
      </c>
      <c r="U543" s="23">
        <v>0</v>
      </c>
      <c r="V543" s="18" t="s">
        <v>44</v>
      </c>
      <c r="W543" s="18" t="s">
        <v>44</v>
      </c>
      <c r="X543" s="18" t="s">
        <v>44</v>
      </c>
      <c r="Y543" s="18" t="s">
        <v>44</v>
      </c>
      <c r="Z543" s="18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s="34">
        <v>1</v>
      </c>
      <c r="AH543">
        <v>1</v>
      </c>
      <c r="AI543">
        <v>58</v>
      </c>
      <c r="AJ543">
        <v>12</v>
      </c>
      <c r="AK543">
        <v>0</v>
      </c>
      <c r="AL543">
        <v>5</v>
      </c>
      <c r="AM543">
        <v>0.1</v>
      </c>
      <c r="AN543">
        <v>0</v>
      </c>
      <c r="AO543">
        <v>9</v>
      </c>
      <c r="AP543">
        <v>15</v>
      </c>
      <c r="AQ543" s="21">
        <f t="shared" si="78"/>
        <v>14</v>
      </c>
      <c r="AR543" s="12">
        <f t="shared" si="76"/>
        <v>100.1</v>
      </c>
      <c r="AS543">
        <v>78</v>
      </c>
      <c r="AT543">
        <v>0</v>
      </c>
      <c r="AU543">
        <v>0</v>
      </c>
      <c r="AV543">
        <v>0</v>
      </c>
      <c r="AW543">
        <v>28</v>
      </c>
      <c r="AX543">
        <v>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3</v>
      </c>
      <c r="BH543">
        <v>0</v>
      </c>
      <c r="BI543">
        <v>0</v>
      </c>
      <c r="BJ543">
        <v>0</v>
      </c>
      <c r="BK543">
        <v>0</v>
      </c>
      <c r="BL543" s="6">
        <f t="shared" si="77"/>
        <v>113</v>
      </c>
      <c r="BM543" s="6">
        <f t="shared" si="75"/>
        <v>116</v>
      </c>
    </row>
    <row r="544" spans="1:70" hidden="1">
      <c r="A544" s="16" t="str">
        <f t="shared" si="74"/>
        <v>SB_2025_AZ_2_3</v>
      </c>
      <c r="B544" t="s">
        <v>40</v>
      </c>
      <c r="C544">
        <v>43.3339</v>
      </c>
      <c r="D544">
        <v>-124.3767</v>
      </c>
      <c r="E544" s="8">
        <v>45836</v>
      </c>
      <c r="F544">
        <v>2025</v>
      </c>
      <c r="G544" t="s">
        <v>41</v>
      </c>
      <c r="H544" t="s">
        <v>42</v>
      </c>
      <c r="I544">
        <v>2</v>
      </c>
      <c r="J544">
        <v>3</v>
      </c>
      <c r="K544" t="s">
        <v>46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18" t="s">
        <v>44</v>
      </c>
      <c r="W544" s="18" t="s">
        <v>44</v>
      </c>
      <c r="X544" s="18" t="s">
        <v>44</v>
      </c>
      <c r="Y544" s="18" t="s">
        <v>44</v>
      </c>
      <c r="Z544" s="18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s="34">
        <v>0</v>
      </c>
      <c r="AH544">
        <v>12</v>
      </c>
      <c r="AI544">
        <v>40</v>
      </c>
      <c r="AJ544">
        <v>7</v>
      </c>
      <c r="AK544">
        <v>0</v>
      </c>
      <c r="AL544">
        <v>6</v>
      </c>
      <c r="AM544">
        <v>5</v>
      </c>
      <c r="AN544">
        <v>0</v>
      </c>
      <c r="AO544">
        <v>3</v>
      </c>
      <c r="AP544">
        <v>27</v>
      </c>
      <c r="AQ544" s="21">
        <f t="shared" si="78"/>
        <v>27</v>
      </c>
      <c r="AR544" s="12">
        <f t="shared" si="76"/>
        <v>100</v>
      </c>
      <c r="AS544">
        <v>25</v>
      </c>
      <c r="AT544">
        <v>22</v>
      </c>
      <c r="AU544">
        <v>0</v>
      </c>
      <c r="AV544">
        <v>0</v>
      </c>
      <c r="AW544">
        <v>9</v>
      </c>
      <c r="AX544">
        <v>20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 s="6">
        <f t="shared" si="77"/>
        <v>77</v>
      </c>
      <c r="BM544" s="6">
        <f t="shared" si="75"/>
        <v>77</v>
      </c>
      <c r="BN544">
        <v>40</v>
      </c>
      <c r="BO544">
        <f t="shared" ref="BO544:BO607" si="79">SUM(BN544,AU544,BG544,BH544,BI544)</f>
        <v>40</v>
      </c>
      <c r="BP544">
        <v>7</v>
      </c>
      <c r="BQ544">
        <f>SUM(BP544,BB544,BK544)</f>
        <v>7</v>
      </c>
      <c r="BR544">
        <f t="shared" si="73"/>
        <v>0</v>
      </c>
    </row>
    <row r="545" spans="1:70" hidden="1">
      <c r="A545" s="16" t="str">
        <f t="shared" si="74"/>
        <v>SB_2025_AZ_2_4</v>
      </c>
      <c r="B545" t="s">
        <v>40</v>
      </c>
      <c r="C545">
        <v>43.3339</v>
      </c>
      <c r="D545">
        <v>-124.3767</v>
      </c>
      <c r="E545" s="8">
        <v>45836</v>
      </c>
      <c r="F545">
        <v>2025</v>
      </c>
      <c r="G545" t="s">
        <v>41</v>
      </c>
      <c r="H545" t="s">
        <v>42</v>
      </c>
      <c r="I545">
        <v>2</v>
      </c>
      <c r="J545">
        <v>4</v>
      </c>
      <c r="K545" t="s">
        <v>46</v>
      </c>
      <c r="L545" s="23">
        <v>0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0</v>
      </c>
      <c r="V545" s="18" t="s">
        <v>44</v>
      </c>
      <c r="W545" s="18" t="s">
        <v>44</v>
      </c>
      <c r="X545" s="18" t="s">
        <v>44</v>
      </c>
      <c r="Y545" s="18" t="s">
        <v>44</v>
      </c>
      <c r="Z545" s="18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s="34">
        <v>0</v>
      </c>
      <c r="AH545">
        <v>6</v>
      </c>
      <c r="AI545">
        <v>33</v>
      </c>
      <c r="AJ545">
        <v>2</v>
      </c>
      <c r="AK545">
        <v>0</v>
      </c>
      <c r="AL545">
        <v>3</v>
      </c>
      <c r="AM545">
        <v>9</v>
      </c>
      <c r="AN545">
        <v>0</v>
      </c>
      <c r="AO545">
        <v>2</v>
      </c>
      <c r="AP545">
        <v>45</v>
      </c>
      <c r="AQ545" s="21">
        <f t="shared" si="78"/>
        <v>45</v>
      </c>
      <c r="AR545" s="12">
        <f t="shared" si="76"/>
        <v>100</v>
      </c>
      <c r="AS545">
        <v>33</v>
      </c>
      <c r="AT545">
        <v>28</v>
      </c>
      <c r="AU545">
        <v>0</v>
      </c>
      <c r="AV545">
        <v>0</v>
      </c>
      <c r="AW545">
        <v>0</v>
      </c>
      <c r="AX545">
        <v>32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 s="6">
        <f t="shared" si="77"/>
        <v>93</v>
      </c>
      <c r="BM545" s="6">
        <f t="shared" si="75"/>
        <v>93</v>
      </c>
      <c r="BN545">
        <v>33</v>
      </c>
      <c r="BO545">
        <f t="shared" si="79"/>
        <v>33</v>
      </c>
      <c r="BP545">
        <v>2</v>
      </c>
      <c r="BQ545">
        <f>SUM(BP545,BB545,BK545)</f>
        <v>2</v>
      </c>
      <c r="BR545">
        <f t="shared" si="73"/>
        <v>0</v>
      </c>
    </row>
    <row r="546" spans="1:70" hidden="1">
      <c r="A546" s="16" t="str">
        <f t="shared" si="74"/>
        <v>SB_2025_AZ_2_5</v>
      </c>
      <c r="B546" t="s">
        <v>40</v>
      </c>
      <c r="C546">
        <v>43.3339</v>
      </c>
      <c r="D546">
        <v>-124.3767</v>
      </c>
      <c r="E546" s="8">
        <v>45836</v>
      </c>
      <c r="F546">
        <v>2025</v>
      </c>
      <c r="G546" t="s">
        <v>41</v>
      </c>
      <c r="H546" t="s">
        <v>42</v>
      </c>
      <c r="I546">
        <v>2</v>
      </c>
      <c r="J546">
        <v>5</v>
      </c>
      <c r="K546" t="s">
        <v>47</v>
      </c>
      <c r="L546" s="23">
        <v>0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0</v>
      </c>
      <c r="S546" s="23">
        <v>0</v>
      </c>
      <c r="T546" s="23">
        <v>0</v>
      </c>
      <c r="U546" s="23">
        <v>0</v>
      </c>
      <c r="V546" s="18" t="s">
        <v>44</v>
      </c>
      <c r="W546" s="18" t="s">
        <v>44</v>
      </c>
      <c r="X546" s="18" t="s">
        <v>44</v>
      </c>
      <c r="Y546" s="18" t="s">
        <v>44</v>
      </c>
      <c r="Z546" s="18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s="34">
        <v>0</v>
      </c>
      <c r="AH546">
        <v>8</v>
      </c>
      <c r="AI546">
        <v>73</v>
      </c>
      <c r="AJ546">
        <v>2</v>
      </c>
      <c r="AK546">
        <v>0</v>
      </c>
      <c r="AL546">
        <v>8</v>
      </c>
      <c r="AM546">
        <v>6</v>
      </c>
      <c r="AN546">
        <v>0</v>
      </c>
      <c r="AO546">
        <v>0</v>
      </c>
      <c r="AP546">
        <v>3</v>
      </c>
      <c r="AQ546" s="21">
        <f t="shared" si="78"/>
        <v>3</v>
      </c>
      <c r="AR546" s="12">
        <f t="shared" si="76"/>
        <v>100</v>
      </c>
      <c r="AS546">
        <v>38</v>
      </c>
      <c r="AT546">
        <v>0</v>
      </c>
      <c r="AU546">
        <v>16</v>
      </c>
      <c r="AV546">
        <v>0</v>
      </c>
      <c r="AW546">
        <v>0</v>
      </c>
      <c r="AX546">
        <v>18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 s="6">
        <f t="shared" si="77"/>
        <v>58</v>
      </c>
      <c r="BM546" s="6">
        <f t="shared" si="75"/>
        <v>74</v>
      </c>
    </row>
    <row r="547" spans="1:70" hidden="1">
      <c r="A547" s="16" t="str">
        <f t="shared" si="74"/>
        <v>SB_2025_UPZ_1_1</v>
      </c>
      <c r="B547" t="s">
        <v>40</v>
      </c>
      <c r="C547">
        <v>43.3339</v>
      </c>
      <c r="D547">
        <v>-124.3767</v>
      </c>
      <c r="E547" s="8">
        <v>45836</v>
      </c>
      <c r="F547">
        <v>2025</v>
      </c>
      <c r="G547" t="s">
        <v>41</v>
      </c>
      <c r="H547" t="s">
        <v>45</v>
      </c>
      <c r="I547">
        <v>1</v>
      </c>
      <c r="J547">
        <v>1</v>
      </c>
      <c r="K547" t="s">
        <v>43</v>
      </c>
      <c r="L547" s="23">
        <v>28</v>
      </c>
      <c r="M547" s="23">
        <v>28</v>
      </c>
      <c r="N547" s="23">
        <v>0</v>
      </c>
      <c r="O547" s="23">
        <v>0</v>
      </c>
      <c r="P547" s="23">
        <v>7</v>
      </c>
      <c r="Q547" s="23" t="s">
        <v>44</v>
      </c>
      <c r="R547" s="23">
        <v>0</v>
      </c>
      <c r="S547" s="23">
        <v>0</v>
      </c>
      <c r="T547" s="23">
        <v>2</v>
      </c>
      <c r="U547" s="23">
        <v>30</v>
      </c>
      <c r="AG547" s="34">
        <v>30</v>
      </c>
      <c r="AH547">
        <v>6</v>
      </c>
      <c r="AI547">
        <v>11</v>
      </c>
      <c r="AJ547">
        <v>0.1</v>
      </c>
      <c r="AK547">
        <v>0</v>
      </c>
      <c r="AL547">
        <v>14</v>
      </c>
      <c r="AM547">
        <v>6</v>
      </c>
      <c r="AN547">
        <v>0</v>
      </c>
      <c r="AO547">
        <v>2</v>
      </c>
      <c r="AP547">
        <v>61</v>
      </c>
      <c r="AQ547" s="21">
        <f t="shared" si="78"/>
        <v>31</v>
      </c>
      <c r="AR547" s="12">
        <f t="shared" si="76"/>
        <v>100.1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 s="6">
        <f t="shared" si="77"/>
        <v>18</v>
      </c>
      <c r="BM547" s="6">
        <f t="shared" si="75"/>
        <v>18</v>
      </c>
      <c r="BN547">
        <v>11</v>
      </c>
      <c r="BO547">
        <f t="shared" si="79"/>
        <v>11</v>
      </c>
      <c r="BP547">
        <v>0.1</v>
      </c>
      <c r="BQ547">
        <f>SUM(BP547,BB547,BK547)</f>
        <v>0.1</v>
      </c>
      <c r="BR547">
        <f t="shared" si="73"/>
        <v>0</v>
      </c>
    </row>
    <row r="548" spans="1:70" hidden="1">
      <c r="A548" s="16" t="str">
        <f t="shared" si="74"/>
        <v>SB_2025_UPZ_1_2</v>
      </c>
      <c r="B548" t="s">
        <v>40</v>
      </c>
      <c r="C548">
        <v>43.3339</v>
      </c>
      <c r="D548">
        <v>-124.3767</v>
      </c>
      <c r="E548" s="8">
        <v>45836</v>
      </c>
      <c r="F548">
        <v>2025</v>
      </c>
      <c r="G548" t="s">
        <v>41</v>
      </c>
      <c r="H548" t="s">
        <v>45</v>
      </c>
      <c r="I548">
        <v>1</v>
      </c>
      <c r="J548">
        <v>2</v>
      </c>
      <c r="K548" t="s">
        <v>46</v>
      </c>
      <c r="L548" s="23">
        <v>27</v>
      </c>
      <c r="M548" s="23">
        <v>27</v>
      </c>
      <c r="N548" s="23">
        <v>0</v>
      </c>
      <c r="O548" s="23">
        <v>0</v>
      </c>
      <c r="P548" s="23">
        <v>2</v>
      </c>
      <c r="Q548" s="23" t="s">
        <v>44</v>
      </c>
      <c r="R548" s="23">
        <v>0</v>
      </c>
      <c r="S548" s="23">
        <v>0</v>
      </c>
      <c r="T548" s="23">
        <v>2</v>
      </c>
      <c r="U548" s="23">
        <v>25</v>
      </c>
      <c r="AG548" s="34">
        <v>20</v>
      </c>
      <c r="AH548">
        <v>16</v>
      </c>
      <c r="AI548">
        <v>32</v>
      </c>
      <c r="AJ548">
        <v>5</v>
      </c>
      <c r="AK548">
        <v>0</v>
      </c>
      <c r="AL548">
        <v>18</v>
      </c>
      <c r="AM548">
        <v>2</v>
      </c>
      <c r="AN548">
        <v>0.1</v>
      </c>
      <c r="AO548">
        <v>0.1</v>
      </c>
      <c r="AP548">
        <v>27</v>
      </c>
      <c r="AQ548" s="21">
        <f t="shared" si="78"/>
        <v>7</v>
      </c>
      <c r="AR548" s="12">
        <f t="shared" si="76"/>
        <v>100.19999999999999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 s="6">
        <f t="shared" si="77"/>
        <v>0</v>
      </c>
      <c r="BM548" s="6">
        <f t="shared" si="75"/>
        <v>0</v>
      </c>
      <c r="BN548">
        <v>32</v>
      </c>
      <c r="BO548">
        <f t="shared" si="79"/>
        <v>32</v>
      </c>
      <c r="BP548">
        <v>5</v>
      </c>
      <c r="BQ548">
        <f>SUM(BP548,BB548,BK548)</f>
        <v>5</v>
      </c>
      <c r="BR548">
        <f t="shared" si="73"/>
        <v>0</v>
      </c>
    </row>
    <row r="549" spans="1:70" hidden="1">
      <c r="A549" s="16" t="str">
        <f t="shared" si="74"/>
        <v>SB_2025_UPZ_1_3</v>
      </c>
      <c r="B549" t="s">
        <v>40</v>
      </c>
      <c r="C549">
        <v>43.3339</v>
      </c>
      <c r="D549">
        <v>-124.3767</v>
      </c>
      <c r="E549" s="8">
        <v>45836</v>
      </c>
      <c r="F549">
        <v>2025</v>
      </c>
      <c r="G549" t="s">
        <v>41</v>
      </c>
      <c r="H549" t="s">
        <v>45</v>
      </c>
      <c r="I549">
        <v>1</v>
      </c>
      <c r="J549">
        <v>3</v>
      </c>
      <c r="K549" t="s">
        <v>46</v>
      </c>
      <c r="L549" s="23">
        <v>19</v>
      </c>
      <c r="M549" s="23">
        <v>19</v>
      </c>
      <c r="N549" s="23">
        <v>0</v>
      </c>
      <c r="O549" s="23">
        <v>0</v>
      </c>
      <c r="P549" s="23">
        <v>0</v>
      </c>
      <c r="Q549" s="23" t="s">
        <v>44</v>
      </c>
      <c r="R549" s="23">
        <v>0</v>
      </c>
      <c r="S549" s="23">
        <v>0</v>
      </c>
      <c r="T549" s="23">
        <v>2</v>
      </c>
      <c r="U549" s="23">
        <v>21</v>
      </c>
      <c r="AG549" s="34">
        <v>11</v>
      </c>
      <c r="AH549">
        <v>1</v>
      </c>
      <c r="AI549">
        <v>31</v>
      </c>
      <c r="AJ549">
        <v>5</v>
      </c>
      <c r="AK549">
        <v>0</v>
      </c>
      <c r="AL549">
        <v>12</v>
      </c>
      <c r="AM549">
        <v>3</v>
      </c>
      <c r="AN549">
        <v>0.1</v>
      </c>
      <c r="AO549">
        <v>0.1</v>
      </c>
      <c r="AP549">
        <v>48</v>
      </c>
      <c r="AQ549" s="21">
        <f t="shared" si="78"/>
        <v>37</v>
      </c>
      <c r="AR549" s="12">
        <f t="shared" si="76"/>
        <v>100.2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 s="6">
        <f t="shared" si="77"/>
        <v>0</v>
      </c>
      <c r="BM549" s="6">
        <f t="shared" si="75"/>
        <v>0</v>
      </c>
      <c r="BN549">
        <v>31</v>
      </c>
      <c r="BO549">
        <f t="shared" si="79"/>
        <v>31</v>
      </c>
      <c r="BP549">
        <v>5</v>
      </c>
      <c r="BQ549">
        <f>SUM(BP549,BB549,BK549)</f>
        <v>5</v>
      </c>
      <c r="BR549">
        <f t="shared" si="73"/>
        <v>0</v>
      </c>
    </row>
    <row r="550" spans="1:70" hidden="1">
      <c r="A550" s="16" t="str">
        <f t="shared" si="74"/>
        <v>SB_2025_UPZ_1_4</v>
      </c>
      <c r="B550" t="s">
        <v>40</v>
      </c>
      <c r="C550">
        <v>43.3339</v>
      </c>
      <c r="D550">
        <v>-124.3767</v>
      </c>
      <c r="E550" s="8">
        <v>45836</v>
      </c>
      <c r="F550">
        <v>2025</v>
      </c>
      <c r="G550" t="s">
        <v>41</v>
      </c>
      <c r="H550" t="s">
        <v>45</v>
      </c>
      <c r="I550">
        <v>1</v>
      </c>
      <c r="J550">
        <v>4</v>
      </c>
      <c r="K550" t="s">
        <v>53</v>
      </c>
      <c r="L550" s="23">
        <v>39</v>
      </c>
      <c r="M550" s="23">
        <v>37</v>
      </c>
      <c r="N550" s="23">
        <v>0</v>
      </c>
      <c r="O550" s="23">
        <v>2</v>
      </c>
      <c r="P550" s="23">
        <v>2</v>
      </c>
      <c r="Q550" s="23" t="s">
        <v>44</v>
      </c>
      <c r="R550" s="23">
        <v>0</v>
      </c>
      <c r="S550" s="23">
        <v>0</v>
      </c>
      <c r="T550" s="23">
        <v>3</v>
      </c>
      <c r="U550" s="23">
        <v>40</v>
      </c>
      <c r="AG550" s="34">
        <v>50</v>
      </c>
      <c r="AH550">
        <v>0</v>
      </c>
      <c r="AI550">
        <v>2</v>
      </c>
      <c r="AJ550">
        <v>6</v>
      </c>
      <c r="AK550">
        <v>0</v>
      </c>
      <c r="AL550">
        <v>11</v>
      </c>
      <c r="AM550">
        <v>3</v>
      </c>
      <c r="AN550">
        <v>15</v>
      </c>
      <c r="AO550">
        <v>7</v>
      </c>
      <c r="AP550">
        <v>56</v>
      </c>
      <c r="AQ550" s="21">
        <f t="shared" si="78"/>
        <v>6</v>
      </c>
      <c r="AR550" s="12">
        <f t="shared" si="76"/>
        <v>100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 s="6">
        <f t="shared" si="77"/>
        <v>0</v>
      </c>
      <c r="BM550" s="6">
        <f t="shared" si="75"/>
        <v>0</v>
      </c>
      <c r="BN550">
        <v>2</v>
      </c>
      <c r="BO550">
        <f t="shared" si="79"/>
        <v>2</v>
      </c>
      <c r="BP550">
        <v>6</v>
      </c>
      <c r="BQ550">
        <f>SUM(BP550,BB550,BK550)</f>
        <v>6</v>
      </c>
      <c r="BR550">
        <f t="shared" si="73"/>
        <v>0</v>
      </c>
    </row>
    <row r="551" spans="1:70" hidden="1">
      <c r="A551" s="16" t="str">
        <f t="shared" si="74"/>
        <v>SB_2025_UPZ_1_5</v>
      </c>
      <c r="B551" t="s">
        <v>40</v>
      </c>
      <c r="C551">
        <v>43.3339</v>
      </c>
      <c r="D551">
        <v>-124.3767</v>
      </c>
      <c r="E551" s="8">
        <v>45836</v>
      </c>
      <c r="F551">
        <v>2025</v>
      </c>
      <c r="G551" t="s">
        <v>41</v>
      </c>
      <c r="H551" t="s">
        <v>45</v>
      </c>
      <c r="I551">
        <v>1</v>
      </c>
      <c r="J551">
        <v>5</v>
      </c>
      <c r="K551" t="s">
        <v>46</v>
      </c>
      <c r="L551" s="23">
        <v>18</v>
      </c>
      <c r="M551" s="23">
        <v>18</v>
      </c>
      <c r="N551" s="23">
        <v>0</v>
      </c>
      <c r="O551" s="23">
        <v>0</v>
      </c>
      <c r="P551" s="23">
        <v>0</v>
      </c>
      <c r="Q551" s="23" t="s">
        <v>44</v>
      </c>
      <c r="R551" s="23">
        <v>0</v>
      </c>
      <c r="S551" s="23">
        <v>0</v>
      </c>
      <c r="T551" s="23">
        <v>5</v>
      </c>
      <c r="U551" s="23">
        <v>23</v>
      </c>
      <c r="AG551" s="34">
        <v>9</v>
      </c>
      <c r="AH551">
        <v>1</v>
      </c>
      <c r="AI551">
        <v>35</v>
      </c>
      <c r="AJ551">
        <v>0</v>
      </c>
      <c r="AK551">
        <v>0.1</v>
      </c>
      <c r="AL551">
        <v>8</v>
      </c>
      <c r="AM551">
        <v>3</v>
      </c>
      <c r="AN551">
        <v>6</v>
      </c>
      <c r="AO551">
        <v>3</v>
      </c>
      <c r="AP551">
        <v>44</v>
      </c>
      <c r="AQ551" s="21">
        <f t="shared" si="78"/>
        <v>35</v>
      </c>
      <c r="AR551" s="12">
        <f t="shared" si="76"/>
        <v>100.1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 s="6">
        <f t="shared" si="77"/>
        <v>0</v>
      </c>
      <c r="BM551" s="6">
        <f t="shared" si="75"/>
        <v>0</v>
      </c>
      <c r="BN551">
        <v>35</v>
      </c>
      <c r="BO551">
        <f t="shared" si="79"/>
        <v>35</v>
      </c>
      <c r="BP551">
        <v>0</v>
      </c>
      <c r="BQ551">
        <f>SUM(BP551,BB551,BK551)</f>
        <v>0</v>
      </c>
      <c r="BR551">
        <f t="shared" si="73"/>
        <v>0</v>
      </c>
    </row>
    <row r="552" spans="1:70" hidden="1">
      <c r="A552" s="16" t="str">
        <f t="shared" si="74"/>
        <v>SB_2025_UPZ_2_1</v>
      </c>
      <c r="B552" t="s">
        <v>40</v>
      </c>
      <c r="C552">
        <v>43.3339</v>
      </c>
      <c r="D552">
        <v>-124.3767</v>
      </c>
      <c r="E552" s="8">
        <v>45836</v>
      </c>
      <c r="F552">
        <v>2025</v>
      </c>
      <c r="G552" t="s">
        <v>41</v>
      </c>
      <c r="H552" t="s">
        <v>45</v>
      </c>
      <c r="I552">
        <v>2</v>
      </c>
      <c r="J552">
        <v>1</v>
      </c>
      <c r="K552" t="s">
        <v>46</v>
      </c>
      <c r="L552" s="23">
        <v>28</v>
      </c>
      <c r="M552" s="23">
        <v>19</v>
      </c>
      <c r="N552" s="23">
        <v>0</v>
      </c>
      <c r="O552" s="23">
        <v>9</v>
      </c>
      <c r="P552" s="23">
        <v>1</v>
      </c>
      <c r="Q552" s="23" t="s">
        <v>44</v>
      </c>
      <c r="R552" s="23">
        <v>0</v>
      </c>
      <c r="S552" s="23">
        <v>0</v>
      </c>
      <c r="T552" s="23">
        <v>3</v>
      </c>
      <c r="U552" s="23">
        <v>31</v>
      </c>
      <c r="AG552" s="34">
        <v>20</v>
      </c>
      <c r="AH552">
        <v>0</v>
      </c>
      <c r="AI552">
        <v>22</v>
      </c>
      <c r="AJ552">
        <v>6</v>
      </c>
      <c r="AK552">
        <v>0</v>
      </c>
      <c r="AL552">
        <v>10</v>
      </c>
      <c r="AM552">
        <v>2</v>
      </c>
      <c r="AN552">
        <v>20</v>
      </c>
      <c r="AO552">
        <v>13</v>
      </c>
      <c r="AP552">
        <v>27</v>
      </c>
      <c r="AQ552" s="21">
        <f t="shared" si="78"/>
        <v>7</v>
      </c>
      <c r="AR552" s="12">
        <f t="shared" si="76"/>
        <v>100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 s="6">
        <f t="shared" si="77"/>
        <v>0</v>
      </c>
      <c r="BM552" s="6">
        <f t="shared" si="75"/>
        <v>0</v>
      </c>
      <c r="BN552">
        <v>22</v>
      </c>
      <c r="BO552">
        <f t="shared" si="79"/>
        <v>22</v>
      </c>
      <c r="BP552">
        <v>6</v>
      </c>
      <c r="BQ552">
        <f>SUM(BP552,BB552,BK552)</f>
        <v>6</v>
      </c>
      <c r="BR552">
        <f t="shared" si="73"/>
        <v>0</v>
      </c>
    </row>
    <row r="553" spans="1:70" hidden="1">
      <c r="A553" s="16" t="str">
        <f t="shared" si="74"/>
        <v>SB_2025_UPZ_2_2</v>
      </c>
      <c r="B553" t="s">
        <v>40</v>
      </c>
      <c r="C553">
        <v>43.3339</v>
      </c>
      <c r="D553">
        <v>-124.3767</v>
      </c>
      <c r="E553" s="8">
        <v>45836</v>
      </c>
      <c r="F553">
        <v>2025</v>
      </c>
      <c r="G553" t="s">
        <v>41</v>
      </c>
      <c r="H553" t="s">
        <v>45</v>
      </c>
      <c r="I553">
        <v>2</v>
      </c>
      <c r="J553">
        <v>2</v>
      </c>
      <c r="K553" t="s">
        <v>43</v>
      </c>
      <c r="L553" s="23">
        <v>30</v>
      </c>
      <c r="M553" s="23">
        <v>30</v>
      </c>
      <c r="N553" s="23">
        <v>0</v>
      </c>
      <c r="O553" s="23">
        <v>0</v>
      </c>
      <c r="P553" s="23">
        <v>4</v>
      </c>
      <c r="Q553" s="23" t="s">
        <v>44</v>
      </c>
      <c r="R553" s="23">
        <v>0</v>
      </c>
      <c r="S553" s="23">
        <v>0</v>
      </c>
      <c r="T553" s="23">
        <v>6</v>
      </c>
      <c r="U553" s="23">
        <v>36</v>
      </c>
      <c r="AG553" s="34">
        <v>34</v>
      </c>
      <c r="AH553">
        <v>0</v>
      </c>
      <c r="AI553">
        <v>23</v>
      </c>
      <c r="AJ553">
        <v>6</v>
      </c>
      <c r="AK553">
        <v>0</v>
      </c>
      <c r="AL553">
        <v>8</v>
      </c>
      <c r="AM553">
        <v>3</v>
      </c>
      <c r="AN553">
        <v>6</v>
      </c>
      <c r="AO553">
        <v>9</v>
      </c>
      <c r="AP553">
        <v>45</v>
      </c>
      <c r="AQ553" s="21">
        <f t="shared" si="78"/>
        <v>11</v>
      </c>
      <c r="AR553" s="12">
        <f t="shared" si="76"/>
        <v>100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 s="6">
        <f t="shared" si="77"/>
        <v>0</v>
      </c>
      <c r="BM553" s="6">
        <f t="shared" si="75"/>
        <v>0</v>
      </c>
      <c r="BN553">
        <v>23</v>
      </c>
      <c r="BO553">
        <f t="shared" si="79"/>
        <v>23</v>
      </c>
      <c r="BP553">
        <v>6</v>
      </c>
      <c r="BQ553">
        <f>SUM(BP553,BB553,BK553)</f>
        <v>6</v>
      </c>
      <c r="BR553">
        <f t="shared" si="73"/>
        <v>0</v>
      </c>
    </row>
    <row r="554" spans="1:70" hidden="1">
      <c r="A554" s="16" t="str">
        <f t="shared" si="74"/>
        <v>SB_2025_UPZ_2_3</v>
      </c>
      <c r="B554" t="s">
        <v>40</v>
      </c>
      <c r="C554">
        <v>43.3339</v>
      </c>
      <c r="D554">
        <v>-124.3767</v>
      </c>
      <c r="E554" s="8">
        <v>45836</v>
      </c>
      <c r="F554">
        <v>2025</v>
      </c>
      <c r="G554" t="s">
        <v>41</v>
      </c>
      <c r="H554" t="s">
        <v>45</v>
      </c>
      <c r="I554">
        <v>2</v>
      </c>
      <c r="J554">
        <v>3</v>
      </c>
      <c r="K554" t="s">
        <v>46</v>
      </c>
      <c r="L554" s="23">
        <v>12</v>
      </c>
      <c r="M554" s="23">
        <v>11</v>
      </c>
      <c r="N554" s="23">
        <v>0</v>
      </c>
      <c r="O554" s="23">
        <v>1</v>
      </c>
      <c r="P554" s="23">
        <v>0</v>
      </c>
      <c r="Q554" s="23" t="s">
        <v>44</v>
      </c>
      <c r="R554" s="23">
        <v>0</v>
      </c>
      <c r="S554" s="23">
        <v>0</v>
      </c>
      <c r="T554" s="23">
        <v>4</v>
      </c>
      <c r="U554" s="23">
        <v>16</v>
      </c>
      <c r="AG554" s="34">
        <v>10</v>
      </c>
      <c r="AH554">
        <v>2</v>
      </c>
      <c r="AI554">
        <v>25</v>
      </c>
      <c r="AJ554">
        <v>5</v>
      </c>
      <c r="AK554">
        <v>10</v>
      </c>
      <c r="AL554">
        <v>18</v>
      </c>
      <c r="AM554">
        <v>11</v>
      </c>
      <c r="AN554">
        <v>2</v>
      </c>
      <c r="AO554">
        <v>4</v>
      </c>
      <c r="AP554">
        <v>23</v>
      </c>
      <c r="AQ554" s="21">
        <f t="shared" si="78"/>
        <v>13</v>
      </c>
      <c r="AR554" s="12">
        <f t="shared" si="76"/>
        <v>100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 s="6">
        <f t="shared" si="77"/>
        <v>0</v>
      </c>
      <c r="BM554" s="6">
        <f t="shared" si="75"/>
        <v>0</v>
      </c>
      <c r="BN554">
        <v>25</v>
      </c>
      <c r="BO554">
        <f t="shared" si="79"/>
        <v>25</v>
      </c>
      <c r="BP554">
        <v>5</v>
      </c>
      <c r="BQ554">
        <f>SUM(BP554,BB554,BK554)</f>
        <v>5</v>
      </c>
      <c r="BR554">
        <f t="shared" si="73"/>
        <v>0</v>
      </c>
    </row>
    <row r="555" spans="1:70" hidden="1">
      <c r="A555" s="16" t="str">
        <f t="shared" si="74"/>
        <v>SB_2025_UPZ_2_4</v>
      </c>
      <c r="B555" t="s">
        <v>40</v>
      </c>
      <c r="C555">
        <v>43.3339</v>
      </c>
      <c r="D555">
        <v>-124.3767</v>
      </c>
      <c r="E555" s="8">
        <v>45836</v>
      </c>
      <c r="F555">
        <v>2025</v>
      </c>
      <c r="G555" t="s">
        <v>41</v>
      </c>
      <c r="H555" t="s">
        <v>45</v>
      </c>
      <c r="I555">
        <v>2</v>
      </c>
      <c r="J555">
        <v>4</v>
      </c>
      <c r="K555" t="s">
        <v>53</v>
      </c>
      <c r="L555" s="23">
        <v>48</v>
      </c>
      <c r="M555" s="23">
        <v>48</v>
      </c>
      <c r="N555" s="23">
        <v>0</v>
      </c>
      <c r="O555" s="23">
        <v>0</v>
      </c>
      <c r="P555" s="23">
        <v>3</v>
      </c>
      <c r="Q555" s="23" t="s">
        <v>44</v>
      </c>
      <c r="R555" s="23">
        <v>0</v>
      </c>
      <c r="S555" s="23">
        <v>0</v>
      </c>
      <c r="T555" s="23">
        <v>7</v>
      </c>
      <c r="U555" s="23">
        <v>55</v>
      </c>
      <c r="AG555" s="34">
        <v>36</v>
      </c>
      <c r="AH555">
        <v>4</v>
      </c>
      <c r="AI555">
        <v>31</v>
      </c>
      <c r="AJ555">
        <v>2</v>
      </c>
      <c r="AK555">
        <v>0</v>
      </c>
      <c r="AL555">
        <v>27</v>
      </c>
      <c r="AM555">
        <v>2</v>
      </c>
      <c r="AN555">
        <v>2</v>
      </c>
      <c r="AO555">
        <v>16</v>
      </c>
      <c r="AP555">
        <v>16</v>
      </c>
      <c r="AQ555" s="21">
        <v>0</v>
      </c>
      <c r="AR555" s="12">
        <f t="shared" si="76"/>
        <v>100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 s="6">
        <f t="shared" si="77"/>
        <v>0</v>
      </c>
      <c r="BM555" s="6">
        <f t="shared" si="75"/>
        <v>0</v>
      </c>
      <c r="BN555">
        <v>31</v>
      </c>
      <c r="BO555">
        <f t="shared" si="79"/>
        <v>31</v>
      </c>
      <c r="BP555">
        <v>2</v>
      </c>
      <c r="BQ555">
        <f>SUM(BP555,BB555,BK555)</f>
        <v>2</v>
      </c>
      <c r="BR555">
        <f t="shared" si="73"/>
        <v>0</v>
      </c>
    </row>
    <row r="556" spans="1:70" hidden="1">
      <c r="A556" s="16" t="str">
        <f t="shared" si="74"/>
        <v>SB_2025_UPZ_2_5</v>
      </c>
      <c r="B556" t="s">
        <v>40</v>
      </c>
      <c r="C556">
        <v>43.3339</v>
      </c>
      <c r="D556">
        <v>-124.3767</v>
      </c>
      <c r="E556" s="8">
        <v>45836</v>
      </c>
      <c r="F556">
        <v>2025</v>
      </c>
      <c r="G556" t="s">
        <v>41</v>
      </c>
      <c r="H556" t="s">
        <v>45</v>
      </c>
      <c r="I556">
        <v>2</v>
      </c>
      <c r="J556">
        <v>5</v>
      </c>
      <c r="K556" t="s">
        <v>43</v>
      </c>
      <c r="L556" s="23">
        <v>34</v>
      </c>
      <c r="M556" s="23">
        <v>34</v>
      </c>
      <c r="N556" s="23">
        <v>0</v>
      </c>
      <c r="O556" s="23">
        <v>0</v>
      </c>
      <c r="P556" s="23">
        <v>1</v>
      </c>
      <c r="Q556" s="23" t="s">
        <v>44</v>
      </c>
      <c r="R556" s="23">
        <v>0</v>
      </c>
      <c r="S556" s="23">
        <v>0</v>
      </c>
      <c r="T556" s="23">
        <v>3</v>
      </c>
      <c r="U556" s="23">
        <v>37</v>
      </c>
      <c r="AG556" s="34">
        <v>28</v>
      </c>
      <c r="AH556">
        <v>1</v>
      </c>
      <c r="AI556">
        <v>9</v>
      </c>
      <c r="AJ556">
        <v>0.1</v>
      </c>
      <c r="AK556">
        <v>0</v>
      </c>
      <c r="AL556">
        <v>14</v>
      </c>
      <c r="AM556">
        <v>7</v>
      </c>
      <c r="AN556">
        <v>0.1</v>
      </c>
      <c r="AO556">
        <v>1</v>
      </c>
      <c r="AP556">
        <v>68</v>
      </c>
      <c r="AQ556" s="21">
        <f t="shared" si="78"/>
        <v>40</v>
      </c>
      <c r="AR556" s="12">
        <f t="shared" si="76"/>
        <v>100.2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 s="6">
        <f t="shared" si="77"/>
        <v>0</v>
      </c>
      <c r="BM556" s="6">
        <f t="shared" si="75"/>
        <v>0</v>
      </c>
      <c r="BN556">
        <v>9</v>
      </c>
      <c r="BO556">
        <f t="shared" si="79"/>
        <v>9</v>
      </c>
      <c r="BP556">
        <v>0.1</v>
      </c>
      <c r="BQ556">
        <f>SUM(BP556,BB556,BK556)</f>
        <v>0.1</v>
      </c>
      <c r="BR556">
        <f t="shared" si="73"/>
        <v>0</v>
      </c>
    </row>
    <row r="557" spans="1:70" hidden="1">
      <c r="A557" s="16" t="str">
        <f t="shared" si="74"/>
        <v>SB_2025_NPZ_1_1</v>
      </c>
      <c r="B557" t="s">
        <v>40</v>
      </c>
      <c r="C557">
        <v>43.3339</v>
      </c>
      <c r="D557">
        <v>-124.3767</v>
      </c>
      <c r="E557" s="8">
        <v>45836</v>
      </c>
      <c r="F557">
        <v>2025</v>
      </c>
      <c r="G557" t="s">
        <v>41</v>
      </c>
      <c r="H557" t="s">
        <v>48</v>
      </c>
      <c r="I557">
        <v>1</v>
      </c>
      <c r="J557">
        <v>1</v>
      </c>
      <c r="K557" t="s">
        <v>47</v>
      </c>
      <c r="L557" s="23">
        <v>8</v>
      </c>
      <c r="M557" s="23">
        <v>0</v>
      </c>
      <c r="N557" s="23">
        <v>5</v>
      </c>
      <c r="O557" s="23">
        <v>3</v>
      </c>
      <c r="P557" s="23">
        <v>0</v>
      </c>
      <c r="Q557" s="23" t="s">
        <v>44</v>
      </c>
      <c r="R557" s="23">
        <v>0</v>
      </c>
      <c r="S557" s="23">
        <v>0</v>
      </c>
      <c r="T557" s="23">
        <v>0</v>
      </c>
      <c r="U557" s="23">
        <v>0</v>
      </c>
      <c r="AG557" s="34">
        <v>6</v>
      </c>
      <c r="AH557">
        <v>1</v>
      </c>
      <c r="AI557">
        <v>25</v>
      </c>
      <c r="AJ557">
        <v>1</v>
      </c>
      <c r="AK557">
        <v>0</v>
      </c>
      <c r="AL557">
        <v>21</v>
      </c>
      <c r="AM557">
        <v>19</v>
      </c>
      <c r="AN557">
        <v>0</v>
      </c>
      <c r="AO557">
        <v>0</v>
      </c>
      <c r="AP557">
        <v>33</v>
      </c>
      <c r="AQ557" s="21">
        <f t="shared" si="78"/>
        <v>27</v>
      </c>
      <c r="AR557" s="12">
        <f t="shared" si="76"/>
        <v>100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 s="6">
        <f t="shared" si="77"/>
        <v>0</v>
      </c>
      <c r="BM557" s="6">
        <f t="shared" si="75"/>
        <v>0</v>
      </c>
      <c r="BN557">
        <v>25</v>
      </c>
      <c r="BO557">
        <f t="shared" si="79"/>
        <v>25</v>
      </c>
      <c r="BP557">
        <v>1</v>
      </c>
      <c r="BQ557">
        <f>SUM(BP557,BB557,BK557)</f>
        <v>1</v>
      </c>
      <c r="BR557">
        <f t="shared" si="73"/>
        <v>0</v>
      </c>
    </row>
    <row r="558" spans="1:70" hidden="1">
      <c r="A558" s="16" t="str">
        <f t="shared" si="74"/>
        <v>SB_2025_NPZ_1_2</v>
      </c>
      <c r="B558" t="s">
        <v>40</v>
      </c>
      <c r="C558">
        <v>43.3339</v>
      </c>
      <c r="D558">
        <v>-124.3767</v>
      </c>
      <c r="E558" s="8">
        <v>45836</v>
      </c>
      <c r="F558">
        <v>2025</v>
      </c>
      <c r="G558" t="s">
        <v>41</v>
      </c>
      <c r="H558" t="s">
        <v>48</v>
      </c>
      <c r="I558">
        <v>1</v>
      </c>
      <c r="J558">
        <v>2</v>
      </c>
      <c r="K558" t="s">
        <v>47</v>
      </c>
      <c r="L558" s="23">
        <v>1</v>
      </c>
      <c r="M558" s="23">
        <v>0</v>
      </c>
      <c r="N558" s="23">
        <v>0</v>
      </c>
      <c r="O558" s="23">
        <v>1</v>
      </c>
      <c r="P558" s="23">
        <v>0</v>
      </c>
      <c r="Q558" s="23" t="s">
        <v>44</v>
      </c>
      <c r="R558" s="23">
        <v>0</v>
      </c>
      <c r="S558" s="23">
        <v>0</v>
      </c>
      <c r="T558" s="23">
        <v>0</v>
      </c>
      <c r="U558" s="23">
        <v>0</v>
      </c>
      <c r="AG558" s="34">
        <v>1</v>
      </c>
      <c r="AH558">
        <v>0</v>
      </c>
      <c r="AI558">
        <v>7</v>
      </c>
      <c r="AJ558">
        <v>0</v>
      </c>
      <c r="AK558">
        <v>0</v>
      </c>
      <c r="AL558">
        <v>9</v>
      </c>
      <c r="AM558">
        <v>3</v>
      </c>
      <c r="AN558">
        <v>0</v>
      </c>
      <c r="AO558">
        <v>0</v>
      </c>
      <c r="AP558">
        <v>81</v>
      </c>
      <c r="AQ558" s="21">
        <f t="shared" si="78"/>
        <v>80</v>
      </c>
      <c r="AR558" s="12">
        <f t="shared" si="76"/>
        <v>100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 s="6">
        <f t="shared" si="77"/>
        <v>0</v>
      </c>
      <c r="BM558" s="6">
        <f t="shared" si="75"/>
        <v>0</v>
      </c>
      <c r="BN558">
        <v>7</v>
      </c>
      <c r="BO558">
        <f t="shared" si="79"/>
        <v>7</v>
      </c>
      <c r="BP558">
        <v>0</v>
      </c>
      <c r="BQ558">
        <f>SUM(BP558,BB558,BK558)</f>
        <v>0</v>
      </c>
      <c r="BR558">
        <f t="shared" si="73"/>
        <v>0</v>
      </c>
    </row>
    <row r="559" spans="1:70" hidden="1">
      <c r="A559" s="16" t="str">
        <f t="shared" si="74"/>
        <v>SB_2025_NPZ_1_3</v>
      </c>
      <c r="B559" t="s">
        <v>40</v>
      </c>
      <c r="C559">
        <v>43.3339</v>
      </c>
      <c r="D559">
        <v>-124.3767</v>
      </c>
      <c r="E559" s="8">
        <v>45836</v>
      </c>
      <c r="F559">
        <v>2025</v>
      </c>
      <c r="G559" t="s">
        <v>41</v>
      </c>
      <c r="H559" t="s">
        <v>48</v>
      </c>
      <c r="I559">
        <v>1</v>
      </c>
      <c r="J559">
        <v>3</v>
      </c>
      <c r="K559" t="s">
        <v>47</v>
      </c>
      <c r="L559" s="23">
        <v>8</v>
      </c>
      <c r="M559" s="23">
        <v>0</v>
      </c>
      <c r="N559" s="23">
        <v>5</v>
      </c>
      <c r="O559" s="23">
        <v>3</v>
      </c>
      <c r="P559" s="23">
        <v>0</v>
      </c>
      <c r="Q559" s="23" t="s">
        <v>44</v>
      </c>
      <c r="R559" s="23">
        <v>0</v>
      </c>
      <c r="S559" s="23">
        <v>0</v>
      </c>
      <c r="T559" s="23">
        <v>1</v>
      </c>
      <c r="U559" s="23">
        <v>1</v>
      </c>
      <c r="AG559" s="34">
        <v>9</v>
      </c>
      <c r="AH559">
        <v>0</v>
      </c>
      <c r="AI559">
        <v>8</v>
      </c>
      <c r="AJ559">
        <v>3</v>
      </c>
      <c r="AK559">
        <v>0</v>
      </c>
      <c r="AL559">
        <v>22</v>
      </c>
      <c r="AM559">
        <v>3</v>
      </c>
      <c r="AN559">
        <v>0.1</v>
      </c>
      <c r="AO559">
        <v>0</v>
      </c>
      <c r="AP559">
        <v>64</v>
      </c>
      <c r="AQ559" s="21">
        <f t="shared" si="78"/>
        <v>55</v>
      </c>
      <c r="AR559" s="12">
        <f t="shared" si="76"/>
        <v>100.1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 s="6">
        <f t="shared" si="77"/>
        <v>0</v>
      </c>
      <c r="BM559" s="6">
        <f t="shared" si="75"/>
        <v>0</v>
      </c>
      <c r="BN559">
        <v>8</v>
      </c>
      <c r="BO559">
        <f t="shared" si="79"/>
        <v>8</v>
      </c>
      <c r="BP559">
        <v>3</v>
      </c>
      <c r="BQ559">
        <f>SUM(BP559,BB559,BK559)</f>
        <v>3</v>
      </c>
      <c r="BR559">
        <f t="shared" si="73"/>
        <v>0</v>
      </c>
    </row>
    <row r="560" spans="1:70" hidden="1">
      <c r="A560" s="16" t="str">
        <f t="shared" si="74"/>
        <v>SB_2025_NPZ_1_4</v>
      </c>
      <c r="B560" t="s">
        <v>40</v>
      </c>
      <c r="C560">
        <v>43.3339</v>
      </c>
      <c r="D560">
        <v>-124.3767</v>
      </c>
      <c r="E560" s="8">
        <v>45836</v>
      </c>
      <c r="F560">
        <v>2025</v>
      </c>
      <c r="G560" t="s">
        <v>41</v>
      </c>
      <c r="H560" t="s">
        <v>48</v>
      </c>
      <c r="I560">
        <v>1</v>
      </c>
      <c r="J560">
        <v>4</v>
      </c>
      <c r="K560" t="s">
        <v>47</v>
      </c>
      <c r="L560" s="23">
        <v>9</v>
      </c>
      <c r="M560" s="23">
        <v>0</v>
      </c>
      <c r="N560" s="23">
        <v>2</v>
      </c>
      <c r="O560" s="23">
        <v>1</v>
      </c>
      <c r="P560" s="23">
        <v>0</v>
      </c>
      <c r="Q560" s="23" t="s">
        <v>44</v>
      </c>
      <c r="R560" s="23">
        <v>0</v>
      </c>
      <c r="S560" s="23">
        <v>0</v>
      </c>
      <c r="T560" s="23">
        <v>0</v>
      </c>
      <c r="U560" s="23">
        <v>0</v>
      </c>
      <c r="AG560" s="34">
        <v>8</v>
      </c>
      <c r="AH560">
        <v>0</v>
      </c>
      <c r="AI560">
        <v>3</v>
      </c>
      <c r="AJ560">
        <v>0.1</v>
      </c>
      <c r="AK560">
        <v>0</v>
      </c>
      <c r="AL560">
        <v>19</v>
      </c>
      <c r="AM560">
        <v>11</v>
      </c>
      <c r="AN560">
        <v>0.1</v>
      </c>
      <c r="AO560">
        <v>0</v>
      </c>
      <c r="AP560">
        <v>67</v>
      </c>
      <c r="AQ560" s="21">
        <f t="shared" si="78"/>
        <v>59</v>
      </c>
      <c r="AR560" s="12">
        <f t="shared" si="76"/>
        <v>100.2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 s="6">
        <f t="shared" si="77"/>
        <v>0</v>
      </c>
      <c r="BM560" s="6">
        <f t="shared" si="75"/>
        <v>0</v>
      </c>
      <c r="BN560">
        <v>3</v>
      </c>
      <c r="BO560">
        <f t="shared" si="79"/>
        <v>3</v>
      </c>
      <c r="BP560">
        <v>0.1</v>
      </c>
      <c r="BQ560">
        <f>SUM(BP560,BB560,BK560)</f>
        <v>0.1</v>
      </c>
      <c r="BR560">
        <f t="shared" si="73"/>
        <v>0</v>
      </c>
    </row>
    <row r="561" spans="1:70" hidden="1">
      <c r="A561" s="16" t="str">
        <f t="shared" si="74"/>
        <v>SB_2025_NPZ_1_5</v>
      </c>
      <c r="B561" t="s">
        <v>40</v>
      </c>
      <c r="C561">
        <v>43.3339</v>
      </c>
      <c r="D561">
        <v>-124.3767</v>
      </c>
      <c r="E561" s="8">
        <v>45836</v>
      </c>
      <c r="F561">
        <v>2025</v>
      </c>
      <c r="G561" t="s">
        <v>41</v>
      </c>
      <c r="H561" t="s">
        <v>48</v>
      </c>
      <c r="I561">
        <v>1</v>
      </c>
      <c r="J561">
        <v>5</v>
      </c>
      <c r="K561" t="s">
        <v>47</v>
      </c>
      <c r="L561" s="23">
        <v>8</v>
      </c>
      <c r="M561" s="23">
        <v>0</v>
      </c>
      <c r="N561" s="23">
        <v>7</v>
      </c>
      <c r="O561" s="23">
        <v>1</v>
      </c>
      <c r="Q561" s="23" t="s">
        <v>44</v>
      </c>
      <c r="R561" s="23">
        <v>0</v>
      </c>
      <c r="S561" s="23">
        <v>0</v>
      </c>
      <c r="T561" s="23">
        <v>0</v>
      </c>
      <c r="U561" s="23">
        <v>0</v>
      </c>
      <c r="AG561" s="34">
        <v>8</v>
      </c>
      <c r="AH561">
        <v>4</v>
      </c>
      <c r="AI561">
        <v>16</v>
      </c>
      <c r="AJ561">
        <v>4</v>
      </c>
      <c r="AK561">
        <v>0</v>
      </c>
      <c r="AL561">
        <v>17</v>
      </c>
      <c r="AM561">
        <v>6</v>
      </c>
      <c r="AN561">
        <v>0</v>
      </c>
      <c r="AO561">
        <v>0</v>
      </c>
      <c r="AP561">
        <v>53</v>
      </c>
      <c r="AQ561" s="21">
        <f t="shared" si="78"/>
        <v>45</v>
      </c>
      <c r="AR561" s="12">
        <f t="shared" si="76"/>
        <v>100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 s="13">
        <v>0</v>
      </c>
      <c r="BK561">
        <v>0</v>
      </c>
      <c r="BL561" s="6">
        <f t="shared" si="77"/>
        <v>1</v>
      </c>
      <c r="BM561" s="6">
        <f t="shared" si="75"/>
        <v>1</v>
      </c>
      <c r="BN561">
        <v>16</v>
      </c>
      <c r="BO561">
        <f t="shared" si="79"/>
        <v>16</v>
      </c>
      <c r="BP561">
        <v>4</v>
      </c>
      <c r="BQ561">
        <f>SUM(BP561,BB561,BK561)</f>
        <v>4</v>
      </c>
      <c r="BR561">
        <f t="shared" si="73"/>
        <v>0</v>
      </c>
    </row>
    <row r="562" spans="1:70" hidden="1">
      <c r="A562" s="16" t="str">
        <f t="shared" si="74"/>
        <v>SB_2025_NPZ_2_1</v>
      </c>
      <c r="B562" t="s">
        <v>40</v>
      </c>
      <c r="C562">
        <v>43.3339</v>
      </c>
      <c r="D562">
        <v>-124.3767</v>
      </c>
      <c r="E562" s="8">
        <v>45836</v>
      </c>
      <c r="F562">
        <v>2025</v>
      </c>
      <c r="G562" t="s">
        <v>41</v>
      </c>
      <c r="H562" t="s">
        <v>48</v>
      </c>
      <c r="I562">
        <v>2</v>
      </c>
      <c r="J562">
        <v>1</v>
      </c>
      <c r="K562" t="s">
        <v>46</v>
      </c>
      <c r="L562" s="23">
        <v>30</v>
      </c>
      <c r="M562" s="23">
        <v>16</v>
      </c>
      <c r="N562" s="23">
        <v>0</v>
      </c>
      <c r="O562" s="23">
        <v>14</v>
      </c>
      <c r="P562" s="23">
        <v>3</v>
      </c>
      <c r="Q562" s="23" t="s">
        <v>44</v>
      </c>
      <c r="R562" s="23">
        <v>0</v>
      </c>
      <c r="S562" s="23">
        <v>0</v>
      </c>
      <c r="T562" s="23">
        <v>2</v>
      </c>
      <c r="U562" s="23">
        <v>18</v>
      </c>
      <c r="AG562" s="34">
        <v>28</v>
      </c>
      <c r="AH562">
        <v>0</v>
      </c>
      <c r="AI562">
        <v>4</v>
      </c>
      <c r="AJ562">
        <v>0.1</v>
      </c>
      <c r="AK562">
        <v>0</v>
      </c>
      <c r="AL562">
        <v>9</v>
      </c>
      <c r="AM562">
        <v>2</v>
      </c>
      <c r="AN562">
        <v>17</v>
      </c>
      <c r="AO562">
        <v>53</v>
      </c>
      <c r="AP562">
        <v>15</v>
      </c>
      <c r="AQ562" s="21">
        <f t="shared" si="78"/>
        <v>-13</v>
      </c>
      <c r="AR562" s="12">
        <f t="shared" si="76"/>
        <v>100.1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 s="6">
        <f t="shared" si="77"/>
        <v>20</v>
      </c>
      <c r="BM562" s="6">
        <f t="shared" si="75"/>
        <v>20</v>
      </c>
      <c r="BN562">
        <v>4</v>
      </c>
      <c r="BO562">
        <f t="shared" si="79"/>
        <v>4</v>
      </c>
      <c r="BP562">
        <v>0.1</v>
      </c>
      <c r="BQ562">
        <f>SUM(BP562,BB562,BK562)</f>
        <v>0.1</v>
      </c>
      <c r="BR562">
        <f t="shared" si="73"/>
        <v>0</v>
      </c>
    </row>
    <row r="563" spans="1:70" hidden="1">
      <c r="A563" s="16" t="str">
        <f t="shared" si="74"/>
        <v>SB_2025_NPZ_2_2</v>
      </c>
      <c r="B563" t="s">
        <v>40</v>
      </c>
      <c r="C563">
        <v>43.3339</v>
      </c>
      <c r="D563">
        <v>-124.3767</v>
      </c>
      <c r="E563" s="8">
        <v>45836</v>
      </c>
      <c r="F563">
        <v>2025</v>
      </c>
      <c r="G563" t="s">
        <v>41</v>
      </c>
      <c r="H563" t="s">
        <v>48</v>
      </c>
      <c r="I563">
        <v>2</v>
      </c>
      <c r="J563">
        <v>2</v>
      </c>
      <c r="K563" t="s">
        <v>47</v>
      </c>
      <c r="L563" s="23">
        <v>27</v>
      </c>
      <c r="M563" s="23">
        <v>0</v>
      </c>
      <c r="N563" s="23">
        <v>5</v>
      </c>
      <c r="O563" s="23">
        <v>22</v>
      </c>
      <c r="P563" s="23">
        <v>3</v>
      </c>
      <c r="Q563" s="23" t="s">
        <v>44</v>
      </c>
      <c r="R563" s="23">
        <v>0</v>
      </c>
      <c r="S563" s="23">
        <v>0</v>
      </c>
      <c r="T563" s="23">
        <v>0</v>
      </c>
      <c r="U563" s="23">
        <v>0</v>
      </c>
      <c r="AG563" s="34">
        <v>32</v>
      </c>
      <c r="AH563">
        <v>11</v>
      </c>
      <c r="AI563">
        <v>15</v>
      </c>
      <c r="AJ563">
        <v>0</v>
      </c>
      <c r="AK563">
        <v>0</v>
      </c>
      <c r="AL563">
        <v>26</v>
      </c>
      <c r="AM563">
        <v>8</v>
      </c>
      <c r="AN563">
        <v>2</v>
      </c>
      <c r="AO563">
        <v>0</v>
      </c>
      <c r="AP563">
        <v>38</v>
      </c>
      <c r="AQ563" s="21">
        <f t="shared" si="78"/>
        <v>6</v>
      </c>
      <c r="AR563" s="12">
        <f t="shared" si="76"/>
        <v>100</v>
      </c>
      <c r="AS563">
        <v>0</v>
      </c>
      <c r="AT563">
        <v>0</v>
      </c>
      <c r="AU563">
        <v>0</v>
      </c>
      <c r="AV563">
        <v>2</v>
      </c>
      <c r="AW563">
        <v>3</v>
      </c>
      <c r="AX563">
        <v>20</v>
      </c>
      <c r="AY563">
        <v>13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 s="6">
        <f t="shared" si="77"/>
        <v>40</v>
      </c>
      <c r="BM563" s="6">
        <f t="shared" si="75"/>
        <v>40</v>
      </c>
      <c r="BN563">
        <v>15</v>
      </c>
      <c r="BO563">
        <f t="shared" si="79"/>
        <v>15</v>
      </c>
      <c r="BP563">
        <v>0</v>
      </c>
      <c r="BQ563">
        <f>SUM(BP563,BB563,BK563)</f>
        <v>0</v>
      </c>
      <c r="BR563">
        <f t="shared" si="73"/>
        <v>0</v>
      </c>
    </row>
    <row r="564" spans="1:70" hidden="1">
      <c r="A564" s="16" t="str">
        <f t="shared" si="74"/>
        <v>SB_2025_NPZ_2_3</v>
      </c>
      <c r="B564" t="s">
        <v>40</v>
      </c>
      <c r="C564">
        <v>43.3339</v>
      </c>
      <c r="D564">
        <v>-124.3767</v>
      </c>
      <c r="E564" s="8">
        <v>45836</v>
      </c>
      <c r="F564">
        <v>2025</v>
      </c>
      <c r="G564" t="s">
        <v>41</v>
      </c>
      <c r="H564" t="s">
        <v>48</v>
      </c>
      <c r="I564">
        <v>2</v>
      </c>
      <c r="J564">
        <v>3</v>
      </c>
      <c r="K564" t="s">
        <v>47</v>
      </c>
      <c r="L564" s="23">
        <v>21</v>
      </c>
      <c r="M564" s="23">
        <v>11</v>
      </c>
      <c r="N564" s="23">
        <v>6</v>
      </c>
      <c r="O564" s="23">
        <v>4</v>
      </c>
      <c r="P564" s="23">
        <v>1</v>
      </c>
      <c r="Q564" s="23" t="s">
        <v>44</v>
      </c>
      <c r="R564" s="23">
        <v>0</v>
      </c>
      <c r="S564" s="23">
        <v>0</v>
      </c>
      <c r="T564" s="23">
        <v>2</v>
      </c>
      <c r="U564" s="23">
        <v>13</v>
      </c>
      <c r="AG564" s="34">
        <v>20</v>
      </c>
      <c r="AH564">
        <v>4</v>
      </c>
      <c r="AI564">
        <v>38</v>
      </c>
      <c r="AJ564">
        <v>5</v>
      </c>
      <c r="AK564">
        <v>0</v>
      </c>
      <c r="AL564">
        <v>7</v>
      </c>
      <c r="AM564">
        <v>9</v>
      </c>
      <c r="AN564">
        <v>4</v>
      </c>
      <c r="AO564">
        <v>0</v>
      </c>
      <c r="AP564">
        <v>33</v>
      </c>
      <c r="AQ564" s="21">
        <f t="shared" si="78"/>
        <v>13</v>
      </c>
      <c r="AR564" s="12">
        <f t="shared" si="76"/>
        <v>100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 s="6">
        <f t="shared" si="77"/>
        <v>0</v>
      </c>
      <c r="BM564" s="6">
        <f t="shared" si="75"/>
        <v>0</v>
      </c>
      <c r="BN564">
        <v>38</v>
      </c>
      <c r="BO564">
        <f t="shared" si="79"/>
        <v>38</v>
      </c>
      <c r="BP564">
        <v>5</v>
      </c>
      <c r="BQ564">
        <f>SUM(BP564,BB564,BK564)</f>
        <v>5</v>
      </c>
      <c r="BR564">
        <f t="shared" si="73"/>
        <v>0</v>
      </c>
    </row>
    <row r="565" spans="1:70" hidden="1">
      <c r="A565" s="16" t="str">
        <f t="shared" si="74"/>
        <v>SB_2025_NPZ_2_4</v>
      </c>
      <c r="B565" t="s">
        <v>40</v>
      </c>
      <c r="C565">
        <v>43.3339</v>
      </c>
      <c r="D565">
        <v>-124.3767</v>
      </c>
      <c r="E565" s="8">
        <v>45836</v>
      </c>
      <c r="F565">
        <v>2025</v>
      </c>
      <c r="G565" t="s">
        <v>41</v>
      </c>
      <c r="H565" t="s">
        <v>48</v>
      </c>
      <c r="I565">
        <v>2</v>
      </c>
      <c r="J565">
        <v>4</v>
      </c>
      <c r="K565" t="s">
        <v>47</v>
      </c>
      <c r="L565" s="23">
        <v>15</v>
      </c>
      <c r="M565" s="23">
        <v>5</v>
      </c>
      <c r="N565" s="23">
        <v>8</v>
      </c>
      <c r="O565" s="23">
        <v>2</v>
      </c>
      <c r="P565" s="23">
        <v>0</v>
      </c>
      <c r="Q565" s="23" t="s">
        <v>44</v>
      </c>
      <c r="R565" s="23">
        <v>0</v>
      </c>
      <c r="S565" s="23">
        <v>0</v>
      </c>
      <c r="T565" s="23">
        <v>1</v>
      </c>
      <c r="U565" s="23">
        <v>6</v>
      </c>
      <c r="AG565" s="34">
        <v>10</v>
      </c>
      <c r="AH565">
        <v>3</v>
      </c>
      <c r="AI565">
        <v>50</v>
      </c>
      <c r="AJ565">
        <v>0</v>
      </c>
      <c r="AK565">
        <v>0</v>
      </c>
      <c r="AL565">
        <v>9</v>
      </c>
      <c r="AM565">
        <v>5</v>
      </c>
      <c r="AN565">
        <v>0.1</v>
      </c>
      <c r="AO565">
        <v>0</v>
      </c>
      <c r="AP565">
        <v>33</v>
      </c>
      <c r="AQ565" s="21">
        <f t="shared" si="78"/>
        <v>23</v>
      </c>
      <c r="AR565" s="12">
        <f t="shared" si="76"/>
        <v>100.1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s="6">
        <f t="shared" si="77"/>
        <v>0</v>
      </c>
      <c r="BM565" s="6">
        <f t="shared" si="75"/>
        <v>0</v>
      </c>
      <c r="BN565">
        <v>50</v>
      </c>
      <c r="BO565">
        <f t="shared" si="79"/>
        <v>50</v>
      </c>
      <c r="BP565">
        <v>0</v>
      </c>
      <c r="BQ565">
        <f>SUM(BP565,BB565,BK565)</f>
        <v>0</v>
      </c>
      <c r="BR565">
        <f t="shared" si="73"/>
        <v>0</v>
      </c>
    </row>
    <row r="566" spans="1:70" hidden="1">
      <c r="A566" s="16" t="str">
        <f t="shared" si="74"/>
        <v>SB_2025_NPZ_2_5</v>
      </c>
      <c r="B566" t="s">
        <v>40</v>
      </c>
      <c r="C566">
        <v>43.3339</v>
      </c>
      <c r="D566">
        <v>-124.3767</v>
      </c>
      <c r="E566" s="8">
        <v>45836</v>
      </c>
      <c r="F566">
        <v>2025</v>
      </c>
      <c r="G566" t="s">
        <v>41</v>
      </c>
      <c r="H566" t="s">
        <v>48</v>
      </c>
      <c r="I566">
        <v>2</v>
      </c>
      <c r="J566">
        <v>5</v>
      </c>
      <c r="K566" t="s">
        <v>47</v>
      </c>
      <c r="L566" s="23">
        <v>45</v>
      </c>
      <c r="M566" s="23">
        <v>7</v>
      </c>
      <c r="N566" s="23">
        <v>2</v>
      </c>
      <c r="O566" s="23">
        <v>36</v>
      </c>
      <c r="P566" s="23">
        <v>1</v>
      </c>
      <c r="Q566" s="23" t="s">
        <v>44</v>
      </c>
      <c r="R566" s="23">
        <v>0</v>
      </c>
      <c r="S566" s="23">
        <v>0</v>
      </c>
      <c r="T566" s="23">
        <v>0</v>
      </c>
      <c r="U566" s="23">
        <v>6</v>
      </c>
      <c r="AG566" s="34">
        <v>28</v>
      </c>
      <c r="AH566">
        <v>4</v>
      </c>
      <c r="AI566">
        <v>11</v>
      </c>
      <c r="AJ566">
        <v>0</v>
      </c>
      <c r="AK566">
        <v>0</v>
      </c>
      <c r="AL566">
        <v>28</v>
      </c>
      <c r="AM566">
        <v>8</v>
      </c>
      <c r="AN566">
        <v>0.1</v>
      </c>
      <c r="AO566">
        <v>0.1</v>
      </c>
      <c r="AP566">
        <v>49</v>
      </c>
      <c r="AQ566" s="21">
        <f t="shared" si="78"/>
        <v>21</v>
      </c>
      <c r="AR566" s="12">
        <f t="shared" si="76"/>
        <v>100.2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20</v>
      </c>
      <c r="AZ566">
        <v>2</v>
      </c>
      <c r="BA566">
        <v>0</v>
      </c>
      <c r="BB566">
        <v>0</v>
      </c>
      <c r="BC566">
        <v>0</v>
      </c>
      <c r="BD566">
        <v>0</v>
      </c>
      <c r="BE566">
        <v>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 s="6">
        <f t="shared" si="77"/>
        <v>26</v>
      </c>
      <c r="BM566" s="6">
        <f t="shared" si="75"/>
        <v>26</v>
      </c>
      <c r="BN566">
        <v>11</v>
      </c>
      <c r="BO566">
        <f t="shared" si="79"/>
        <v>11</v>
      </c>
      <c r="BP566">
        <v>0</v>
      </c>
      <c r="BQ566">
        <f>SUM(BP566,BB566,BK566)</f>
        <v>0</v>
      </c>
      <c r="BR566">
        <f t="shared" si="73"/>
        <v>0</v>
      </c>
    </row>
    <row r="567" spans="1:70" hidden="1">
      <c r="A567" s="16" t="str">
        <f t="shared" si="74"/>
        <v>BB_2025_AZ_1_1</v>
      </c>
      <c r="B567" t="s">
        <v>67</v>
      </c>
      <c r="C567">
        <v>44.830300000000001</v>
      </c>
      <c r="D567">
        <v>-124.0607</v>
      </c>
      <c r="E567" s="8">
        <v>45848</v>
      </c>
      <c r="F567">
        <v>2025</v>
      </c>
      <c r="G567" t="s">
        <v>64</v>
      </c>
      <c r="H567" t="s">
        <v>42</v>
      </c>
      <c r="I567">
        <v>1</v>
      </c>
      <c r="J567">
        <v>1</v>
      </c>
      <c r="K567" t="s">
        <v>46</v>
      </c>
      <c r="L567" s="23">
        <v>0</v>
      </c>
      <c r="M567" s="23">
        <v>0</v>
      </c>
      <c r="N567" s="23">
        <v>0</v>
      </c>
      <c r="O567" s="23">
        <v>0</v>
      </c>
      <c r="P567" s="23">
        <v>0</v>
      </c>
      <c r="Q567" s="23" t="s">
        <v>44</v>
      </c>
      <c r="R567" s="23">
        <v>0</v>
      </c>
      <c r="S567" s="23">
        <v>0</v>
      </c>
      <c r="T567" s="23">
        <v>1</v>
      </c>
      <c r="U567" s="23">
        <v>1</v>
      </c>
      <c r="V567" s="18" t="s">
        <v>44</v>
      </c>
      <c r="W567" s="18" t="s">
        <v>44</v>
      </c>
      <c r="X567" s="18" t="s">
        <v>44</v>
      </c>
      <c r="Y567" s="18" t="s">
        <v>44</v>
      </c>
      <c r="Z567" s="18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s="34">
        <v>0</v>
      </c>
      <c r="AH567">
        <v>0.1</v>
      </c>
      <c r="AI567">
        <v>84</v>
      </c>
      <c r="AJ567">
        <v>3</v>
      </c>
      <c r="AK567">
        <v>1</v>
      </c>
      <c r="AL567">
        <v>5</v>
      </c>
      <c r="AM567">
        <v>0</v>
      </c>
      <c r="AN567">
        <v>1</v>
      </c>
      <c r="AO567">
        <v>6</v>
      </c>
      <c r="AP567">
        <v>0.1</v>
      </c>
      <c r="AQ567" s="21">
        <f t="shared" si="78"/>
        <v>0.1</v>
      </c>
      <c r="AR567" s="12">
        <f t="shared" si="76"/>
        <v>100.19999999999999</v>
      </c>
      <c r="AS567">
        <v>36</v>
      </c>
      <c r="AT567">
        <v>17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 s="6">
        <f t="shared" si="77"/>
        <v>54</v>
      </c>
      <c r="BM567" s="6">
        <f t="shared" si="75"/>
        <v>54</v>
      </c>
      <c r="BN567">
        <v>84</v>
      </c>
      <c r="BO567">
        <f t="shared" si="79"/>
        <v>84</v>
      </c>
      <c r="BP567">
        <v>3</v>
      </c>
      <c r="BQ567">
        <f>SUM(BP567,BB567,BK567)</f>
        <v>3</v>
      </c>
      <c r="BR567">
        <f t="shared" si="73"/>
        <v>0</v>
      </c>
    </row>
    <row r="568" spans="1:70" hidden="1">
      <c r="A568" s="16" t="str">
        <f t="shared" si="74"/>
        <v>BB_2025_AZ_1_2</v>
      </c>
      <c r="B568" t="s">
        <v>67</v>
      </c>
      <c r="C568">
        <v>44.830300000000001</v>
      </c>
      <c r="D568">
        <v>-124.0607</v>
      </c>
      <c r="E568" s="8">
        <v>45848</v>
      </c>
      <c r="F568">
        <v>2025</v>
      </c>
      <c r="G568" t="s">
        <v>64</v>
      </c>
      <c r="H568" t="s">
        <v>42</v>
      </c>
      <c r="I568">
        <v>1</v>
      </c>
      <c r="J568">
        <v>2</v>
      </c>
      <c r="K568" t="s">
        <v>46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 t="s">
        <v>44</v>
      </c>
      <c r="R568" s="23">
        <v>0</v>
      </c>
      <c r="S568" s="23">
        <v>0</v>
      </c>
      <c r="T568" s="23">
        <v>4</v>
      </c>
      <c r="U568" s="23">
        <v>4</v>
      </c>
      <c r="V568" s="18" t="s">
        <v>44</v>
      </c>
      <c r="W568" s="18" t="s">
        <v>44</v>
      </c>
      <c r="X568" s="18" t="s">
        <v>44</v>
      </c>
      <c r="Y568" s="18" t="s">
        <v>44</v>
      </c>
      <c r="Z568" s="1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s="34">
        <v>0</v>
      </c>
      <c r="AH568">
        <v>1</v>
      </c>
      <c r="AI568">
        <v>64</v>
      </c>
      <c r="AJ568">
        <v>13</v>
      </c>
      <c r="AK568">
        <v>2</v>
      </c>
      <c r="AL568">
        <v>4</v>
      </c>
      <c r="AM568">
        <v>7</v>
      </c>
      <c r="AN568">
        <v>0</v>
      </c>
      <c r="AO568">
        <v>9</v>
      </c>
      <c r="AP568">
        <v>0</v>
      </c>
      <c r="AQ568" s="21">
        <f t="shared" si="78"/>
        <v>0</v>
      </c>
      <c r="AR568" s="12">
        <f t="shared" si="76"/>
        <v>100</v>
      </c>
      <c r="AS568">
        <v>10</v>
      </c>
      <c r="AT568">
        <v>4</v>
      </c>
      <c r="AU568">
        <v>0</v>
      </c>
      <c r="AV568">
        <v>0</v>
      </c>
      <c r="AW568">
        <v>0</v>
      </c>
      <c r="AX568">
        <v>3</v>
      </c>
      <c r="AY568">
        <v>0</v>
      </c>
      <c r="AZ568">
        <v>2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 s="6">
        <f t="shared" si="77"/>
        <v>19</v>
      </c>
      <c r="BM568" s="6">
        <f t="shared" si="75"/>
        <v>19</v>
      </c>
      <c r="BN568">
        <v>64</v>
      </c>
      <c r="BO568">
        <f t="shared" si="79"/>
        <v>64</v>
      </c>
      <c r="BP568">
        <v>13</v>
      </c>
      <c r="BQ568">
        <f>SUM(BP568,BB568,BK568)</f>
        <v>13</v>
      </c>
      <c r="BR568">
        <f t="shared" si="73"/>
        <v>0</v>
      </c>
    </row>
    <row r="569" spans="1:70" hidden="1">
      <c r="A569" s="16" t="str">
        <f t="shared" si="74"/>
        <v>BB_2025_AZ_1_3</v>
      </c>
      <c r="B569" t="s">
        <v>67</v>
      </c>
      <c r="C569">
        <v>44.830300000000001</v>
      </c>
      <c r="D569">
        <v>-124.0607</v>
      </c>
      <c r="E569" s="8">
        <v>45848</v>
      </c>
      <c r="F569">
        <v>2025</v>
      </c>
      <c r="G569" t="s">
        <v>64</v>
      </c>
      <c r="H569" t="s">
        <v>42</v>
      </c>
      <c r="I569">
        <v>1</v>
      </c>
      <c r="J569">
        <v>3</v>
      </c>
      <c r="K569" t="s">
        <v>47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 t="s">
        <v>44</v>
      </c>
      <c r="R569" s="23">
        <v>0</v>
      </c>
      <c r="S569" s="23">
        <v>0</v>
      </c>
      <c r="T569" s="23">
        <v>2</v>
      </c>
      <c r="U569" s="23">
        <v>2</v>
      </c>
      <c r="V569" s="18" t="s">
        <v>44</v>
      </c>
      <c r="W569" s="18" t="s">
        <v>44</v>
      </c>
      <c r="X569" s="18" t="s">
        <v>44</v>
      </c>
      <c r="Y569" s="18" t="s">
        <v>44</v>
      </c>
      <c r="Z569" s="18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s="34">
        <v>0</v>
      </c>
      <c r="AH569">
        <v>2</v>
      </c>
      <c r="AI569">
        <v>3</v>
      </c>
      <c r="AJ569">
        <v>0.1</v>
      </c>
      <c r="AK569">
        <v>0</v>
      </c>
      <c r="AL569">
        <v>13</v>
      </c>
      <c r="AM569">
        <v>9</v>
      </c>
      <c r="AN569">
        <v>2</v>
      </c>
      <c r="AO569">
        <v>11</v>
      </c>
      <c r="AP569">
        <v>60</v>
      </c>
      <c r="AQ569" s="21">
        <f t="shared" si="78"/>
        <v>60</v>
      </c>
      <c r="AR569" s="12">
        <f t="shared" si="76"/>
        <v>100.1</v>
      </c>
      <c r="AS569">
        <v>6</v>
      </c>
      <c r="AT569">
        <v>56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 s="6">
        <f t="shared" si="77"/>
        <v>62</v>
      </c>
      <c r="BM569" s="6">
        <f t="shared" si="75"/>
        <v>62</v>
      </c>
      <c r="BN569">
        <v>3</v>
      </c>
      <c r="BO569">
        <f t="shared" si="79"/>
        <v>3</v>
      </c>
      <c r="BP569">
        <v>0.1</v>
      </c>
      <c r="BQ569">
        <f>SUM(BP569,BB569,BK569)</f>
        <v>0.1</v>
      </c>
      <c r="BR569">
        <f t="shared" si="73"/>
        <v>0</v>
      </c>
    </row>
    <row r="570" spans="1:70" hidden="1">
      <c r="A570" s="16" t="str">
        <f t="shared" si="74"/>
        <v>BB_2025_AZ_1_4</v>
      </c>
      <c r="B570" t="s">
        <v>67</v>
      </c>
      <c r="C570">
        <v>44.830300000000001</v>
      </c>
      <c r="D570">
        <v>-124.0607</v>
      </c>
      <c r="E570" s="8">
        <v>45848</v>
      </c>
      <c r="F570">
        <v>2025</v>
      </c>
      <c r="G570" t="s">
        <v>64</v>
      </c>
      <c r="H570" t="s">
        <v>42</v>
      </c>
      <c r="I570">
        <v>1</v>
      </c>
      <c r="J570">
        <v>4</v>
      </c>
      <c r="K570" t="s">
        <v>47</v>
      </c>
      <c r="L570" s="23">
        <v>0</v>
      </c>
      <c r="M570" s="23">
        <v>0</v>
      </c>
      <c r="N570" s="23">
        <v>0</v>
      </c>
      <c r="O570" s="23">
        <v>0</v>
      </c>
      <c r="P570" s="23">
        <v>0</v>
      </c>
      <c r="Q570" s="23" t="s">
        <v>44</v>
      </c>
      <c r="R570" s="23">
        <v>0</v>
      </c>
      <c r="S570" s="23">
        <v>0</v>
      </c>
      <c r="T570" s="23">
        <v>0</v>
      </c>
      <c r="U570" s="23">
        <v>0</v>
      </c>
      <c r="V570" s="18" t="s">
        <v>44</v>
      </c>
      <c r="W570" s="18" t="s">
        <v>44</v>
      </c>
      <c r="X570" s="18" t="s">
        <v>44</v>
      </c>
      <c r="Y570" s="18" t="s">
        <v>44</v>
      </c>
      <c r="Z570" s="18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s="34">
        <v>0</v>
      </c>
      <c r="AH570">
        <v>2</v>
      </c>
      <c r="AI570">
        <v>44</v>
      </c>
      <c r="AJ570">
        <v>22</v>
      </c>
      <c r="AK570">
        <v>0</v>
      </c>
      <c r="AL570">
        <v>5</v>
      </c>
      <c r="AM570">
        <v>3</v>
      </c>
      <c r="AN570">
        <v>7</v>
      </c>
      <c r="AO570">
        <v>12</v>
      </c>
      <c r="AP570">
        <v>5</v>
      </c>
      <c r="AQ570" s="21">
        <f t="shared" si="78"/>
        <v>5</v>
      </c>
      <c r="AR570" s="12">
        <f t="shared" si="76"/>
        <v>100</v>
      </c>
      <c r="AS570">
        <v>2</v>
      </c>
      <c r="AT570">
        <v>8</v>
      </c>
      <c r="AU570">
        <v>2</v>
      </c>
      <c r="AV570">
        <v>0</v>
      </c>
      <c r="AW570">
        <v>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 s="6">
        <f t="shared" si="77"/>
        <v>12</v>
      </c>
      <c r="BM570" s="6">
        <f t="shared" si="75"/>
        <v>14</v>
      </c>
    </row>
    <row r="571" spans="1:70" hidden="1">
      <c r="A571" s="16" t="str">
        <f t="shared" si="74"/>
        <v>BB_2025_AZ_1_5</v>
      </c>
      <c r="B571" t="s">
        <v>67</v>
      </c>
      <c r="C571">
        <v>44.830300000000001</v>
      </c>
      <c r="D571">
        <v>-124.0607</v>
      </c>
      <c r="E571" s="8">
        <v>45848</v>
      </c>
      <c r="F571">
        <v>2025</v>
      </c>
      <c r="G571" t="s">
        <v>64</v>
      </c>
      <c r="H571" t="s">
        <v>42</v>
      </c>
      <c r="I571">
        <v>1</v>
      </c>
      <c r="J571">
        <v>5</v>
      </c>
      <c r="K571" t="s">
        <v>46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 t="s">
        <v>44</v>
      </c>
      <c r="R571" s="23">
        <v>0</v>
      </c>
      <c r="S571" s="23">
        <v>0</v>
      </c>
      <c r="T571" s="23">
        <v>0</v>
      </c>
      <c r="U571" s="23">
        <v>0</v>
      </c>
      <c r="V571" s="18" t="s">
        <v>44</v>
      </c>
      <c r="W571" s="18" t="s">
        <v>44</v>
      </c>
      <c r="X571" s="18" t="s">
        <v>44</v>
      </c>
      <c r="Y571" s="18" t="s">
        <v>44</v>
      </c>
      <c r="Z571" s="18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s="34">
        <v>0</v>
      </c>
      <c r="AH571">
        <v>1</v>
      </c>
      <c r="AI571">
        <v>70</v>
      </c>
      <c r="AJ571">
        <v>0.1</v>
      </c>
      <c r="AK571">
        <v>10</v>
      </c>
      <c r="AL571">
        <v>7</v>
      </c>
      <c r="AM571">
        <v>0.1</v>
      </c>
      <c r="AN571">
        <v>3</v>
      </c>
      <c r="AO571">
        <v>7</v>
      </c>
      <c r="AP571">
        <v>2</v>
      </c>
      <c r="AQ571" s="21">
        <f t="shared" si="78"/>
        <v>2</v>
      </c>
      <c r="AR571" s="12">
        <f t="shared" si="76"/>
        <v>100.19999999999999</v>
      </c>
      <c r="AS571">
        <v>44</v>
      </c>
      <c r="AT571">
        <v>22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21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 s="6">
        <f t="shared" si="77"/>
        <v>87</v>
      </c>
      <c r="BM571" s="6">
        <f t="shared" si="75"/>
        <v>87</v>
      </c>
      <c r="BN571">
        <v>70</v>
      </c>
      <c r="BO571">
        <f t="shared" si="79"/>
        <v>70</v>
      </c>
      <c r="BP571">
        <v>0.1</v>
      </c>
      <c r="BQ571">
        <f>SUM(BP571,BB571,BK571)</f>
        <v>0.1</v>
      </c>
      <c r="BR571">
        <f t="shared" si="73"/>
        <v>0</v>
      </c>
    </row>
    <row r="572" spans="1:70" hidden="1">
      <c r="A572" s="16" t="str">
        <f t="shared" si="74"/>
        <v>BB_2025_AZ_2_1</v>
      </c>
      <c r="B572" t="s">
        <v>67</v>
      </c>
      <c r="C572">
        <v>44.830300000000001</v>
      </c>
      <c r="D572">
        <v>-124.0607</v>
      </c>
      <c r="E572" s="8">
        <v>45848</v>
      </c>
      <c r="F572">
        <v>2025</v>
      </c>
      <c r="G572" t="s">
        <v>64</v>
      </c>
      <c r="H572" t="s">
        <v>42</v>
      </c>
      <c r="I572">
        <v>2</v>
      </c>
      <c r="J572">
        <v>1</v>
      </c>
      <c r="K572" t="s">
        <v>46</v>
      </c>
      <c r="L572" s="23">
        <v>0</v>
      </c>
      <c r="M572" s="23">
        <v>0</v>
      </c>
      <c r="N572" s="23">
        <v>0</v>
      </c>
      <c r="O572" s="23">
        <v>0</v>
      </c>
      <c r="P572" s="23">
        <v>0</v>
      </c>
      <c r="Q572" s="23" t="s">
        <v>44</v>
      </c>
      <c r="R572" s="23">
        <v>0</v>
      </c>
      <c r="S572" s="23">
        <v>0</v>
      </c>
      <c r="T572" s="23">
        <v>0</v>
      </c>
      <c r="U572" s="23">
        <v>0</v>
      </c>
      <c r="V572" s="18" t="s">
        <v>44</v>
      </c>
      <c r="W572" s="18" t="s">
        <v>44</v>
      </c>
      <c r="X572" s="18" t="s">
        <v>44</v>
      </c>
      <c r="Y572" s="18" t="s">
        <v>44</v>
      </c>
      <c r="Z572" s="18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s="34">
        <v>0</v>
      </c>
      <c r="AH572">
        <v>1</v>
      </c>
      <c r="AI572">
        <v>71</v>
      </c>
      <c r="AJ572">
        <v>0</v>
      </c>
      <c r="AK572">
        <v>17</v>
      </c>
      <c r="AL572">
        <v>1</v>
      </c>
      <c r="AM572">
        <v>0</v>
      </c>
      <c r="AN572">
        <v>0</v>
      </c>
      <c r="AO572">
        <v>10</v>
      </c>
      <c r="AP572">
        <v>0</v>
      </c>
      <c r="AQ572" s="21">
        <f t="shared" si="78"/>
        <v>0</v>
      </c>
      <c r="AR572" s="12">
        <f t="shared" si="76"/>
        <v>100</v>
      </c>
      <c r="AS572">
        <v>0</v>
      </c>
      <c r="AT572">
        <v>13</v>
      </c>
      <c r="AU572">
        <v>0</v>
      </c>
      <c r="AV572">
        <v>0</v>
      </c>
      <c r="AW572">
        <v>0</v>
      </c>
      <c r="AX572">
        <v>2</v>
      </c>
      <c r="AY572">
        <v>0</v>
      </c>
      <c r="AZ572">
        <v>18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 s="6">
        <f t="shared" si="77"/>
        <v>33</v>
      </c>
      <c r="BM572" s="6">
        <f t="shared" si="75"/>
        <v>33</v>
      </c>
      <c r="BN572">
        <v>71</v>
      </c>
      <c r="BO572">
        <f t="shared" si="79"/>
        <v>71</v>
      </c>
      <c r="BP572">
        <v>0</v>
      </c>
      <c r="BQ572">
        <f>SUM(BP572,BB572,BK572)</f>
        <v>0</v>
      </c>
      <c r="BR572">
        <f t="shared" ref="BR572:BR635" si="80">BQ572-BP572</f>
        <v>0</v>
      </c>
    </row>
    <row r="573" spans="1:70" hidden="1">
      <c r="A573" s="16" t="str">
        <f t="shared" si="74"/>
        <v>BB_2025_AZ_2_2</v>
      </c>
      <c r="B573" t="s">
        <v>67</v>
      </c>
      <c r="C573">
        <v>44.830300000000001</v>
      </c>
      <c r="D573">
        <v>-124.0607</v>
      </c>
      <c r="E573" s="8">
        <v>45848</v>
      </c>
      <c r="F573">
        <v>2025</v>
      </c>
      <c r="G573" t="s">
        <v>64</v>
      </c>
      <c r="H573" t="s">
        <v>42</v>
      </c>
      <c r="I573">
        <v>2</v>
      </c>
      <c r="J573">
        <v>2</v>
      </c>
      <c r="K573" t="s">
        <v>46</v>
      </c>
      <c r="L573" s="23">
        <v>0</v>
      </c>
      <c r="M573" s="23">
        <v>0</v>
      </c>
      <c r="N573" s="23">
        <v>0</v>
      </c>
      <c r="O573" s="23">
        <v>0</v>
      </c>
      <c r="P573" s="23">
        <v>0</v>
      </c>
      <c r="Q573" s="23" t="s">
        <v>44</v>
      </c>
      <c r="R573" s="23">
        <v>0</v>
      </c>
      <c r="S573" s="23">
        <v>0</v>
      </c>
      <c r="T573" s="23">
        <v>0</v>
      </c>
      <c r="U573" s="23">
        <v>0</v>
      </c>
      <c r="V573" s="18" t="s">
        <v>44</v>
      </c>
      <c r="W573" s="18" t="s">
        <v>44</v>
      </c>
      <c r="X573" s="18" t="s">
        <v>44</v>
      </c>
      <c r="Y573" s="18" t="s">
        <v>44</v>
      </c>
      <c r="Z573" s="18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s="34">
        <v>0</v>
      </c>
      <c r="AH573">
        <v>0</v>
      </c>
      <c r="AI573">
        <v>36</v>
      </c>
      <c r="AJ573">
        <v>0</v>
      </c>
      <c r="AK573">
        <v>6</v>
      </c>
      <c r="AL573">
        <v>8</v>
      </c>
      <c r="AM573">
        <v>2</v>
      </c>
      <c r="AN573">
        <v>0</v>
      </c>
      <c r="AO573">
        <v>42</v>
      </c>
      <c r="AP573">
        <v>6</v>
      </c>
      <c r="AQ573" s="21">
        <f t="shared" si="78"/>
        <v>6</v>
      </c>
      <c r="AR573" s="12">
        <f t="shared" si="76"/>
        <v>100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55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 s="6">
        <f t="shared" si="77"/>
        <v>55</v>
      </c>
      <c r="BM573" s="6">
        <f t="shared" si="75"/>
        <v>55</v>
      </c>
      <c r="BN573">
        <v>36</v>
      </c>
      <c r="BO573">
        <f t="shared" si="79"/>
        <v>36</v>
      </c>
      <c r="BP573">
        <v>0</v>
      </c>
      <c r="BQ573">
        <f>SUM(BP573,BB573,BK573)</f>
        <v>0</v>
      </c>
      <c r="BR573">
        <f t="shared" si="80"/>
        <v>0</v>
      </c>
    </row>
    <row r="574" spans="1:70" hidden="1">
      <c r="A574" s="16" t="str">
        <f t="shared" si="74"/>
        <v>BB_2025_AZ_2_3</v>
      </c>
      <c r="B574" t="s">
        <v>67</v>
      </c>
      <c r="C574">
        <v>44.830300000000001</v>
      </c>
      <c r="D574">
        <v>-124.0607</v>
      </c>
      <c r="E574" s="8">
        <v>45848</v>
      </c>
      <c r="F574">
        <v>2025</v>
      </c>
      <c r="G574" t="s">
        <v>64</v>
      </c>
      <c r="H574" t="s">
        <v>42</v>
      </c>
      <c r="I574">
        <v>2</v>
      </c>
      <c r="J574">
        <v>3</v>
      </c>
      <c r="K574" t="s">
        <v>46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 t="s">
        <v>44</v>
      </c>
      <c r="R574" s="23">
        <v>0</v>
      </c>
      <c r="S574" s="23">
        <v>0</v>
      </c>
      <c r="T574" s="23">
        <v>1</v>
      </c>
      <c r="U574" s="23">
        <v>1</v>
      </c>
      <c r="V574" s="18" t="s">
        <v>44</v>
      </c>
      <c r="W574" s="18" t="s">
        <v>44</v>
      </c>
      <c r="X574" s="18" t="s">
        <v>44</v>
      </c>
      <c r="Y574" s="18" t="s">
        <v>44</v>
      </c>
      <c r="Z574" s="18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s="34">
        <v>0</v>
      </c>
      <c r="AH574">
        <v>2</v>
      </c>
      <c r="AI574">
        <v>40</v>
      </c>
      <c r="AJ574">
        <v>30</v>
      </c>
      <c r="AK574">
        <v>1</v>
      </c>
      <c r="AL574">
        <v>11</v>
      </c>
      <c r="AM574">
        <v>8</v>
      </c>
      <c r="AN574">
        <v>3</v>
      </c>
      <c r="AO574">
        <v>0.1</v>
      </c>
      <c r="AP574">
        <v>5</v>
      </c>
      <c r="AQ574" s="21">
        <f t="shared" si="78"/>
        <v>5</v>
      </c>
      <c r="AR574" s="12">
        <f t="shared" si="76"/>
        <v>100.1</v>
      </c>
      <c r="AS574">
        <v>0</v>
      </c>
      <c r="AT574">
        <v>35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 s="6">
        <f t="shared" si="77"/>
        <v>46</v>
      </c>
      <c r="BM574" s="6">
        <f t="shared" si="75"/>
        <v>46</v>
      </c>
      <c r="BN574">
        <v>40</v>
      </c>
      <c r="BO574">
        <f t="shared" si="79"/>
        <v>40</v>
      </c>
      <c r="BP574">
        <v>30</v>
      </c>
      <c r="BQ574">
        <f>SUM(BP574,BB574,BK574)</f>
        <v>30</v>
      </c>
      <c r="BR574">
        <f t="shared" si="80"/>
        <v>0</v>
      </c>
    </row>
    <row r="575" spans="1:70" hidden="1">
      <c r="A575" s="16" t="str">
        <f t="shared" si="74"/>
        <v>BB_2025_AZ_2_4</v>
      </c>
      <c r="B575" t="s">
        <v>67</v>
      </c>
      <c r="C575">
        <v>44.830300000000001</v>
      </c>
      <c r="D575">
        <v>-124.0607</v>
      </c>
      <c r="E575" s="8">
        <v>45848</v>
      </c>
      <c r="F575">
        <v>2025</v>
      </c>
      <c r="G575" t="s">
        <v>64</v>
      </c>
      <c r="H575" t="s">
        <v>42</v>
      </c>
      <c r="I575">
        <v>2</v>
      </c>
      <c r="J575">
        <v>4</v>
      </c>
      <c r="K575" t="s">
        <v>47</v>
      </c>
      <c r="L575" s="23">
        <v>0</v>
      </c>
      <c r="M575" s="23">
        <v>0</v>
      </c>
      <c r="N575" s="23">
        <v>0</v>
      </c>
      <c r="O575" s="23">
        <v>0</v>
      </c>
      <c r="P575" s="23">
        <v>0</v>
      </c>
      <c r="Q575" s="23" t="s">
        <v>44</v>
      </c>
      <c r="R575" s="23">
        <v>0</v>
      </c>
      <c r="S575" s="23">
        <v>0</v>
      </c>
      <c r="T575" s="23">
        <v>0</v>
      </c>
      <c r="U575" s="23">
        <v>0</v>
      </c>
      <c r="V575" s="18" t="s">
        <v>44</v>
      </c>
      <c r="W575" s="18" t="s">
        <v>44</v>
      </c>
      <c r="X575" s="18" t="s">
        <v>44</v>
      </c>
      <c r="Y575" s="18" t="s">
        <v>44</v>
      </c>
      <c r="Z575" s="18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s="34">
        <v>0</v>
      </c>
      <c r="AH575">
        <v>7</v>
      </c>
      <c r="AI575">
        <v>0</v>
      </c>
      <c r="AJ575">
        <v>6</v>
      </c>
      <c r="AK575">
        <v>0</v>
      </c>
      <c r="AL575">
        <v>12</v>
      </c>
      <c r="AM575">
        <v>3</v>
      </c>
      <c r="AN575">
        <v>3</v>
      </c>
      <c r="AO575">
        <v>60</v>
      </c>
      <c r="AP575">
        <v>9</v>
      </c>
      <c r="AQ575" s="21">
        <f t="shared" si="78"/>
        <v>9</v>
      </c>
      <c r="AR575" s="12">
        <f t="shared" si="76"/>
        <v>100</v>
      </c>
      <c r="AS575">
        <v>6</v>
      </c>
      <c r="AT575">
        <v>56</v>
      </c>
      <c r="AU575">
        <v>0</v>
      </c>
      <c r="AV575">
        <v>0</v>
      </c>
      <c r="AW575">
        <v>0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 s="6">
        <f t="shared" si="77"/>
        <v>68</v>
      </c>
      <c r="BM575" s="6">
        <f t="shared" si="75"/>
        <v>68</v>
      </c>
      <c r="BN575">
        <v>0</v>
      </c>
      <c r="BO575">
        <f t="shared" si="79"/>
        <v>0</v>
      </c>
      <c r="BP575">
        <v>6</v>
      </c>
      <c r="BQ575">
        <f>SUM(BP575,BB575,BK575)</f>
        <v>6</v>
      </c>
      <c r="BR575">
        <f t="shared" si="80"/>
        <v>0</v>
      </c>
    </row>
    <row r="576" spans="1:70" hidden="1">
      <c r="A576" s="16" t="str">
        <f t="shared" si="74"/>
        <v>BB_2025_AZ_2_5</v>
      </c>
      <c r="B576" t="s">
        <v>67</v>
      </c>
      <c r="C576">
        <v>44.830300000000001</v>
      </c>
      <c r="D576">
        <v>-124.0607</v>
      </c>
      <c r="E576" s="8">
        <v>45848</v>
      </c>
      <c r="F576">
        <v>2025</v>
      </c>
      <c r="G576" t="s">
        <v>64</v>
      </c>
      <c r="H576" t="s">
        <v>42</v>
      </c>
      <c r="I576">
        <v>2</v>
      </c>
      <c r="J576">
        <v>5</v>
      </c>
      <c r="K576" t="s">
        <v>83</v>
      </c>
      <c r="L576" s="23">
        <v>1</v>
      </c>
      <c r="M576" s="23">
        <v>1</v>
      </c>
      <c r="N576" s="23">
        <v>0</v>
      </c>
      <c r="O576" s="23">
        <v>0</v>
      </c>
      <c r="P576" s="23">
        <v>0</v>
      </c>
      <c r="Q576" s="23" t="s">
        <v>44</v>
      </c>
      <c r="R576" s="23">
        <v>0</v>
      </c>
      <c r="S576" s="23">
        <v>0</v>
      </c>
      <c r="T576" s="23">
        <v>0</v>
      </c>
      <c r="U576" s="23">
        <v>1</v>
      </c>
      <c r="V576" s="18" t="s">
        <v>44</v>
      </c>
      <c r="W576" s="18" t="s">
        <v>44</v>
      </c>
      <c r="X576" s="18" t="s">
        <v>44</v>
      </c>
      <c r="Y576" s="18" t="s">
        <v>44</v>
      </c>
      <c r="Z576" s="18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s="34">
        <v>0</v>
      </c>
      <c r="AH576">
        <v>1</v>
      </c>
      <c r="AI576">
        <v>20</v>
      </c>
      <c r="AJ576">
        <v>22</v>
      </c>
      <c r="AK576">
        <v>0</v>
      </c>
      <c r="AL576">
        <v>16</v>
      </c>
      <c r="AM576">
        <v>13</v>
      </c>
      <c r="AN576">
        <v>0</v>
      </c>
      <c r="AO576">
        <v>15</v>
      </c>
      <c r="AP576">
        <v>13</v>
      </c>
      <c r="AQ576" s="21">
        <f t="shared" si="78"/>
        <v>13</v>
      </c>
      <c r="AR576" s="12">
        <f t="shared" si="76"/>
        <v>100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 s="6">
        <f t="shared" si="77"/>
        <v>0</v>
      </c>
      <c r="BM576" s="6">
        <f t="shared" si="75"/>
        <v>0</v>
      </c>
      <c r="BN576">
        <v>20</v>
      </c>
      <c r="BO576">
        <f t="shared" si="79"/>
        <v>20</v>
      </c>
      <c r="BP576">
        <v>22</v>
      </c>
      <c r="BQ576">
        <f>SUM(BP576,BB576,BK576)</f>
        <v>22</v>
      </c>
      <c r="BR576">
        <f t="shared" si="80"/>
        <v>0</v>
      </c>
    </row>
    <row r="577" spans="1:70" hidden="1">
      <c r="A577" s="16" t="str">
        <f t="shared" si="74"/>
        <v>BB_2025_UPZ_1_1</v>
      </c>
      <c r="B577" t="s">
        <v>67</v>
      </c>
      <c r="C577">
        <v>44.830300000000001</v>
      </c>
      <c r="D577">
        <v>-124.0607</v>
      </c>
      <c r="E577" s="8">
        <v>45848</v>
      </c>
      <c r="F577">
        <v>2025</v>
      </c>
      <c r="G577" t="s">
        <v>64</v>
      </c>
      <c r="H577" t="s">
        <v>45</v>
      </c>
      <c r="I577">
        <v>1</v>
      </c>
      <c r="J577">
        <v>1</v>
      </c>
      <c r="K577" t="s">
        <v>46</v>
      </c>
      <c r="L577" s="23">
        <v>39</v>
      </c>
      <c r="M577" s="23">
        <v>35</v>
      </c>
      <c r="N577" s="23">
        <v>0</v>
      </c>
      <c r="O577" s="23">
        <v>4</v>
      </c>
      <c r="P577" s="23">
        <v>2</v>
      </c>
      <c r="Q577" s="23" t="s">
        <v>44</v>
      </c>
      <c r="R577" s="23">
        <v>0</v>
      </c>
      <c r="S577" s="23">
        <v>0</v>
      </c>
      <c r="T577" s="23">
        <v>0</v>
      </c>
      <c r="U577" s="23">
        <v>35</v>
      </c>
      <c r="AG577" s="34">
        <v>22</v>
      </c>
      <c r="AH577">
        <v>2</v>
      </c>
      <c r="AI577">
        <v>59</v>
      </c>
      <c r="AJ577">
        <v>0</v>
      </c>
      <c r="AK577">
        <v>0</v>
      </c>
      <c r="AL577">
        <v>11</v>
      </c>
      <c r="AM577">
        <v>2</v>
      </c>
      <c r="AN577">
        <v>0.1</v>
      </c>
      <c r="AO577">
        <v>0</v>
      </c>
      <c r="AP577">
        <v>26</v>
      </c>
      <c r="AQ577" s="21">
        <f t="shared" si="78"/>
        <v>4</v>
      </c>
      <c r="AR577" s="12">
        <f t="shared" si="76"/>
        <v>100.1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 s="6">
        <f t="shared" si="77"/>
        <v>3</v>
      </c>
      <c r="BM577" s="6">
        <f t="shared" si="75"/>
        <v>3</v>
      </c>
      <c r="BN577">
        <v>59</v>
      </c>
      <c r="BO577">
        <f t="shared" si="79"/>
        <v>59</v>
      </c>
      <c r="BP577">
        <v>0</v>
      </c>
      <c r="BQ577">
        <f>SUM(BP577,BB577,BK577)</f>
        <v>0</v>
      </c>
      <c r="BR577">
        <f t="shared" si="80"/>
        <v>0</v>
      </c>
    </row>
    <row r="578" spans="1:70" hidden="1">
      <c r="A578" s="16" t="str">
        <f t="shared" ref="A578:A641" si="81">_xlfn.CONCAT(B578,"_",F578, "_",H578, "_",I578,"_",J578)</f>
        <v>BB_2025_UPZ_1_2</v>
      </c>
      <c r="B578" t="s">
        <v>67</v>
      </c>
      <c r="C578">
        <v>44.830300000000001</v>
      </c>
      <c r="D578">
        <v>-124.0607</v>
      </c>
      <c r="E578" s="8">
        <v>45848</v>
      </c>
      <c r="F578">
        <v>2025</v>
      </c>
      <c r="G578" t="s">
        <v>64</v>
      </c>
      <c r="H578" t="s">
        <v>45</v>
      </c>
      <c r="I578">
        <v>1</v>
      </c>
      <c r="J578">
        <v>2</v>
      </c>
      <c r="K578" t="s">
        <v>46</v>
      </c>
      <c r="L578" s="23">
        <v>23</v>
      </c>
      <c r="M578" s="23">
        <v>23</v>
      </c>
      <c r="N578" s="23">
        <v>0</v>
      </c>
      <c r="O578" s="23">
        <v>0</v>
      </c>
      <c r="P578" s="23">
        <v>2</v>
      </c>
      <c r="Q578" s="23" t="s">
        <v>44</v>
      </c>
      <c r="R578" s="23">
        <v>0</v>
      </c>
      <c r="S578" s="23">
        <v>0</v>
      </c>
      <c r="T578" s="23">
        <v>2</v>
      </c>
      <c r="U578" s="23">
        <v>25</v>
      </c>
      <c r="AG578" s="34">
        <v>10</v>
      </c>
      <c r="AH578">
        <v>7</v>
      </c>
      <c r="AI578">
        <v>31</v>
      </c>
      <c r="AJ578">
        <v>0</v>
      </c>
      <c r="AK578">
        <v>0</v>
      </c>
      <c r="AL578">
        <v>22</v>
      </c>
      <c r="AM578">
        <v>4</v>
      </c>
      <c r="AN578">
        <v>0</v>
      </c>
      <c r="AO578">
        <v>0</v>
      </c>
      <c r="AP578">
        <v>36</v>
      </c>
      <c r="AQ578" s="21">
        <f t="shared" si="78"/>
        <v>26</v>
      </c>
      <c r="AR578" s="12">
        <f t="shared" si="76"/>
        <v>100</v>
      </c>
      <c r="AS578">
        <v>0</v>
      </c>
      <c r="AT578">
        <v>66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 s="6">
        <f t="shared" si="77"/>
        <v>67</v>
      </c>
      <c r="BM578" s="6">
        <f t="shared" ref="BM578:BM629" si="82">SUM(AS578:BJ578)</f>
        <v>67</v>
      </c>
      <c r="BN578">
        <v>31</v>
      </c>
      <c r="BO578">
        <f t="shared" si="79"/>
        <v>31</v>
      </c>
      <c r="BP578">
        <v>0</v>
      </c>
      <c r="BQ578">
        <f>SUM(BP578,BB578,BK578)</f>
        <v>0</v>
      </c>
      <c r="BR578">
        <f t="shared" si="80"/>
        <v>0</v>
      </c>
    </row>
    <row r="579" spans="1:70" hidden="1">
      <c r="A579" s="16" t="str">
        <f t="shared" si="81"/>
        <v>BB_2025_UPZ_1_3</v>
      </c>
      <c r="B579" t="s">
        <v>67</v>
      </c>
      <c r="C579">
        <v>44.830300000000001</v>
      </c>
      <c r="D579">
        <v>-124.0607</v>
      </c>
      <c r="E579" s="8">
        <v>45848</v>
      </c>
      <c r="F579">
        <v>2025</v>
      </c>
      <c r="G579" t="s">
        <v>64</v>
      </c>
      <c r="H579" t="s">
        <v>45</v>
      </c>
      <c r="I579">
        <v>1</v>
      </c>
      <c r="J579">
        <v>3</v>
      </c>
      <c r="K579" t="s">
        <v>46</v>
      </c>
      <c r="L579" s="23">
        <v>15</v>
      </c>
      <c r="M579" s="23">
        <v>3</v>
      </c>
      <c r="N579" s="23">
        <v>3</v>
      </c>
      <c r="O579" s="23">
        <v>9</v>
      </c>
      <c r="P579" s="23">
        <v>1</v>
      </c>
      <c r="Q579" s="23" t="s">
        <v>44</v>
      </c>
      <c r="R579" s="23">
        <v>0</v>
      </c>
      <c r="S579" s="23">
        <v>0</v>
      </c>
      <c r="T579" s="23">
        <v>0</v>
      </c>
      <c r="U579" s="23">
        <v>3</v>
      </c>
      <c r="AG579" s="34">
        <v>12</v>
      </c>
      <c r="AH579">
        <v>1</v>
      </c>
      <c r="AI579">
        <v>16</v>
      </c>
      <c r="AJ579">
        <v>0</v>
      </c>
      <c r="AK579">
        <v>6</v>
      </c>
      <c r="AL579">
        <v>8</v>
      </c>
      <c r="AM579">
        <v>2</v>
      </c>
      <c r="AN579">
        <v>0.1</v>
      </c>
      <c r="AO579">
        <v>7</v>
      </c>
      <c r="AP579">
        <v>60</v>
      </c>
      <c r="AQ579" s="21">
        <f t="shared" si="78"/>
        <v>48</v>
      </c>
      <c r="AR579" s="12">
        <f t="shared" ref="AR579:AR630" si="83">SUM(AH579:AP579)</f>
        <v>100.1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8</v>
      </c>
      <c r="AY579">
        <v>0</v>
      </c>
      <c r="AZ579">
        <v>14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 s="6">
        <f t="shared" ref="BL579:BL642" si="84">SUM(AS579:AT579,AV579:AW579,AX579:BA579,BC579:BF579,BJ579)</f>
        <v>22</v>
      </c>
      <c r="BM579" s="6">
        <f t="shared" si="82"/>
        <v>22</v>
      </c>
      <c r="BN579">
        <v>16</v>
      </c>
      <c r="BO579">
        <f t="shared" si="79"/>
        <v>16</v>
      </c>
      <c r="BP579">
        <v>0</v>
      </c>
      <c r="BQ579">
        <f>SUM(BP579,BB579,BK579)</f>
        <v>0</v>
      </c>
      <c r="BR579">
        <f t="shared" si="80"/>
        <v>0</v>
      </c>
    </row>
    <row r="580" spans="1:70" hidden="1">
      <c r="A580" s="16" t="str">
        <f t="shared" si="81"/>
        <v>BB_2025_UPZ_1_4</v>
      </c>
      <c r="B580" t="s">
        <v>67</v>
      </c>
      <c r="C580">
        <v>44.830300000000001</v>
      </c>
      <c r="D580">
        <v>-124.0607</v>
      </c>
      <c r="E580" s="8">
        <v>45848</v>
      </c>
      <c r="F580">
        <v>2025</v>
      </c>
      <c r="G580" t="s">
        <v>64</v>
      </c>
      <c r="H580" t="s">
        <v>45</v>
      </c>
      <c r="I580">
        <v>1</v>
      </c>
      <c r="J580">
        <v>4</v>
      </c>
      <c r="K580" t="s">
        <v>46</v>
      </c>
      <c r="L580" s="23">
        <v>59</v>
      </c>
      <c r="M580" s="23">
        <v>59</v>
      </c>
      <c r="N580" s="23">
        <v>0</v>
      </c>
      <c r="O580" s="23">
        <v>0</v>
      </c>
      <c r="P580" s="23">
        <v>4</v>
      </c>
      <c r="Q580" s="23" t="s">
        <v>44</v>
      </c>
      <c r="R580" s="23">
        <v>0</v>
      </c>
      <c r="S580" s="23">
        <v>0</v>
      </c>
      <c r="T580" s="23">
        <v>0</v>
      </c>
      <c r="U580" s="23">
        <v>59</v>
      </c>
      <c r="AG580" s="34">
        <v>39</v>
      </c>
      <c r="AH580">
        <v>0.1</v>
      </c>
      <c r="AI580">
        <v>28</v>
      </c>
      <c r="AJ580">
        <v>0</v>
      </c>
      <c r="AK580">
        <v>0</v>
      </c>
      <c r="AL580">
        <v>43</v>
      </c>
      <c r="AM580">
        <v>3</v>
      </c>
      <c r="AN580">
        <v>1</v>
      </c>
      <c r="AO580">
        <v>0</v>
      </c>
      <c r="AP580">
        <v>25</v>
      </c>
      <c r="AQ580" s="21">
        <f t="shared" si="78"/>
        <v>-14</v>
      </c>
      <c r="AR580" s="12">
        <f t="shared" si="83"/>
        <v>100.1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 s="6">
        <f t="shared" si="84"/>
        <v>1</v>
      </c>
      <c r="BM580" s="6">
        <f t="shared" si="82"/>
        <v>1</v>
      </c>
      <c r="BN580">
        <v>28</v>
      </c>
      <c r="BO580">
        <f t="shared" si="79"/>
        <v>28</v>
      </c>
      <c r="BP580">
        <v>0</v>
      </c>
      <c r="BQ580">
        <f>SUM(BP580,BB580,BK580)</f>
        <v>0</v>
      </c>
      <c r="BR580">
        <f t="shared" si="80"/>
        <v>0</v>
      </c>
    </row>
    <row r="581" spans="1:70" hidden="1">
      <c r="A581" s="16" t="str">
        <f t="shared" si="81"/>
        <v>BB_2025_UPZ_1_5</v>
      </c>
      <c r="B581" t="s">
        <v>67</v>
      </c>
      <c r="C581">
        <v>44.830300000000001</v>
      </c>
      <c r="D581">
        <v>-124.0607</v>
      </c>
      <c r="E581" s="8">
        <v>45848</v>
      </c>
      <c r="F581">
        <v>2025</v>
      </c>
      <c r="G581" t="s">
        <v>64</v>
      </c>
      <c r="H581" t="s">
        <v>45</v>
      </c>
      <c r="I581">
        <v>1</v>
      </c>
      <c r="J581">
        <v>5</v>
      </c>
      <c r="K581" t="s">
        <v>46</v>
      </c>
      <c r="L581" s="23">
        <v>33</v>
      </c>
      <c r="M581" s="23">
        <v>23</v>
      </c>
      <c r="N581" s="23">
        <v>0</v>
      </c>
      <c r="O581" s="23">
        <v>5</v>
      </c>
      <c r="P581" s="23">
        <v>1</v>
      </c>
      <c r="Q581" s="23" t="s">
        <v>44</v>
      </c>
      <c r="R581" s="23">
        <v>0</v>
      </c>
      <c r="S581" s="23">
        <v>0</v>
      </c>
      <c r="T581" s="23">
        <v>2</v>
      </c>
      <c r="U581" s="23">
        <v>30</v>
      </c>
      <c r="AG581" s="34">
        <v>17</v>
      </c>
      <c r="AH581">
        <v>0.1</v>
      </c>
      <c r="AI581">
        <v>73</v>
      </c>
      <c r="AJ581">
        <v>0</v>
      </c>
      <c r="AK581">
        <v>0.1</v>
      </c>
      <c r="AL581">
        <v>10</v>
      </c>
      <c r="AM581">
        <v>2</v>
      </c>
      <c r="AN581">
        <v>15</v>
      </c>
      <c r="AO581">
        <v>0.1</v>
      </c>
      <c r="AP581">
        <v>0.1</v>
      </c>
      <c r="AQ581" s="21">
        <f t="shared" si="78"/>
        <v>-16.899999999999999</v>
      </c>
      <c r="AR581" s="12">
        <f t="shared" si="83"/>
        <v>100.39999999999998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 s="6">
        <f t="shared" si="84"/>
        <v>2</v>
      </c>
      <c r="BM581" s="6">
        <f t="shared" si="82"/>
        <v>2</v>
      </c>
      <c r="BN581">
        <v>73</v>
      </c>
      <c r="BO581">
        <f t="shared" si="79"/>
        <v>73</v>
      </c>
      <c r="BP581">
        <v>0</v>
      </c>
      <c r="BQ581">
        <f>SUM(BP581,BB581,BK581)</f>
        <v>0</v>
      </c>
      <c r="BR581">
        <f t="shared" si="80"/>
        <v>0</v>
      </c>
    </row>
    <row r="582" spans="1:70" hidden="1">
      <c r="A582" s="16" t="str">
        <f t="shared" si="81"/>
        <v>BB_2025_UPZ_2_1</v>
      </c>
      <c r="B582" t="s">
        <v>67</v>
      </c>
      <c r="C582">
        <v>44.830300000000001</v>
      </c>
      <c r="D582">
        <v>-124.0607</v>
      </c>
      <c r="E582" s="8">
        <v>45848</v>
      </c>
      <c r="F582">
        <v>2025</v>
      </c>
      <c r="G582" t="s">
        <v>64</v>
      </c>
      <c r="H582" t="s">
        <v>45</v>
      </c>
      <c r="I582">
        <v>2</v>
      </c>
      <c r="J582">
        <v>1</v>
      </c>
      <c r="K582" t="s">
        <v>43</v>
      </c>
      <c r="L582" s="23">
        <v>5</v>
      </c>
      <c r="M582" s="23">
        <v>4</v>
      </c>
      <c r="N582" s="23">
        <v>0</v>
      </c>
      <c r="O582" s="23">
        <v>1</v>
      </c>
      <c r="P582" s="23">
        <v>0</v>
      </c>
      <c r="Q582" s="23" t="s">
        <v>44</v>
      </c>
      <c r="R582" s="23">
        <v>0</v>
      </c>
      <c r="S582" s="23">
        <v>0</v>
      </c>
      <c r="T582" s="23">
        <v>11</v>
      </c>
      <c r="U582" s="23">
        <v>15</v>
      </c>
      <c r="AG582" s="34">
        <v>2</v>
      </c>
      <c r="AH582">
        <v>0.1</v>
      </c>
      <c r="AI582">
        <v>17</v>
      </c>
      <c r="AJ582">
        <v>0</v>
      </c>
      <c r="AK582">
        <v>21</v>
      </c>
      <c r="AL582">
        <v>1</v>
      </c>
      <c r="AM582">
        <v>0.1</v>
      </c>
      <c r="AN582">
        <v>0</v>
      </c>
      <c r="AO582">
        <v>58</v>
      </c>
      <c r="AP582">
        <v>3</v>
      </c>
      <c r="AQ582" s="21">
        <f t="shared" si="78"/>
        <v>1</v>
      </c>
      <c r="AR582" s="12">
        <f t="shared" si="83"/>
        <v>100.2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0.1</v>
      </c>
      <c r="AY582">
        <v>0</v>
      </c>
      <c r="AZ582">
        <v>49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 s="6">
        <f t="shared" si="84"/>
        <v>49.1</v>
      </c>
      <c r="BM582" s="6">
        <f t="shared" si="82"/>
        <v>49.1</v>
      </c>
      <c r="BN582">
        <v>17</v>
      </c>
      <c r="BO582">
        <f t="shared" si="79"/>
        <v>17</v>
      </c>
      <c r="BP582">
        <v>0</v>
      </c>
      <c r="BQ582">
        <f>SUM(BP582,BB582,BK582)</f>
        <v>0</v>
      </c>
      <c r="BR582">
        <f t="shared" si="80"/>
        <v>0</v>
      </c>
    </row>
    <row r="583" spans="1:70" hidden="1">
      <c r="A583" s="16" t="str">
        <f t="shared" si="81"/>
        <v>BB_2025_UPZ_2_2</v>
      </c>
      <c r="B583" t="s">
        <v>67</v>
      </c>
      <c r="C583">
        <v>44.830300000000001</v>
      </c>
      <c r="D583">
        <v>-124.0607</v>
      </c>
      <c r="E583" s="8">
        <v>45848</v>
      </c>
      <c r="F583">
        <v>2025</v>
      </c>
      <c r="G583" t="s">
        <v>64</v>
      </c>
      <c r="H583" t="s">
        <v>45</v>
      </c>
      <c r="I583">
        <v>2</v>
      </c>
      <c r="J583">
        <v>2</v>
      </c>
      <c r="K583" t="s">
        <v>43</v>
      </c>
      <c r="L583" s="23">
        <v>18</v>
      </c>
      <c r="M583" s="23">
        <v>18</v>
      </c>
      <c r="N583" s="23">
        <v>0</v>
      </c>
      <c r="O583" s="23">
        <v>0</v>
      </c>
      <c r="P583" s="23">
        <v>6</v>
      </c>
      <c r="Q583" s="23" t="s">
        <v>44</v>
      </c>
      <c r="R583" s="23">
        <v>0</v>
      </c>
      <c r="S583" s="23">
        <v>0</v>
      </c>
      <c r="T583" s="23">
        <v>3</v>
      </c>
      <c r="U583" s="23">
        <v>21</v>
      </c>
      <c r="AG583" s="34">
        <v>9</v>
      </c>
      <c r="AH583">
        <v>1</v>
      </c>
      <c r="AI583">
        <v>45</v>
      </c>
      <c r="AJ583">
        <v>1</v>
      </c>
      <c r="AK583">
        <v>0</v>
      </c>
      <c r="AL583">
        <v>16</v>
      </c>
      <c r="AM583">
        <v>2</v>
      </c>
      <c r="AN583">
        <v>0.1</v>
      </c>
      <c r="AO583">
        <v>0</v>
      </c>
      <c r="AP583">
        <v>35</v>
      </c>
      <c r="AQ583" s="21">
        <f t="shared" si="78"/>
        <v>26</v>
      </c>
      <c r="AR583" s="12">
        <f t="shared" si="83"/>
        <v>100.1</v>
      </c>
      <c r="AS583">
        <v>1</v>
      </c>
      <c r="AT583">
        <v>14</v>
      </c>
      <c r="AU583">
        <v>0</v>
      </c>
      <c r="AV583">
        <v>0</v>
      </c>
      <c r="AW583">
        <v>0</v>
      </c>
      <c r="AX583">
        <v>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 s="6">
        <f t="shared" si="84"/>
        <v>17</v>
      </c>
      <c r="BM583" s="6">
        <f t="shared" si="82"/>
        <v>17</v>
      </c>
      <c r="BN583">
        <v>45</v>
      </c>
      <c r="BO583">
        <f t="shared" si="79"/>
        <v>45</v>
      </c>
      <c r="BP583">
        <v>1</v>
      </c>
      <c r="BQ583">
        <f>SUM(BP583,BB583,BK583)</f>
        <v>1</v>
      </c>
      <c r="BR583">
        <f t="shared" si="80"/>
        <v>0</v>
      </c>
    </row>
    <row r="584" spans="1:70" hidden="1">
      <c r="A584" s="16" t="str">
        <f t="shared" si="81"/>
        <v>BB_2025_UPZ_2_3</v>
      </c>
      <c r="B584" t="s">
        <v>67</v>
      </c>
      <c r="C584">
        <v>44.830300000000001</v>
      </c>
      <c r="D584">
        <v>-124.0607</v>
      </c>
      <c r="E584" s="8">
        <v>45848</v>
      </c>
      <c r="F584">
        <v>2025</v>
      </c>
      <c r="G584" t="s">
        <v>64</v>
      </c>
      <c r="H584" t="s">
        <v>45</v>
      </c>
      <c r="I584">
        <v>2</v>
      </c>
      <c r="J584">
        <v>3</v>
      </c>
      <c r="K584" t="s">
        <v>43</v>
      </c>
      <c r="L584" s="23">
        <v>13</v>
      </c>
      <c r="M584" s="23">
        <v>13</v>
      </c>
      <c r="N584" s="23">
        <v>0</v>
      </c>
      <c r="O584" s="23">
        <v>0</v>
      </c>
      <c r="P584" s="23">
        <v>0</v>
      </c>
      <c r="Q584" s="23" t="s">
        <v>44</v>
      </c>
      <c r="R584" s="23">
        <v>0</v>
      </c>
      <c r="S584" s="23">
        <v>0</v>
      </c>
      <c r="T584" s="23">
        <v>6</v>
      </c>
      <c r="U584" s="23">
        <v>19</v>
      </c>
      <c r="AG584" s="34">
        <v>10</v>
      </c>
      <c r="AH584">
        <v>2</v>
      </c>
      <c r="AI584">
        <v>61</v>
      </c>
      <c r="AJ584">
        <v>6</v>
      </c>
      <c r="AK584">
        <v>0</v>
      </c>
      <c r="AL584">
        <v>12</v>
      </c>
      <c r="AM584">
        <v>2</v>
      </c>
      <c r="AN584">
        <v>0</v>
      </c>
      <c r="AO584">
        <v>0</v>
      </c>
      <c r="AP584">
        <v>17</v>
      </c>
      <c r="AQ584" s="21">
        <f t="shared" si="78"/>
        <v>7</v>
      </c>
      <c r="AR584" s="12">
        <f t="shared" si="83"/>
        <v>100</v>
      </c>
      <c r="AS584">
        <v>0</v>
      </c>
      <c r="AT584">
        <v>9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 s="6">
        <f t="shared" si="84"/>
        <v>10</v>
      </c>
      <c r="BM584" s="6">
        <f t="shared" si="82"/>
        <v>10</v>
      </c>
      <c r="BN584">
        <v>61</v>
      </c>
      <c r="BO584">
        <f t="shared" si="79"/>
        <v>61</v>
      </c>
      <c r="BP584">
        <v>6</v>
      </c>
      <c r="BQ584">
        <f>SUM(BP584,BB584,BK584)</f>
        <v>6</v>
      </c>
      <c r="BR584">
        <f t="shared" si="80"/>
        <v>0</v>
      </c>
    </row>
    <row r="585" spans="1:70" hidden="1">
      <c r="A585" s="16" t="str">
        <f t="shared" si="81"/>
        <v>BB_2025_UPZ_2_4</v>
      </c>
      <c r="B585" t="s">
        <v>67</v>
      </c>
      <c r="C585">
        <v>44.830300000000001</v>
      </c>
      <c r="D585">
        <v>-124.0607</v>
      </c>
      <c r="E585" s="8">
        <v>45848</v>
      </c>
      <c r="F585">
        <v>2025</v>
      </c>
      <c r="G585" t="s">
        <v>64</v>
      </c>
      <c r="H585" t="s">
        <v>45</v>
      </c>
      <c r="I585">
        <v>2</v>
      </c>
      <c r="J585">
        <v>4</v>
      </c>
      <c r="K585" t="s">
        <v>43</v>
      </c>
      <c r="L585" s="23">
        <v>28</v>
      </c>
      <c r="M585" s="23">
        <v>28</v>
      </c>
      <c r="N585" s="23">
        <v>0</v>
      </c>
      <c r="O585" s="23">
        <v>0</v>
      </c>
      <c r="P585" s="23">
        <v>1</v>
      </c>
      <c r="Q585" s="23" t="s">
        <v>44</v>
      </c>
      <c r="R585" s="23">
        <v>0</v>
      </c>
      <c r="S585" s="23">
        <v>0</v>
      </c>
      <c r="T585" s="23">
        <v>1</v>
      </c>
      <c r="U585" s="23">
        <v>29</v>
      </c>
      <c r="AG585" s="34">
        <v>19</v>
      </c>
      <c r="AH585">
        <v>0.1</v>
      </c>
      <c r="AI585">
        <v>30</v>
      </c>
      <c r="AJ585">
        <v>0.1</v>
      </c>
      <c r="AK585">
        <v>0</v>
      </c>
      <c r="AL585">
        <v>6</v>
      </c>
      <c r="AM585">
        <v>0.1</v>
      </c>
      <c r="AN585">
        <v>1</v>
      </c>
      <c r="AO585">
        <v>0.1</v>
      </c>
      <c r="AP585">
        <v>63</v>
      </c>
      <c r="AQ585" s="21">
        <f t="shared" si="78"/>
        <v>44</v>
      </c>
      <c r="AR585" s="12">
        <f t="shared" si="83"/>
        <v>100.4</v>
      </c>
      <c r="AS585">
        <v>0</v>
      </c>
      <c r="AT585">
        <v>0.1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 s="6">
        <f t="shared" si="84"/>
        <v>0.1</v>
      </c>
      <c r="BM585" s="6">
        <f t="shared" si="82"/>
        <v>0.1</v>
      </c>
      <c r="BN585">
        <v>30</v>
      </c>
      <c r="BO585">
        <f t="shared" si="79"/>
        <v>30</v>
      </c>
      <c r="BP585">
        <v>0.1</v>
      </c>
      <c r="BQ585">
        <f>SUM(BP585,BB585,BK585)</f>
        <v>0.1</v>
      </c>
      <c r="BR585">
        <f t="shared" si="80"/>
        <v>0</v>
      </c>
    </row>
    <row r="586" spans="1:70" hidden="1">
      <c r="A586" s="16" t="str">
        <f t="shared" si="81"/>
        <v>BB_2025_UPZ_2_5</v>
      </c>
      <c r="B586" t="s">
        <v>67</v>
      </c>
      <c r="C586">
        <v>44.830300000000001</v>
      </c>
      <c r="D586">
        <v>-124.0607</v>
      </c>
      <c r="E586" s="8">
        <v>45848</v>
      </c>
      <c r="F586">
        <v>2025</v>
      </c>
      <c r="G586" t="s">
        <v>64</v>
      </c>
      <c r="H586" t="s">
        <v>45</v>
      </c>
      <c r="I586">
        <v>2</v>
      </c>
      <c r="J586">
        <v>5</v>
      </c>
      <c r="K586" t="s">
        <v>43</v>
      </c>
      <c r="L586" s="23">
        <v>3</v>
      </c>
      <c r="M586" s="23">
        <v>3</v>
      </c>
      <c r="N586" s="23">
        <v>0</v>
      </c>
      <c r="O586" s="23">
        <v>0</v>
      </c>
      <c r="P586" s="23">
        <v>0</v>
      </c>
      <c r="Q586" s="23" t="s">
        <v>44</v>
      </c>
      <c r="R586" s="23">
        <v>0</v>
      </c>
      <c r="S586" s="23">
        <v>0</v>
      </c>
      <c r="T586" s="23">
        <v>2</v>
      </c>
      <c r="U586" s="23">
        <v>5</v>
      </c>
      <c r="AG586" s="34">
        <v>1</v>
      </c>
      <c r="AH586">
        <v>5</v>
      </c>
      <c r="AI586">
        <v>82</v>
      </c>
      <c r="AJ586">
        <v>0</v>
      </c>
      <c r="AK586">
        <v>0</v>
      </c>
      <c r="AL586">
        <v>7</v>
      </c>
      <c r="AM586">
        <v>2</v>
      </c>
      <c r="AN586">
        <v>0.1</v>
      </c>
      <c r="AO586">
        <v>0.1</v>
      </c>
      <c r="AP586">
        <v>4</v>
      </c>
      <c r="AQ586" s="21">
        <f t="shared" si="78"/>
        <v>3</v>
      </c>
      <c r="AR586" s="12">
        <f t="shared" si="83"/>
        <v>100.19999999999999</v>
      </c>
      <c r="AS586">
        <v>8</v>
      </c>
      <c r="AT586">
        <v>57</v>
      </c>
      <c r="AU586">
        <v>0</v>
      </c>
      <c r="AV586">
        <v>0</v>
      </c>
      <c r="AW586">
        <v>0</v>
      </c>
      <c r="AX586">
        <v>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 s="6">
        <f t="shared" si="84"/>
        <v>70</v>
      </c>
      <c r="BM586" s="6">
        <f t="shared" si="82"/>
        <v>70</v>
      </c>
      <c r="BN586">
        <v>82</v>
      </c>
      <c r="BO586">
        <f t="shared" si="79"/>
        <v>82</v>
      </c>
      <c r="BP586">
        <v>0</v>
      </c>
      <c r="BQ586">
        <f>SUM(BP586,BB586,BK586)</f>
        <v>0</v>
      </c>
      <c r="BR586">
        <f t="shared" si="80"/>
        <v>0</v>
      </c>
    </row>
    <row r="587" spans="1:70" hidden="1">
      <c r="A587" s="16" t="str">
        <f t="shared" si="81"/>
        <v>BB_2025_NPZ_1_1</v>
      </c>
      <c r="B587" t="s">
        <v>67</v>
      </c>
      <c r="C587">
        <v>44.830300000000001</v>
      </c>
      <c r="D587">
        <v>-124.0607</v>
      </c>
      <c r="E587" s="8">
        <v>45848</v>
      </c>
      <c r="F587">
        <v>2025</v>
      </c>
      <c r="G587" t="s">
        <v>64</v>
      </c>
      <c r="H587" t="s">
        <v>48</v>
      </c>
      <c r="I587">
        <v>1</v>
      </c>
      <c r="J587">
        <v>1</v>
      </c>
      <c r="K587" t="s">
        <v>47</v>
      </c>
      <c r="L587" s="23">
        <v>8</v>
      </c>
      <c r="M587" s="23">
        <v>0</v>
      </c>
      <c r="N587" s="23">
        <v>8</v>
      </c>
      <c r="O587" s="23">
        <v>0</v>
      </c>
      <c r="P587" s="23">
        <v>0</v>
      </c>
      <c r="Q587" s="23" t="s">
        <v>44</v>
      </c>
      <c r="R587" s="23">
        <v>0</v>
      </c>
      <c r="S587" s="23">
        <v>0</v>
      </c>
      <c r="T587" s="23">
        <v>0</v>
      </c>
      <c r="U587" s="23">
        <v>0</v>
      </c>
      <c r="V587" s="18">
        <v>7.3</v>
      </c>
      <c r="W587" s="18">
        <v>5.5</v>
      </c>
      <c r="X587" s="18">
        <v>2.7</v>
      </c>
      <c r="Y587" s="18">
        <v>5.8</v>
      </c>
      <c r="Z587" s="18">
        <v>7.5</v>
      </c>
      <c r="AG587" s="34">
        <v>8</v>
      </c>
      <c r="AH587">
        <v>0.1</v>
      </c>
      <c r="AI587">
        <v>24</v>
      </c>
      <c r="AJ587">
        <v>11</v>
      </c>
      <c r="AK587">
        <v>0</v>
      </c>
      <c r="AL587">
        <v>11</v>
      </c>
      <c r="AM587">
        <v>8</v>
      </c>
      <c r="AN587">
        <v>0</v>
      </c>
      <c r="AO587">
        <v>6</v>
      </c>
      <c r="AP587">
        <v>40</v>
      </c>
      <c r="AQ587" s="21">
        <f t="shared" si="78"/>
        <v>32</v>
      </c>
      <c r="AR587" s="12">
        <f t="shared" si="83"/>
        <v>100.1</v>
      </c>
      <c r="AS587">
        <v>1</v>
      </c>
      <c r="AT587">
        <v>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 s="6">
        <f t="shared" si="84"/>
        <v>4</v>
      </c>
      <c r="BM587" s="6">
        <f t="shared" si="82"/>
        <v>4</v>
      </c>
      <c r="BN587">
        <v>24</v>
      </c>
      <c r="BO587">
        <f t="shared" si="79"/>
        <v>24</v>
      </c>
      <c r="BP587">
        <v>11</v>
      </c>
      <c r="BQ587">
        <f>SUM(BP587,BB587,BK587)</f>
        <v>11</v>
      </c>
      <c r="BR587">
        <f t="shared" si="80"/>
        <v>0</v>
      </c>
    </row>
    <row r="588" spans="1:70" hidden="1">
      <c r="A588" s="16" t="str">
        <f t="shared" si="81"/>
        <v>BB_2025_NPZ_1_2</v>
      </c>
      <c r="B588" t="s">
        <v>67</v>
      </c>
      <c r="C588">
        <v>44.830300000000001</v>
      </c>
      <c r="D588">
        <v>-124.0607</v>
      </c>
      <c r="E588" s="8">
        <v>45848</v>
      </c>
      <c r="F588">
        <v>2025</v>
      </c>
      <c r="G588" t="s">
        <v>64</v>
      </c>
      <c r="H588" t="s">
        <v>48</v>
      </c>
      <c r="I588">
        <v>1</v>
      </c>
      <c r="J588">
        <v>2</v>
      </c>
      <c r="K588" t="s">
        <v>47</v>
      </c>
      <c r="L588" s="23">
        <v>4</v>
      </c>
      <c r="M588" s="23">
        <v>0</v>
      </c>
      <c r="N588" s="23">
        <v>3</v>
      </c>
      <c r="O588" s="23">
        <v>1</v>
      </c>
      <c r="P588" s="23">
        <v>0</v>
      </c>
      <c r="Q588" s="23" t="s">
        <v>44</v>
      </c>
      <c r="R588" s="23">
        <v>0</v>
      </c>
      <c r="S588" s="23">
        <v>0</v>
      </c>
      <c r="T588" s="23">
        <v>0</v>
      </c>
      <c r="U588" s="23">
        <v>0</v>
      </c>
      <c r="V588" s="18">
        <v>6.9</v>
      </c>
      <c r="W588" s="18">
        <v>5.8</v>
      </c>
      <c r="X588" s="18">
        <v>6.6</v>
      </c>
      <c r="Y588" s="18" t="s">
        <v>44</v>
      </c>
      <c r="Z588" s="18" t="s">
        <v>44</v>
      </c>
      <c r="AG588" s="34">
        <v>2</v>
      </c>
      <c r="AH588">
        <v>1</v>
      </c>
      <c r="AI588">
        <v>22</v>
      </c>
      <c r="AJ588">
        <v>16</v>
      </c>
      <c r="AK588">
        <v>0</v>
      </c>
      <c r="AL588">
        <v>8</v>
      </c>
      <c r="AM588">
        <v>3</v>
      </c>
      <c r="AN588">
        <v>1</v>
      </c>
      <c r="AO588">
        <v>39</v>
      </c>
      <c r="AP588">
        <v>10</v>
      </c>
      <c r="AQ588" s="21">
        <f t="shared" si="78"/>
        <v>8</v>
      </c>
      <c r="AR588" s="12">
        <f t="shared" si="83"/>
        <v>100</v>
      </c>
      <c r="AS588">
        <v>9</v>
      </c>
      <c r="AT588">
        <v>15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0.1</v>
      </c>
      <c r="BA588">
        <v>0</v>
      </c>
      <c r="BB588">
        <v>0</v>
      </c>
      <c r="BC588">
        <v>0</v>
      </c>
      <c r="BD588">
        <v>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 s="6">
        <f t="shared" si="84"/>
        <v>30.1</v>
      </c>
      <c r="BM588" s="6">
        <f t="shared" si="82"/>
        <v>30.1</v>
      </c>
      <c r="BN588">
        <v>22</v>
      </c>
      <c r="BO588">
        <f t="shared" si="79"/>
        <v>22</v>
      </c>
      <c r="BP588">
        <v>16</v>
      </c>
      <c r="BQ588">
        <f>SUM(BP588,BB588,BK588)</f>
        <v>16</v>
      </c>
      <c r="BR588">
        <f t="shared" si="80"/>
        <v>0</v>
      </c>
    </row>
    <row r="589" spans="1:70" hidden="1">
      <c r="A589" s="16" t="str">
        <f t="shared" si="81"/>
        <v>BB_2025_NPZ_1_3</v>
      </c>
      <c r="B589" t="s">
        <v>67</v>
      </c>
      <c r="C589">
        <v>44.830300000000001</v>
      </c>
      <c r="D589">
        <v>-124.0607</v>
      </c>
      <c r="E589" s="8">
        <v>45848</v>
      </c>
      <c r="F589">
        <v>2025</v>
      </c>
      <c r="G589" t="s">
        <v>64</v>
      </c>
      <c r="H589" t="s">
        <v>48</v>
      </c>
      <c r="I589">
        <v>1</v>
      </c>
      <c r="J589">
        <v>3</v>
      </c>
      <c r="K589" t="s">
        <v>47</v>
      </c>
      <c r="L589" s="23">
        <v>15</v>
      </c>
      <c r="M589" s="23">
        <v>0</v>
      </c>
      <c r="N589" s="23">
        <v>11</v>
      </c>
      <c r="O589" s="23">
        <v>4</v>
      </c>
      <c r="P589" s="23">
        <v>0</v>
      </c>
      <c r="Q589" s="23" t="s">
        <v>44</v>
      </c>
      <c r="R589" s="23">
        <v>0</v>
      </c>
      <c r="S589" s="23">
        <v>0</v>
      </c>
      <c r="T589" s="23">
        <v>0</v>
      </c>
      <c r="U589" s="23">
        <v>0</v>
      </c>
      <c r="V589" s="18">
        <v>7.3</v>
      </c>
      <c r="W589" s="18">
        <v>7.6</v>
      </c>
      <c r="X589" s="18">
        <v>7.8</v>
      </c>
      <c r="Y589" s="18">
        <v>7.2</v>
      </c>
      <c r="Z589" s="18">
        <v>6.9</v>
      </c>
      <c r="AG589" s="34">
        <v>11</v>
      </c>
      <c r="AH589">
        <v>0</v>
      </c>
      <c r="AI589">
        <v>8</v>
      </c>
      <c r="AJ589">
        <v>2</v>
      </c>
      <c r="AK589">
        <v>0</v>
      </c>
      <c r="AL589">
        <v>2</v>
      </c>
      <c r="AM589">
        <v>5</v>
      </c>
      <c r="AN589">
        <v>0</v>
      </c>
      <c r="AO589">
        <v>0.1</v>
      </c>
      <c r="AP589">
        <v>83</v>
      </c>
      <c r="AQ589" s="21">
        <f t="shared" si="78"/>
        <v>72</v>
      </c>
      <c r="AR589" s="12">
        <f t="shared" si="83"/>
        <v>100.1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 s="6">
        <f t="shared" si="84"/>
        <v>0</v>
      </c>
      <c r="BM589" s="6">
        <f t="shared" si="82"/>
        <v>0</v>
      </c>
      <c r="BN589">
        <v>8</v>
      </c>
      <c r="BO589">
        <f t="shared" si="79"/>
        <v>8</v>
      </c>
      <c r="BP589">
        <v>2</v>
      </c>
      <c r="BQ589">
        <f>SUM(BP589,BB589,BK589)</f>
        <v>2</v>
      </c>
      <c r="BR589">
        <f t="shared" si="80"/>
        <v>0</v>
      </c>
    </row>
    <row r="590" spans="1:70" hidden="1">
      <c r="A590" s="16" t="str">
        <f t="shared" si="81"/>
        <v>BB_2025_NPZ_1_4</v>
      </c>
      <c r="B590" t="s">
        <v>67</v>
      </c>
      <c r="C590">
        <v>44.830300000000001</v>
      </c>
      <c r="D590">
        <v>-124.0607</v>
      </c>
      <c r="E590" s="8">
        <v>45848</v>
      </c>
      <c r="F590">
        <v>2025</v>
      </c>
      <c r="G590" t="s">
        <v>64</v>
      </c>
      <c r="H590" t="s">
        <v>48</v>
      </c>
      <c r="I590">
        <v>1</v>
      </c>
      <c r="J590">
        <v>4</v>
      </c>
      <c r="K590" t="s">
        <v>47</v>
      </c>
      <c r="L590" s="23">
        <v>14</v>
      </c>
      <c r="M590" s="23">
        <v>0</v>
      </c>
      <c r="N590" s="23">
        <v>14</v>
      </c>
      <c r="O590" s="23">
        <v>0</v>
      </c>
      <c r="P590" s="23">
        <v>0</v>
      </c>
      <c r="Q590" s="23" t="s">
        <v>44</v>
      </c>
      <c r="R590" s="23">
        <v>0</v>
      </c>
      <c r="S590" s="23">
        <v>0</v>
      </c>
      <c r="T590" s="23">
        <v>0</v>
      </c>
      <c r="U590" s="23">
        <v>0</v>
      </c>
      <c r="V590" s="18">
        <v>7.8</v>
      </c>
      <c r="W590" s="18">
        <v>6.9</v>
      </c>
      <c r="X590" s="18">
        <v>6.4</v>
      </c>
      <c r="Y590" s="18">
        <v>7.3</v>
      </c>
      <c r="Z590" s="18">
        <v>6.5</v>
      </c>
      <c r="AG590" s="34">
        <v>1</v>
      </c>
      <c r="AH590">
        <v>2</v>
      </c>
      <c r="AI590">
        <v>2</v>
      </c>
      <c r="AJ590">
        <v>2</v>
      </c>
      <c r="AK590">
        <v>0</v>
      </c>
      <c r="AL590">
        <v>28</v>
      </c>
      <c r="AM590">
        <v>2</v>
      </c>
      <c r="AN590">
        <v>0.1</v>
      </c>
      <c r="AO590">
        <v>0</v>
      </c>
      <c r="AP590">
        <v>64</v>
      </c>
      <c r="AQ590" s="21">
        <f t="shared" si="78"/>
        <v>63</v>
      </c>
      <c r="AR590" s="12">
        <f t="shared" si="83"/>
        <v>100.1</v>
      </c>
      <c r="AS590">
        <v>0</v>
      </c>
      <c r="AT590">
        <v>14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 s="6">
        <f t="shared" si="84"/>
        <v>15</v>
      </c>
      <c r="BM590" s="6">
        <f t="shared" si="82"/>
        <v>15</v>
      </c>
      <c r="BN590">
        <v>2</v>
      </c>
      <c r="BO590">
        <f t="shared" si="79"/>
        <v>2</v>
      </c>
      <c r="BP590">
        <v>2</v>
      </c>
      <c r="BQ590">
        <f>SUM(BP590,BB590,BK590)</f>
        <v>2</v>
      </c>
      <c r="BR590">
        <f t="shared" si="80"/>
        <v>0</v>
      </c>
    </row>
    <row r="591" spans="1:70" hidden="1">
      <c r="A591" s="16" t="str">
        <f t="shared" si="81"/>
        <v>BB_2025_NPZ_1_5</v>
      </c>
      <c r="B591" t="s">
        <v>67</v>
      </c>
      <c r="C591">
        <v>44.830300000000001</v>
      </c>
      <c r="D591">
        <v>-124.0607</v>
      </c>
      <c r="E591" s="8">
        <v>45848</v>
      </c>
      <c r="F591">
        <v>2025</v>
      </c>
      <c r="G591" t="s">
        <v>64</v>
      </c>
      <c r="H591" t="s">
        <v>48</v>
      </c>
      <c r="I591">
        <v>1</v>
      </c>
      <c r="J591">
        <v>5</v>
      </c>
      <c r="K591" t="s">
        <v>47</v>
      </c>
      <c r="L591" s="23">
        <v>3</v>
      </c>
      <c r="M591" s="23">
        <v>0</v>
      </c>
      <c r="N591" s="23">
        <v>2</v>
      </c>
      <c r="O591" s="23">
        <v>1</v>
      </c>
      <c r="P591" s="23">
        <v>1</v>
      </c>
      <c r="Q591" s="23" t="s">
        <v>44</v>
      </c>
      <c r="R591" s="23">
        <v>0</v>
      </c>
      <c r="S591" s="23">
        <v>0</v>
      </c>
      <c r="T591" s="23">
        <v>0</v>
      </c>
      <c r="U591" s="23">
        <v>0</v>
      </c>
      <c r="V591" s="18">
        <v>6.4</v>
      </c>
      <c r="W591" s="18">
        <v>7</v>
      </c>
      <c r="X591" s="18">
        <v>6.5</v>
      </c>
      <c r="Y591" s="18">
        <v>6.9</v>
      </c>
      <c r="Z591" s="18">
        <v>6.6</v>
      </c>
      <c r="AG591" s="34">
        <v>2</v>
      </c>
      <c r="AH591">
        <v>0</v>
      </c>
      <c r="AI591">
        <v>0</v>
      </c>
      <c r="AJ591">
        <v>0.1</v>
      </c>
      <c r="AK591">
        <v>0</v>
      </c>
      <c r="AL591">
        <v>27</v>
      </c>
      <c r="AM591">
        <v>3</v>
      </c>
      <c r="AN591">
        <v>0.1</v>
      </c>
      <c r="AO591">
        <v>0</v>
      </c>
      <c r="AP591">
        <v>70</v>
      </c>
      <c r="AQ591" s="21">
        <f t="shared" si="78"/>
        <v>68</v>
      </c>
      <c r="AR591" s="12">
        <f t="shared" si="83"/>
        <v>100.2</v>
      </c>
      <c r="AS591">
        <v>0</v>
      </c>
      <c r="AT591">
        <v>4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 s="6">
        <f t="shared" si="84"/>
        <v>4</v>
      </c>
      <c r="BM591" s="6">
        <f t="shared" si="82"/>
        <v>4</v>
      </c>
      <c r="BN591">
        <v>0</v>
      </c>
      <c r="BO591">
        <f t="shared" si="79"/>
        <v>0</v>
      </c>
      <c r="BP591">
        <v>0.1</v>
      </c>
      <c r="BQ591">
        <f>SUM(BP591,BB591,BK591)</f>
        <v>0.1</v>
      </c>
      <c r="BR591">
        <f t="shared" si="80"/>
        <v>0</v>
      </c>
    </row>
    <row r="592" spans="1:70" hidden="1">
      <c r="A592" s="16" t="str">
        <f t="shared" si="81"/>
        <v>BB_2025_NPZ_2_1</v>
      </c>
      <c r="B592" t="s">
        <v>67</v>
      </c>
      <c r="C592">
        <v>44.830300000000001</v>
      </c>
      <c r="D592">
        <v>-124.0607</v>
      </c>
      <c r="E592" s="8">
        <v>45848</v>
      </c>
      <c r="F592">
        <v>2025</v>
      </c>
      <c r="G592" t="s">
        <v>64</v>
      </c>
      <c r="H592" t="s">
        <v>48</v>
      </c>
      <c r="I592">
        <v>2</v>
      </c>
      <c r="J592">
        <v>1</v>
      </c>
      <c r="K592" t="s">
        <v>47</v>
      </c>
      <c r="L592" s="23">
        <v>34</v>
      </c>
      <c r="M592" s="23">
        <v>0</v>
      </c>
      <c r="N592" s="23">
        <v>30</v>
      </c>
      <c r="O592" s="23">
        <v>4</v>
      </c>
      <c r="P592" s="23">
        <v>0</v>
      </c>
      <c r="Q592" s="23" t="s">
        <v>44</v>
      </c>
      <c r="R592" s="23">
        <v>0</v>
      </c>
      <c r="S592" s="23">
        <v>0</v>
      </c>
      <c r="T592" s="23">
        <v>0</v>
      </c>
      <c r="U592" s="23">
        <v>0</v>
      </c>
      <c r="V592" s="18">
        <v>6.8</v>
      </c>
      <c r="W592" s="18">
        <v>7.9</v>
      </c>
      <c r="X592" s="18">
        <v>7</v>
      </c>
      <c r="Y592" s="18">
        <v>7.2</v>
      </c>
      <c r="Z592" s="18">
        <v>7.1</v>
      </c>
      <c r="AG592" s="34">
        <v>16</v>
      </c>
      <c r="AH592">
        <v>0</v>
      </c>
      <c r="AI592">
        <v>0</v>
      </c>
      <c r="AJ592">
        <v>0</v>
      </c>
      <c r="AK592">
        <v>0</v>
      </c>
      <c r="AL592">
        <v>29</v>
      </c>
      <c r="AM592">
        <v>3</v>
      </c>
      <c r="AN592">
        <v>4</v>
      </c>
      <c r="AO592">
        <v>0</v>
      </c>
      <c r="AP592">
        <v>64</v>
      </c>
      <c r="AQ592" s="21">
        <f t="shared" si="78"/>
        <v>48</v>
      </c>
      <c r="AR592" s="12">
        <f>SUM(AH592:AP592)</f>
        <v>100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 s="6">
        <f t="shared" si="84"/>
        <v>0</v>
      </c>
      <c r="BM592" s="6">
        <f t="shared" si="82"/>
        <v>0</v>
      </c>
      <c r="BN592">
        <v>0</v>
      </c>
      <c r="BO592">
        <f t="shared" si="79"/>
        <v>0</v>
      </c>
      <c r="BP592">
        <v>0</v>
      </c>
      <c r="BQ592">
        <f>SUM(BP592,BB592,BK592)</f>
        <v>0</v>
      </c>
      <c r="BR592">
        <f t="shared" si="80"/>
        <v>0</v>
      </c>
    </row>
    <row r="593" spans="1:70" hidden="1">
      <c r="A593" s="16" t="str">
        <f t="shared" si="81"/>
        <v>BB_2025_NPZ_2_2</v>
      </c>
      <c r="B593" t="s">
        <v>67</v>
      </c>
      <c r="C593">
        <v>44.830300000000001</v>
      </c>
      <c r="D593">
        <v>-124.0607</v>
      </c>
      <c r="E593" s="8">
        <v>45848</v>
      </c>
      <c r="F593">
        <v>2025</v>
      </c>
      <c r="G593" t="s">
        <v>64</v>
      </c>
      <c r="H593" t="s">
        <v>48</v>
      </c>
      <c r="I593">
        <v>2</v>
      </c>
      <c r="J593">
        <v>2</v>
      </c>
      <c r="K593" t="s">
        <v>47</v>
      </c>
      <c r="L593" s="23">
        <v>16</v>
      </c>
      <c r="M593" s="23">
        <v>0</v>
      </c>
      <c r="N593" s="23">
        <v>2</v>
      </c>
      <c r="O593" s="23">
        <v>14</v>
      </c>
      <c r="P593" s="23">
        <v>0</v>
      </c>
      <c r="Q593" s="23" t="s">
        <v>44</v>
      </c>
      <c r="R593" s="23">
        <v>0</v>
      </c>
      <c r="S593" s="23">
        <v>0</v>
      </c>
      <c r="T593" s="23">
        <v>0</v>
      </c>
      <c r="U593" s="23">
        <v>0</v>
      </c>
      <c r="V593" s="18">
        <v>7.4</v>
      </c>
      <c r="W593" s="18">
        <v>7.6</v>
      </c>
      <c r="X593" s="18">
        <v>5.5</v>
      </c>
      <c r="Y593" s="18">
        <v>6.6</v>
      </c>
      <c r="Z593" s="18">
        <v>6.8</v>
      </c>
      <c r="AG593" s="34">
        <v>8</v>
      </c>
      <c r="AH593">
        <v>4</v>
      </c>
      <c r="AI593">
        <v>55</v>
      </c>
      <c r="AJ593">
        <v>2</v>
      </c>
      <c r="AK593">
        <v>0</v>
      </c>
      <c r="AL593">
        <v>26</v>
      </c>
      <c r="AM593">
        <v>4</v>
      </c>
      <c r="AN593">
        <v>0.1</v>
      </c>
      <c r="AO593">
        <v>0</v>
      </c>
      <c r="AP593">
        <v>9</v>
      </c>
      <c r="AQ593" s="21">
        <f t="shared" si="78"/>
        <v>1</v>
      </c>
      <c r="AR593" s="12">
        <f t="shared" si="83"/>
        <v>100.1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15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 s="6">
        <f t="shared" si="84"/>
        <v>15</v>
      </c>
      <c r="BM593" s="6">
        <f t="shared" si="82"/>
        <v>15</v>
      </c>
      <c r="BN593">
        <v>55</v>
      </c>
      <c r="BO593">
        <f t="shared" si="79"/>
        <v>55</v>
      </c>
      <c r="BP593">
        <v>2</v>
      </c>
      <c r="BQ593">
        <f>SUM(BP593,BB593,BK593)</f>
        <v>2</v>
      </c>
      <c r="BR593">
        <f t="shared" si="80"/>
        <v>0</v>
      </c>
    </row>
    <row r="594" spans="1:70" hidden="1">
      <c r="A594" s="16" t="str">
        <f t="shared" si="81"/>
        <v>BB_2025_NPZ_2_3</v>
      </c>
      <c r="B594" t="s">
        <v>67</v>
      </c>
      <c r="C594">
        <v>44.830300000000001</v>
      </c>
      <c r="D594">
        <v>-124.0607</v>
      </c>
      <c r="E594" s="8">
        <v>45848</v>
      </c>
      <c r="F594">
        <v>2025</v>
      </c>
      <c r="G594" t="s">
        <v>64</v>
      </c>
      <c r="H594" t="s">
        <v>48</v>
      </c>
      <c r="I594">
        <v>2</v>
      </c>
      <c r="J594">
        <v>3</v>
      </c>
      <c r="K594" t="s">
        <v>47</v>
      </c>
      <c r="L594" s="23">
        <v>0</v>
      </c>
      <c r="M594" s="23">
        <v>0</v>
      </c>
      <c r="N594" s="23">
        <v>0</v>
      </c>
      <c r="O594" s="23">
        <v>0</v>
      </c>
      <c r="P594" s="23">
        <v>0</v>
      </c>
      <c r="Q594" s="23" t="s">
        <v>44</v>
      </c>
      <c r="R594" s="23">
        <v>0</v>
      </c>
      <c r="S594" s="23">
        <v>0</v>
      </c>
      <c r="T594" s="23">
        <v>0</v>
      </c>
      <c r="U594" s="23">
        <v>0</v>
      </c>
      <c r="V594" s="18" t="s">
        <v>44</v>
      </c>
      <c r="W594" s="18" t="s">
        <v>44</v>
      </c>
      <c r="X594" s="18" t="s">
        <v>44</v>
      </c>
      <c r="Y594" s="18" t="s">
        <v>44</v>
      </c>
      <c r="Z594" s="18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s="34">
        <v>0</v>
      </c>
      <c r="AH594">
        <v>0.1</v>
      </c>
      <c r="AI594">
        <v>86</v>
      </c>
      <c r="AJ594">
        <v>0</v>
      </c>
      <c r="AK594">
        <v>0</v>
      </c>
      <c r="AL594">
        <v>9</v>
      </c>
      <c r="AM594">
        <v>1</v>
      </c>
      <c r="AN594">
        <v>0</v>
      </c>
      <c r="AO594">
        <v>0</v>
      </c>
      <c r="AP594">
        <v>4</v>
      </c>
      <c r="AQ594" s="21">
        <f t="shared" si="78"/>
        <v>4</v>
      </c>
      <c r="AR594" s="12">
        <f t="shared" si="83"/>
        <v>100.1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5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 s="6">
        <f t="shared" si="84"/>
        <v>5</v>
      </c>
      <c r="BM594" s="6">
        <f t="shared" si="82"/>
        <v>5</v>
      </c>
      <c r="BN594">
        <v>86</v>
      </c>
      <c r="BO594">
        <f t="shared" si="79"/>
        <v>86</v>
      </c>
      <c r="BP594">
        <v>0</v>
      </c>
      <c r="BQ594">
        <f>SUM(BP594,BB594,BK594)</f>
        <v>0</v>
      </c>
      <c r="BR594">
        <f t="shared" si="80"/>
        <v>0</v>
      </c>
    </row>
    <row r="595" spans="1:70" hidden="1">
      <c r="A595" s="16" t="str">
        <f t="shared" si="81"/>
        <v>BB_2025_NPZ_2_4</v>
      </c>
      <c r="B595" t="s">
        <v>67</v>
      </c>
      <c r="C595">
        <v>44.830300000000001</v>
      </c>
      <c r="D595">
        <v>-124.0607</v>
      </c>
      <c r="E595" s="8">
        <v>45848</v>
      </c>
      <c r="F595">
        <v>2025</v>
      </c>
      <c r="G595" t="s">
        <v>64</v>
      </c>
      <c r="H595" t="s">
        <v>48</v>
      </c>
      <c r="I595">
        <v>2</v>
      </c>
      <c r="J595">
        <v>4</v>
      </c>
      <c r="K595" t="s">
        <v>47</v>
      </c>
      <c r="L595" s="23">
        <v>0</v>
      </c>
      <c r="M595" s="23">
        <v>0</v>
      </c>
      <c r="N595" s="23">
        <v>0</v>
      </c>
      <c r="O595" s="23">
        <v>0</v>
      </c>
      <c r="P595" s="23">
        <v>0</v>
      </c>
      <c r="Q595" s="23" t="s">
        <v>44</v>
      </c>
      <c r="R595" s="23">
        <v>0</v>
      </c>
      <c r="S595" s="23">
        <v>0</v>
      </c>
      <c r="T595" s="23">
        <v>0</v>
      </c>
      <c r="U595" s="23">
        <v>0</v>
      </c>
      <c r="V595" s="18" t="s">
        <v>44</v>
      </c>
      <c r="W595" s="18" t="s">
        <v>44</v>
      </c>
      <c r="X595" s="18" t="s">
        <v>44</v>
      </c>
      <c r="Y595" s="18" t="s">
        <v>44</v>
      </c>
      <c r="Z595" s="18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s="34">
        <v>0</v>
      </c>
      <c r="AH595">
        <v>22</v>
      </c>
      <c r="AI595">
        <v>16</v>
      </c>
      <c r="AJ595">
        <v>0</v>
      </c>
      <c r="AK595">
        <v>0</v>
      </c>
      <c r="AL595">
        <v>12</v>
      </c>
      <c r="AM595">
        <v>4</v>
      </c>
      <c r="AN595">
        <v>0</v>
      </c>
      <c r="AO595">
        <v>10</v>
      </c>
      <c r="AP595">
        <v>36</v>
      </c>
      <c r="AQ595" s="21">
        <f t="shared" si="78"/>
        <v>36</v>
      </c>
      <c r="AR595" s="12">
        <f t="shared" si="83"/>
        <v>100</v>
      </c>
      <c r="AS595">
        <v>0</v>
      </c>
      <c r="AT595">
        <v>0</v>
      </c>
      <c r="AU595">
        <v>0</v>
      </c>
      <c r="AV595">
        <v>0</v>
      </c>
      <c r="AW595">
        <v>75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6</v>
      </c>
      <c r="BJ595">
        <v>0</v>
      </c>
      <c r="BK595">
        <v>0</v>
      </c>
      <c r="BL595" s="6">
        <f t="shared" si="84"/>
        <v>75</v>
      </c>
      <c r="BM595" s="6">
        <f t="shared" si="82"/>
        <v>81</v>
      </c>
    </row>
    <row r="596" spans="1:70" hidden="1">
      <c r="A596" s="16" t="str">
        <f t="shared" si="81"/>
        <v>BB_2025_NPZ_2_5</v>
      </c>
      <c r="B596" t="s">
        <v>67</v>
      </c>
      <c r="C596">
        <v>44.830300000000001</v>
      </c>
      <c r="D596">
        <v>-124.0607</v>
      </c>
      <c r="E596" s="8">
        <v>45848</v>
      </c>
      <c r="F596">
        <v>2025</v>
      </c>
      <c r="G596" t="s">
        <v>64</v>
      </c>
      <c r="H596" t="s">
        <v>48</v>
      </c>
      <c r="I596">
        <v>2</v>
      </c>
      <c r="J596">
        <v>5</v>
      </c>
      <c r="K596" t="s">
        <v>47</v>
      </c>
      <c r="L596" s="23">
        <v>0</v>
      </c>
      <c r="M596" s="23">
        <v>0</v>
      </c>
      <c r="N596" s="23">
        <v>0</v>
      </c>
      <c r="O596" s="23">
        <v>0</v>
      </c>
      <c r="P596" s="23">
        <v>0</v>
      </c>
      <c r="Q596" s="23" t="s">
        <v>44</v>
      </c>
      <c r="R596" s="23">
        <v>0</v>
      </c>
      <c r="S596" s="23">
        <v>0</v>
      </c>
      <c r="T596" s="23">
        <v>0</v>
      </c>
      <c r="U596" s="23">
        <v>0</v>
      </c>
      <c r="V596" s="18" t="s">
        <v>44</v>
      </c>
      <c r="W596" s="18" t="s">
        <v>44</v>
      </c>
      <c r="X596" s="18" t="s">
        <v>44</v>
      </c>
      <c r="Y596" s="18" t="s">
        <v>44</v>
      </c>
      <c r="Z596" s="18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s="34">
        <v>0</v>
      </c>
      <c r="AH596">
        <v>5</v>
      </c>
      <c r="AI596">
        <v>16</v>
      </c>
      <c r="AJ596">
        <v>0</v>
      </c>
      <c r="AK596">
        <v>0</v>
      </c>
      <c r="AL596">
        <v>15</v>
      </c>
      <c r="AM596">
        <v>0</v>
      </c>
      <c r="AN596">
        <v>0.1</v>
      </c>
      <c r="AO596">
        <v>0</v>
      </c>
      <c r="AP596">
        <v>64</v>
      </c>
      <c r="AQ596" s="21">
        <f t="shared" si="78"/>
        <v>64</v>
      </c>
      <c r="AR596" s="12">
        <f t="shared" si="83"/>
        <v>100.1</v>
      </c>
      <c r="AS596">
        <v>2</v>
      </c>
      <c r="AT596">
        <v>62</v>
      </c>
      <c r="AU596">
        <v>0</v>
      </c>
      <c r="AV596">
        <v>0</v>
      </c>
      <c r="AW596">
        <v>2</v>
      </c>
      <c r="AX596">
        <v>3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 s="6">
        <f t="shared" si="84"/>
        <v>69</v>
      </c>
      <c r="BM596" s="6">
        <f t="shared" si="82"/>
        <v>69</v>
      </c>
      <c r="BN596">
        <v>16</v>
      </c>
      <c r="BO596">
        <f t="shared" si="79"/>
        <v>16</v>
      </c>
      <c r="BP596">
        <v>0</v>
      </c>
      <c r="BQ596">
        <f>SUM(BP596,BB596,BK596)</f>
        <v>0</v>
      </c>
      <c r="BR596">
        <f t="shared" si="80"/>
        <v>0</v>
      </c>
    </row>
    <row r="597" spans="1:70" hidden="1">
      <c r="A597" s="16" t="str">
        <f t="shared" si="81"/>
        <v>SC_2026_UPZ_1_1</v>
      </c>
      <c r="B597" t="s">
        <v>54</v>
      </c>
      <c r="C597">
        <v>43.303199999999997</v>
      </c>
      <c r="D597">
        <v>-124.3974</v>
      </c>
      <c r="E597" s="8">
        <v>46189</v>
      </c>
      <c r="F597">
        <v>2026</v>
      </c>
      <c r="G597" t="s">
        <v>41</v>
      </c>
      <c r="H597" t="s">
        <v>45</v>
      </c>
      <c r="I597">
        <v>1</v>
      </c>
      <c r="J597">
        <v>1</v>
      </c>
      <c r="K597" t="s">
        <v>43</v>
      </c>
      <c r="L597" s="23">
        <v>17</v>
      </c>
      <c r="M597" s="23">
        <v>17</v>
      </c>
      <c r="N597" s="23">
        <v>0</v>
      </c>
      <c r="O597" s="23">
        <v>0</v>
      </c>
      <c r="P597" s="23">
        <v>1</v>
      </c>
      <c r="Q597" s="23" t="s">
        <v>44</v>
      </c>
      <c r="R597" s="23">
        <v>0</v>
      </c>
      <c r="S597" s="23">
        <v>0</v>
      </c>
      <c r="T597" s="23">
        <v>36</v>
      </c>
      <c r="U597" s="23">
        <v>56</v>
      </c>
      <c r="AG597" s="34">
        <v>14</v>
      </c>
      <c r="AH597">
        <v>0</v>
      </c>
      <c r="AI597">
        <v>12</v>
      </c>
      <c r="AJ597">
        <v>10</v>
      </c>
      <c r="AK597">
        <v>0</v>
      </c>
      <c r="AL597">
        <v>49</v>
      </c>
      <c r="AM597">
        <v>1</v>
      </c>
      <c r="AN597">
        <v>4</v>
      </c>
      <c r="AO597">
        <v>10</v>
      </c>
      <c r="AP597">
        <v>14</v>
      </c>
      <c r="AQ597" s="21">
        <f t="shared" ref="AQ597:AQ624" si="85">AP597-AG597</f>
        <v>0</v>
      </c>
      <c r="AR597" s="12">
        <f t="shared" si="83"/>
        <v>100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 s="6">
        <f t="shared" si="84"/>
        <v>0</v>
      </c>
      <c r="BM597" s="6">
        <f t="shared" si="82"/>
        <v>0</v>
      </c>
      <c r="BN597">
        <v>12</v>
      </c>
      <c r="BO597">
        <f t="shared" si="79"/>
        <v>12</v>
      </c>
      <c r="BP597">
        <v>10</v>
      </c>
      <c r="BQ597">
        <f>SUM(BP597,BB597,BK597)</f>
        <v>10</v>
      </c>
      <c r="BR597">
        <f t="shared" si="80"/>
        <v>0</v>
      </c>
    </row>
    <row r="598" spans="1:70" hidden="1">
      <c r="A598" s="16" t="str">
        <f t="shared" si="81"/>
        <v>SC_2026_UPZ_1_2</v>
      </c>
      <c r="B598" t="s">
        <v>54</v>
      </c>
      <c r="C598">
        <v>43.303199999999997</v>
      </c>
      <c r="D598">
        <v>-124.3974</v>
      </c>
      <c r="E598" s="8">
        <v>46189</v>
      </c>
      <c r="F598">
        <v>2026</v>
      </c>
      <c r="G598" t="s">
        <v>41</v>
      </c>
      <c r="H598" t="s">
        <v>45</v>
      </c>
      <c r="I598">
        <v>1</v>
      </c>
      <c r="J598">
        <v>2</v>
      </c>
      <c r="K598" t="s">
        <v>43</v>
      </c>
      <c r="L598" s="23">
        <v>23</v>
      </c>
      <c r="M598" s="23">
        <v>22</v>
      </c>
      <c r="N598" s="23">
        <v>0</v>
      </c>
      <c r="O598" s="23">
        <v>1</v>
      </c>
      <c r="P598" s="23">
        <v>1</v>
      </c>
      <c r="Q598" s="23" t="s">
        <v>44</v>
      </c>
      <c r="R598" s="23">
        <v>0</v>
      </c>
      <c r="S598" s="23">
        <v>0</v>
      </c>
      <c r="T598" s="23">
        <v>13</v>
      </c>
      <c r="U598" s="23">
        <v>35</v>
      </c>
      <c r="AG598" s="34">
        <v>18</v>
      </c>
      <c r="AH598">
        <v>0</v>
      </c>
      <c r="AI598">
        <v>8</v>
      </c>
      <c r="AJ598">
        <v>10</v>
      </c>
      <c r="AK598">
        <v>0</v>
      </c>
      <c r="AL598">
        <v>10</v>
      </c>
      <c r="AM598">
        <v>2</v>
      </c>
      <c r="AN598">
        <v>0</v>
      </c>
      <c r="AO598">
        <v>52</v>
      </c>
      <c r="AP598">
        <v>18</v>
      </c>
      <c r="AQ598" s="21">
        <f t="shared" si="85"/>
        <v>0</v>
      </c>
      <c r="AR598" s="12">
        <f t="shared" si="83"/>
        <v>100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 s="6">
        <f t="shared" si="84"/>
        <v>0</v>
      </c>
      <c r="BM598" s="6">
        <f t="shared" si="82"/>
        <v>0</v>
      </c>
      <c r="BN598">
        <v>8</v>
      </c>
      <c r="BO598">
        <f t="shared" si="79"/>
        <v>8</v>
      </c>
      <c r="BP598">
        <v>10</v>
      </c>
      <c r="BQ598">
        <f>SUM(BP598,BB598,BK598)</f>
        <v>10</v>
      </c>
      <c r="BR598">
        <f t="shared" si="80"/>
        <v>0</v>
      </c>
    </row>
    <row r="599" spans="1:70">
      <c r="A599" s="16" t="str">
        <f t="shared" si="81"/>
        <v>SC_2026_UPZ_1_3</v>
      </c>
      <c r="B599" t="s">
        <v>54</v>
      </c>
      <c r="C599">
        <v>43.303199999999997</v>
      </c>
      <c r="D599">
        <v>-124.3974</v>
      </c>
      <c r="E599" s="8">
        <v>46189</v>
      </c>
      <c r="F599">
        <v>2026</v>
      </c>
      <c r="G599" t="s">
        <v>41</v>
      </c>
      <c r="H599" t="s">
        <v>45</v>
      </c>
      <c r="I599">
        <v>1</v>
      </c>
      <c r="J599">
        <v>3</v>
      </c>
      <c r="K599" t="s">
        <v>43</v>
      </c>
      <c r="L599" s="23">
        <v>25</v>
      </c>
      <c r="M599" s="23">
        <v>25</v>
      </c>
      <c r="N599" s="23">
        <v>0</v>
      </c>
      <c r="O599" s="23">
        <v>0</v>
      </c>
      <c r="P599" s="23">
        <v>3</v>
      </c>
      <c r="Q599" s="23" t="s">
        <v>44</v>
      </c>
      <c r="R599" s="23">
        <v>0</v>
      </c>
      <c r="S599" s="23">
        <v>0</v>
      </c>
      <c r="T599" s="23">
        <v>27</v>
      </c>
      <c r="U599" s="23">
        <v>52</v>
      </c>
      <c r="AG599" s="34">
        <v>20</v>
      </c>
      <c r="AH599">
        <v>0</v>
      </c>
      <c r="AI599">
        <v>7</v>
      </c>
      <c r="AJ599">
        <v>13</v>
      </c>
      <c r="AK599">
        <v>0</v>
      </c>
      <c r="AL599">
        <v>20</v>
      </c>
      <c r="AM599">
        <v>2</v>
      </c>
      <c r="AN599">
        <v>1</v>
      </c>
      <c r="AO599">
        <v>37</v>
      </c>
      <c r="AP599">
        <v>20</v>
      </c>
      <c r="AQ599" s="21">
        <f t="shared" si="85"/>
        <v>0</v>
      </c>
      <c r="AR599" s="12">
        <f t="shared" si="83"/>
        <v>100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7</v>
      </c>
      <c r="BL599" s="6">
        <f t="shared" si="84"/>
        <v>0</v>
      </c>
      <c r="BM599" s="6">
        <f t="shared" si="82"/>
        <v>0</v>
      </c>
      <c r="BN599">
        <v>7</v>
      </c>
    </row>
    <row r="600" spans="1:70">
      <c r="A600" s="16" t="str">
        <f t="shared" si="81"/>
        <v>SC_2026_UPZ_1_4</v>
      </c>
      <c r="B600" t="s">
        <v>54</v>
      </c>
      <c r="C600">
        <v>43.303199999999997</v>
      </c>
      <c r="D600">
        <v>-124.3974</v>
      </c>
      <c r="E600" s="8">
        <v>46189</v>
      </c>
      <c r="F600">
        <v>2026</v>
      </c>
      <c r="G600" t="s">
        <v>41</v>
      </c>
      <c r="H600" t="s">
        <v>45</v>
      </c>
      <c r="I600">
        <v>1</v>
      </c>
      <c r="J600">
        <v>4</v>
      </c>
      <c r="K600" t="s">
        <v>43</v>
      </c>
      <c r="L600" s="23">
        <v>48</v>
      </c>
      <c r="M600" s="23">
        <v>48</v>
      </c>
      <c r="N600" s="23">
        <v>0</v>
      </c>
      <c r="O600" s="23">
        <v>0</v>
      </c>
      <c r="P600" s="23">
        <v>16</v>
      </c>
      <c r="Q600" s="23" t="s">
        <v>44</v>
      </c>
      <c r="R600" s="23">
        <v>0</v>
      </c>
      <c r="S600" s="23">
        <v>0</v>
      </c>
      <c r="T600" s="23">
        <v>14</v>
      </c>
      <c r="U600" s="23">
        <v>78</v>
      </c>
      <c r="AG600" s="34">
        <v>50</v>
      </c>
      <c r="AH600">
        <v>0</v>
      </c>
      <c r="AI600">
        <v>2</v>
      </c>
      <c r="AJ600">
        <v>4</v>
      </c>
      <c r="AK600">
        <v>0</v>
      </c>
      <c r="AL600">
        <v>18</v>
      </c>
      <c r="AM600">
        <v>2</v>
      </c>
      <c r="AN600">
        <v>8</v>
      </c>
      <c r="AO600">
        <v>20</v>
      </c>
      <c r="AP600">
        <v>46</v>
      </c>
      <c r="AQ600" s="21">
        <f t="shared" si="85"/>
        <v>-4</v>
      </c>
      <c r="AR600" s="12">
        <f t="shared" si="83"/>
        <v>100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4</v>
      </c>
      <c r="BL600" s="6">
        <f t="shared" si="84"/>
        <v>0</v>
      </c>
      <c r="BM600" s="6">
        <f t="shared" si="82"/>
        <v>0</v>
      </c>
      <c r="BN600">
        <v>2</v>
      </c>
      <c r="BO600">
        <f t="shared" si="79"/>
        <v>2</v>
      </c>
    </row>
    <row r="601" spans="1:70" hidden="1">
      <c r="A601" s="16" t="str">
        <f t="shared" si="81"/>
        <v>SC_2026_UPZ_1_5</v>
      </c>
      <c r="B601" t="s">
        <v>54</v>
      </c>
      <c r="C601">
        <v>43.303199999999997</v>
      </c>
      <c r="D601">
        <v>-124.3974</v>
      </c>
      <c r="E601" s="8">
        <v>46189</v>
      </c>
      <c r="F601">
        <v>2026</v>
      </c>
      <c r="G601" t="s">
        <v>41</v>
      </c>
      <c r="H601" t="s">
        <v>45</v>
      </c>
      <c r="I601">
        <v>1</v>
      </c>
      <c r="J601">
        <v>5</v>
      </c>
      <c r="K601" t="s">
        <v>53</v>
      </c>
      <c r="L601" s="23">
        <v>63</v>
      </c>
      <c r="M601" s="23">
        <v>63</v>
      </c>
      <c r="N601" s="23">
        <v>0</v>
      </c>
      <c r="O601" s="23">
        <v>0</v>
      </c>
      <c r="P601" s="23">
        <v>9</v>
      </c>
      <c r="Q601" s="23" t="s">
        <v>44</v>
      </c>
      <c r="R601" s="23">
        <v>0</v>
      </c>
      <c r="S601" s="23">
        <v>0</v>
      </c>
      <c r="T601" s="23">
        <v>18</v>
      </c>
      <c r="U601" s="23">
        <v>81</v>
      </c>
      <c r="AG601" s="34">
        <v>43</v>
      </c>
      <c r="AH601">
        <v>0</v>
      </c>
      <c r="AI601">
        <v>4</v>
      </c>
      <c r="AJ601">
        <v>1</v>
      </c>
      <c r="AK601">
        <v>0</v>
      </c>
      <c r="AL601">
        <v>25</v>
      </c>
      <c r="AM601">
        <v>1</v>
      </c>
      <c r="AN601">
        <v>2</v>
      </c>
      <c r="AO601">
        <v>24</v>
      </c>
      <c r="AP601">
        <v>43</v>
      </c>
      <c r="AQ601" s="21">
        <f t="shared" si="85"/>
        <v>0</v>
      </c>
      <c r="AR601" s="12">
        <f t="shared" si="83"/>
        <v>100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 s="6">
        <f t="shared" si="84"/>
        <v>0</v>
      </c>
      <c r="BM601" s="6">
        <f t="shared" si="82"/>
        <v>0</v>
      </c>
      <c r="BN601">
        <v>4</v>
      </c>
      <c r="BO601">
        <f t="shared" si="79"/>
        <v>4</v>
      </c>
      <c r="BP601">
        <v>1</v>
      </c>
      <c r="BQ601">
        <f>SUM(BP601,BB601,BK601)</f>
        <v>1</v>
      </c>
      <c r="BR601">
        <f t="shared" si="80"/>
        <v>0</v>
      </c>
    </row>
    <row r="602" spans="1:70" hidden="1">
      <c r="A602" s="16" t="str">
        <f t="shared" si="81"/>
        <v>SC_2026_UPZ_2_1</v>
      </c>
      <c r="B602" t="s">
        <v>54</v>
      </c>
      <c r="C602">
        <v>43.303199999999997</v>
      </c>
      <c r="D602">
        <v>-124.3974</v>
      </c>
      <c r="E602" s="8">
        <v>46189</v>
      </c>
      <c r="F602">
        <v>2026</v>
      </c>
      <c r="G602" t="s">
        <v>41</v>
      </c>
      <c r="H602" t="s">
        <v>45</v>
      </c>
      <c r="I602">
        <v>2</v>
      </c>
      <c r="J602">
        <v>1</v>
      </c>
      <c r="K602" t="s">
        <v>53</v>
      </c>
      <c r="L602" s="23">
        <v>22</v>
      </c>
      <c r="M602" s="23">
        <v>20</v>
      </c>
      <c r="N602" s="23">
        <v>2</v>
      </c>
      <c r="O602" s="23">
        <v>0</v>
      </c>
      <c r="P602" s="23">
        <v>1</v>
      </c>
      <c r="Q602" s="23" t="s">
        <v>44</v>
      </c>
      <c r="R602" s="23">
        <v>0</v>
      </c>
      <c r="S602" s="23">
        <v>0</v>
      </c>
      <c r="T602" s="23">
        <v>10</v>
      </c>
      <c r="U602" s="23">
        <v>32</v>
      </c>
      <c r="AG602" s="34">
        <v>14</v>
      </c>
      <c r="AH602">
        <v>0</v>
      </c>
      <c r="AI602">
        <v>16</v>
      </c>
      <c r="AJ602">
        <v>11</v>
      </c>
      <c r="AK602">
        <v>0</v>
      </c>
      <c r="AL602">
        <v>10</v>
      </c>
      <c r="AM602">
        <v>2</v>
      </c>
      <c r="AN602">
        <v>0</v>
      </c>
      <c r="AO602">
        <v>47</v>
      </c>
      <c r="AP602">
        <v>14</v>
      </c>
      <c r="AQ602" s="21">
        <f t="shared" si="85"/>
        <v>0</v>
      </c>
      <c r="AR602" s="12">
        <f t="shared" si="83"/>
        <v>100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 s="6">
        <f t="shared" si="84"/>
        <v>0</v>
      </c>
      <c r="BM602" s="6">
        <f t="shared" si="82"/>
        <v>0</v>
      </c>
      <c r="BN602">
        <v>16</v>
      </c>
      <c r="BO602">
        <f t="shared" si="79"/>
        <v>16</v>
      </c>
      <c r="BP602">
        <v>11</v>
      </c>
      <c r="BQ602">
        <f>SUM(BP602,BB602,BK602)</f>
        <v>11</v>
      </c>
      <c r="BR602">
        <f t="shared" si="80"/>
        <v>0</v>
      </c>
    </row>
    <row r="603" spans="1:70" hidden="1">
      <c r="A603" s="16" t="str">
        <f t="shared" si="81"/>
        <v>SC_2026_UPZ_2_2</v>
      </c>
      <c r="B603" t="s">
        <v>54</v>
      </c>
      <c r="C603">
        <v>43.303199999999997</v>
      </c>
      <c r="D603">
        <v>-124.3974</v>
      </c>
      <c r="E603" s="8">
        <v>46189</v>
      </c>
      <c r="F603">
        <v>2026</v>
      </c>
      <c r="G603" t="s">
        <v>41</v>
      </c>
      <c r="H603" t="s">
        <v>45</v>
      </c>
      <c r="I603">
        <v>2</v>
      </c>
      <c r="J603">
        <v>2</v>
      </c>
      <c r="K603" t="s">
        <v>53</v>
      </c>
      <c r="L603" s="23">
        <v>29</v>
      </c>
      <c r="M603" s="23">
        <v>28</v>
      </c>
      <c r="N603" s="23">
        <v>0</v>
      </c>
      <c r="O603" s="23">
        <v>1</v>
      </c>
      <c r="P603" s="23">
        <v>0</v>
      </c>
      <c r="Q603" s="23" t="s">
        <v>44</v>
      </c>
      <c r="R603" s="23">
        <v>0</v>
      </c>
      <c r="S603" s="23">
        <v>0</v>
      </c>
      <c r="T603" s="23">
        <v>7</v>
      </c>
      <c r="U603" s="23">
        <v>36</v>
      </c>
      <c r="AG603" s="34">
        <v>15</v>
      </c>
      <c r="AH603">
        <v>0</v>
      </c>
      <c r="AI603">
        <v>62</v>
      </c>
      <c r="AJ603">
        <v>4</v>
      </c>
      <c r="AK603">
        <v>0</v>
      </c>
      <c r="AL603">
        <v>5</v>
      </c>
      <c r="AM603">
        <v>0</v>
      </c>
      <c r="AN603">
        <v>0</v>
      </c>
      <c r="AO603">
        <v>8</v>
      </c>
      <c r="AP603">
        <v>21</v>
      </c>
      <c r="AQ603" s="21">
        <f t="shared" si="85"/>
        <v>6</v>
      </c>
      <c r="AR603" s="12">
        <f t="shared" si="83"/>
        <v>100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 s="6">
        <f t="shared" si="84"/>
        <v>0</v>
      </c>
      <c r="BM603" s="6">
        <f t="shared" si="82"/>
        <v>0</v>
      </c>
      <c r="BN603">
        <v>62</v>
      </c>
      <c r="BO603">
        <f t="shared" si="79"/>
        <v>62</v>
      </c>
      <c r="BP603">
        <v>4</v>
      </c>
      <c r="BQ603">
        <f>SUM(BP603,BB603,BK603)</f>
        <v>4</v>
      </c>
      <c r="BR603">
        <f t="shared" si="80"/>
        <v>0</v>
      </c>
    </row>
    <row r="604" spans="1:70">
      <c r="A604" s="16" t="str">
        <f t="shared" si="81"/>
        <v>SC_2026_UPZ_2_3</v>
      </c>
      <c r="B604" t="s">
        <v>54</v>
      </c>
      <c r="C604">
        <v>43.303199999999997</v>
      </c>
      <c r="D604">
        <v>-124.3974</v>
      </c>
      <c r="E604" s="8">
        <v>46189</v>
      </c>
      <c r="F604">
        <v>2026</v>
      </c>
      <c r="G604" t="s">
        <v>41</v>
      </c>
      <c r="H604" t="s">
        <v>45</v>
      </c>
      <c r="I604">
        <v>2</v>
      </c>
      <c r="J604">
        <v>3</v>
      </c>
      <c r="K604" t="s">
        <v>46</v>
      </c>
      <c r="L604" s="23">
        <v>64</v>
      </c>
      <c r="M604" s="23">
        <v>64</v>
      </c>
      <c r="N604" s="23">
        <v>0</v>
      </c>
      <c r="O604" s="23">
        <v>0</v>
      </c>
      <c r="P604" s="23">
        <v>9</v>
      </c>
      <c r="Q604" s="23" t="s">
        <v>44</v>
      </c>
      <c r="R604" s="23">
        <v>0</v>
      </c>
      <c r="S604" s="23">
        <v>0</v>
      </c>
      <c r="T604" s="23">
        <v>1</v>
      </c>
      <c r="U604" s="23">
        <v>65</v>
      </c>
      <c r="AG604" s="34">
        <v>50</v>
      </c>
      <c r="AH604">
        <v>0</v>
      </c>
      <c r="AI604">
        <v>5</v>
      </c>
      <c r="AJ604">
        <v>9</v>
      </c>
      <c r="AK604">
        <v>0</v>
      </c>
      <c r="AL604">
        <v>14</v>
      </c>
      <c r="AM604">
        <v>2</v>
      </c>
      <c r="AN604">
        <v>0</v>
      </c>
      <c r="AO604">
        <v>20</v>
      </c>
      <c r="AP604">
        <v>50</v>
      </c>
      <c r="AQ604" s="21">
        <f t="shared" si="85"/>
        <v>0</v>
      </c>
      <c r="AR604" s="12">
        <f t="shared" si="83"/>
        <v>100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5</v>
      </c>
      <c r="BL604" s="6">
        <f t="shared" si="84"/>
        <v>0</v>
      </c>
      <c r="BM604" s="6">
        <f t="shared" si="82"/>
        <v>0</v>
      </c>
      <c r="BN604">
        <v>5</v>
      </c>
      <c r="BO604">
        <f t="shared" si="79"/>
        <v>5</v>
      </c>
    </row>
    <row r="605" spans="1:70" hidden="1">
      <c r="A605" s="16" t="str">
        <f t="shared" si="81"/>
        <v>SC_2026_UPZ_2_4</v>
      </c>
      <c r="B605" t="s">
        <v>54</v>
      </c>
      <c r="C605">
        <v>43.303199999999997</v>
      </c>
      <c r="D605">
        <v>-124.3974</v>
      </c>
      <c r="E605" s="8">
        <v>46189</v>
      </c>
      <c r="F605">
        <v>2026</v>
      </c>
      <c r="G605" t="s">
        <v>41</v>
      </c>
      <c r="H605" t="s">
        <v>45</v>
      </c>
      <c r="I605">
        <v>2</v>
      </c>
      <c r="J605">
        <v>4</v>
      </c>
      <c r="K605" t="s">
        <v>43</v>
      </c>
      <c r="L605" s="23">
        <v>27</v>
      </c>
      <c r="M605" s="23">
        <v>27</v>
      </c>
      <c r="N605" s="23">
        <v>0</v>
      </c>
      <c r="O605" s="23">
        <v>0</v>
      </c>
      <c r="P605" s="23">
        <v>2</v>
      </c>
      <c r="Q605" s="23" t="s">
        <v>44</v>
      </c>
      <c r="R605" s="23">
        <v>0</v>
      </c>
      <c r="S605" s="23">
        <v>0</v>
      </c>
      <c r="T605" s="23">
        <v>6</v>
      </c>
      <c r="U605" s="23">
        <v>33</v>
      </c>
      <c r="AG605" s="34">
        <v>9</v>
      </c>
      <c r="AH605">
        <v>1</v>
      </c>
      <c r="AI605">
        <v>69</v>
      </c>
      <c r="AJ605">
        <v>11</v>
      </c>
      <c r="AK605">
        <v>2</v>
      </c>
      <c r="AL605">
        <v>3</v>
      </c>
      <c r="AM605">
        <v>1</v>
      </c>
      <c r="AN605">
        <v>0</v>
      </c>
      <c r="AO605">
        <v>3</v>
      </c>
      <c r="AP605">
        <v>10</v>
      </c>
      <c r="AQ605" s="21">
        <f t="shared" si="85"/>
        <v>1</v>
      </c>
      <c r="AR605" s="12">
        <f t="shared" si="83"/>
        <v>100</v>
      </c>
      <c r="AS605">
        <v>0</v>
      </c>
      <c r="AT605">
        <v>0</v>
      </c>
      <c r="AU605">
        <v>7</v>
      </c>
      <c r="AV605">
        <v>1</v>
      </c>
      <c r="AW605">
        <v>0</v>
      </c>
      <c r="AX605">
        <v>0</v>
      </c>
      <c r="AY605">
        <v>0</v>
      </c>
      <c r="AZ605">
        <v>12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 s="6">
        <f t="shared" si="84"/>
        <v>13</v>
      </c>
      <c r="BM605" s="6">
        <f t="shared" si="82"/>
        <v>20</v>
      </c>
    </row>
    <row r="606" spans="1:70" hidden="1">
      <c r="A606" s="16" t="str">
        <f t="shared" si="81"/>
        <v>SC_2026_UPZ_2_5</v>
      </c>
      <c r="B606" t="s">
        <v>54</v>
      </c>
      <c r="C606">
        <v>43.303199999999997</v>
      </c>
      <c r="D606">
        <v>-124.3974</v>
      </c>
      <c r="E606" s="8">
        <v>46189</v>
      </c>
      <c r="F606">
        <v>2026</v>
      </c>
      <c r="G606" t="s">
        <v>41</v>
      </c>
      <c r="H606" t="s">
        <v>45</v>
      </c>
      <c r="I606">
        <v>2</v>
      </c>
      <c r="J606">
        <v>5</v>
      </c>
      <c r="K606" t="s">
        <v>46</v>
      </c>
      <c r="L606" s="23">
        <v>45</v>
      </c>
      <c r="M606" s="23">
        <v>44</v>
      </c>
      <c r="N606" s="23">
        <v>0</v>
      </c>
      <c r="O606" s="23">
        <v>1</v>
      </c>
      <c r="P606" s="23">
        <v>0</v>
      </c>
      <c r="Q606" s="23" t="s">
        <v>44</v>
      </c>
      <c r="R606" s="23">
        <v>0</v>
      </c>
      <c r="S606" s="23">
        <v>0</v>
      </c>
      <c r="T606" s="23">
        <v>13</v>
      </c>
      <c r="U606" s="23">
        <v>58</v>
      </c>
      <c r="AH606">
        <v>0</v>
      </c>
      <c r="AI606">
        <v>5</v>
      </c>
      <c r="AJ606">
        <v>4</v>
      </c>
      <c r="AK606">
        <v>0</v>
      </c>
      <c r="AL606">
        <v>10</v>
      </c>
      <c r="AM606">
        <v>0.1</v>
      </c>
      <c r="AN606">
        <v>0</v>
      </c>
      <c r="AO606">
        <v>7</v>
      </c>
      <c r="AP606">
        <v>74</v>
      </c>
      <c r="AQ606" s="21">
        <f t="shared" si="85"/>
        <v>74</v>
      </c>
      <c r="AR606" s="12">
        <f t="shared" si="83"/>
        <v>100.1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 s="6">
        <f t="shared" si="84"/>
        <v>0</v>
      </c>
      <c r="BM606" s="6">
        <f t="shared" si="82"/>
        <v>0</v>
      </c>
      <c r="BN606">
        <v>5</v>
      </c>
      <c r="BO606">
        <f t="shared" si="79"/>
        <v>5</v>
      </c>
      <c r="BP606">
        <v>4</v>
      </c>
      <c r="BQ606">
        <f>SUM(BP606,BB606,BK606)</f>
        <v>4</v>
      </c>
      <c r="BR606">
        <f t="shared" si="80"/>
        <v>0</v>
      </c>
    </row>
    <row r="607" spans="1:70" hidden="1">
      <c r="A607" s="16" t="str">
        <f t="shared" si="81"/>
        <v>SC_2026_NPZ_1_1</v>
      </c>
      <c r="B607" t="s">
        <v>54</v>
      </c>
      <c r="C607">
        <v>43.303199999999997</v>
      </c>
      <c r="D607">
        <v>-124.3974</v>
      </c>
      <c r="E607" s="8">
        <v>46189</v>
      </c>
      <c r="F607">
        <v>2026</v>
      </c>
      <c r="G607" t="s">
        <v>41</v>
      </c>
      <c r="H607" t="s">
        <v>48</v>
      </c>
      <c r="I607">
        <v>1</v>
      </c>
      <c r="J607">
        <v>1</v>
      </c>
      <c r="K607" t="s">
        <v>53</v>
      </c>
      <c r="L607" s="23">
        <v>11</v>
      </c>
      <c r="M607" s="23">
        <v>0</v>
      </c>
      <c r="N607" s="23">
        <v>1</v>
      </c>
      <c r="O607" s="23">
        <v>10</v>
      </c>
      <c r="P607" s="23">
        <v>11</v>
      </c>
      <c r="Q607" s="23" t="s">
        <v>44</v>
      </c>
      <c r="R607" s="23">
        <v>0</v>
      </c>
      <c r="S607" s="23">
        <v>0</v>
      </c>
      <c r="T607" s="23">
        <v>0</v>
      </c>
      <c r="U607" s="23">
        <v>0</v>
      </c>
      <c r="AG607" s="34">
        <v>11</v>
      </c>
      <c r="AH607">
        <v>0</v>
      </c>
      <c r="AI607">
        <v>1</v>
      </c>
      <c r="AJ607">
        <v>1</v>
      </c>
      <c r="AK607">
        <v>0</v>
      </c>
      <c r="AL607">
        <v>5</v>
      </c>
      <c r="AM607">
        <v>0</v>
      </c>
      <c r="AN607">
        <v>0</v>
      </c>
      <c r="AO607">
        <v>76</v>
      </c>
      <c r="AP607">
        <v>17</v>
      </c>
      <c r="AQ607" s="21">
        <f t="shared" si="85"/>
        <v>6</v>
      </c>
      <c r="AR607" s="12">
        <f t="shared" si="83"/>
        <v>100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 s="6">
        <f t="shared" si="84"/>
        <v>0</v>
      </c>
      <c r="BM607" s="6">
        <f t="shared" si="82"/>
        <v>0</v>
      </c>
      <c r="BN607">
        <v>1</v>
      </c>
      <c r="BO607">
        <f t="shared" si="79"/>
        <v>1</v>
      </c>
      <c r="BP607">
        <v>1</v>
      </c>
      <c r="BQ607">
        <f>SUM(BP607,BB607,BK607)</f>
        <v>1</v>
      </c>
      <c r="BR607">
        <f t="shared" si="80"/>
        <v>0</v>
      </c>
    </row>
    <row r="608" spans="1:70" hidden="1">
      <c r="A608" s="16" t="str">
        <f t="shared" si="81"/>
        <v>SC_2026_NPZ_1_2</v>
      </c>
      <c r="B608" t="s">
        <v>54</v>
      </c>
      <c r="C608">
        <v>43.303199999999997</v>
      </c>
      <c r="D608">
        <v>-124.3974</v>
      </c>
      <c r="E608" s="8">
        <v>46189</v>
      </c>
      <c r="F608">
        <v>2026</v>
      </c>
      <c r="G608" t="s">
        <v>41</v>
      </c>
      <c r="H608" t="s">
        <v>48</v>
      </c>
      <c r="I608">
        <v>1</v>
      </c>
      <c r="J608">
        <v>2</v>
      </c>
      <c r="K608" t="s">
        <v>53</v>
      </c>
      <c r="L608" s="23">
        <v>32</v>
      </c>
      <c r="M608" s="23">
        <v>0</v>
      </c>
      <c r="N608" s="23">
        <v>1</v>
      </c>
      <c r="O608" s="23">
        <v>31</v>
      </c>
      <c r="P608" s="23">
        <v>1</v>
      </c>
      <c r="Q608" s="23" t="s">
        <v>44</v>
      </c>
      <c r="R608" s="23">
        <v>0</v>
      </c>
      <c r="S608" s="23">
        <v>0</v>
      </c>
      <c r="T608" s="23">
        <v>0</v>
      </c>
      <c r="U608" s="23">
        <v>0</v>
      </c>
      <c r="AG608" s="34">
        <v>26</v>
      </c>
      <c r="AH608">
        <v>0</v>
      </c>
      <c r="AI608">
        <v>0</v>
      </c>
      <c r="AJ608">
        <v>0</v>
      </c>
      <c r="AK608">
        <v>0</v>
      </c>
      <c r="AL608">
        <v>9</v>
      </c>
      <c r="AM608">
        <v>1</v>
      </c>
      <c r="AN608">
        <v>0</v>
      </c>
      <c r="AO608">
        <v>64</v>
      </c>
      <c r="AP608">
        <v>26</v>
      </c>
      <c r="AQ608" s="21">
        <f t="shared" si="85"/>
        <v>0</v>
      </c>
      <c r="AR608" s="12">
        <f t="shared" si="83"/>
        <v>100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s="6">
        <f t="shared" si="84"/>
        <v>0</v>
      </c>
      <c r="BM608" s="6">
        <f t="shared" si="82"/>
        <v>0</v>
      </c>
      <c r="BN608">
        <v>0</v>
      </c>
      <c r="BO608">
        <f t="shared" ref="BO608:BO671" si="86">SUM(BN608,AU608,BG608,BH608,BI608)</f>
        <v>0</v>
      </c>
      <c r="BP608">
        <v>0</v>
      </c>
      <c r="BQ608">
        <f>SUM(BP608,BB608,BK608)</f>
        <v>0</v>
      </c>
      <c r="BR608">
        <f t="shared" si="80"/>
        <v>0</v>
      </c>
    </row>
    <row r="609" spans="1:70">
      <c r="A609" s="16" t="str">
        <f t="shared" si="81"/>
        <v>SC_2026_NPZ_1_3</v>
      </c>
      <c r="B609" t="s">
        <v>54</v>
      </c>
      <c r="C609">
        <v>43.303199999999997</v>
      </c>
      <c r="D609">
        <v>-124.3974</v>
      </c>
      <c r="E609" s="8">
        <v>46189</v>
      </c>
      <c r="F609">
        <v>2026</v>
      </c>
      <c r="G609" t="s">
        <v>41</v>
      </c>
      <c r="H609" t="s">
        <v>48</v>
      </c>
      <c r="I609">
        <v>1</v>
      </c>
      <c r="J609">
        <v>3</v>
      </c>
      <c r="K609" t="s">
        <v>47</v>
      </c>
      <c r="L609" s="23">
        <v>25</v>
      </c>
      <c r="M609" s="23">
        <v>14</v>
      </c>
      <c r="N609" s="23">
        <v>5</v>
      </c>
      <c r="O609" s="23">
        <v>7</v>
      </c>
      <c r="P609" s="23">
        <v>2</v>
      </c>
      <c r="Q609" s="23" t="s">
        <v>44</v>
      </c>
      <c r="R609" s="23">
        <v>0</v>
      </c>
      <c r="S609" s="23">
        <v>0</v>
      </c>
      <c r="T609" s="23">
        <v>20</v>
      </c>
      <c r="U609" s="23">
        <v>34</v>
      </c>
      <c r="AG609" s="34">
        <v>18</v>
      </c>
      <c r="AH609">
        <v>0</v>
      </c>
      <c r="AI609">
        <v>6</v>
      </c>
      <c r="AJ609">
        <v>6</v>
      </c>
      <c r="AK609">
        <v>0</v>
      </c>
      <c r="AL609">
        <v>9</v>
      </c>
      <c r="AM609">
        <v>0</v>
      </c>
      <c r="AN609">
        <v>1</v>
      </c>
      <c r="AO609">
        <v>60</v>
      </c>
      <c r="AP609">
        <v>18</v>
      </c>
      <c r="AQ609" s="21">
        <f t="shared" si="85"/>
        <v>0</v>
      </c>
      <c r="AR609" s="12">
        <f t="shared" si="83"/>
        <v>100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4</v>
      </c>
      <c r="BL609" s="6">
        <f t="shared" si="84"/>
        <v>0</v>
      </c>
      <c r="BM609" s="6">
        <f t="shared" si="82"/>
        <v>0</v>
      </c>
    </row>
    <row r="610" spans="1:70" hidden="1">
      <c r="A610" s="16" t="str">
        <f t="shared" si="81"/>
        <v>SC_2026_NPZ_1_4</v>
      </c>
      <c r="B610" t="s">
        <v>54</v>
      </c>
      <c r="C610">
        <v>43.303199999999997</v>
      </c>
      <c r="D610">
        <v>-124.3974</v>
      </c>
      <c r="E610" s="8">
        <v>46189</v>
      </c>
      <c r="F610">
        <v>2026</v>
      </c>
      <c r="G610" t="s">
        <v>41</v>
      </c>
      <c r="H610" t="s">
        <v>48</v>
      </c>
      <c r="I610">
        <v>1</v>
      </c>
      <c r="J610">
        <v>4</v>
      </c>
      <c r="K610" t="s">
        <v>46</v>
      </c>
      <c r="L610" s="23">
        <v>43</v>
      </c>
      <c r="M610" s="23">
        <v>4</v>
      </c>
      <c r="N610" s="23">
        <v>10</v>
      </c>
      <c r="O610" s="23">
        <v>29</v>
      </c>
      <c r="P610" s="23">
        <v>3</v>
      </c>
      <c r="Q610" s="23" t="s">
        <v>44</v>
      </c>
      <c r="R610" s="23">
        <v>0</v>
      </c>
      <c r="S610" s="23">
        <v>0</v>
      </c>
      <c r="T610" s="23">
        <v>0</v>
      </c>
      <c r="U610" s="23">
        <v>3</v>
      </c>
      <c r="AG610" s="34">
        <v>40</v>
      </c>
      <c r="AH610">
        <v>0</v>
      </c>
      <c r="AI610">
        <v>0.1</v>
      </c>
      <c r="AJ610">
        <v>0.1</v>
      </c>
      <c r="AK610">
        <v>0</v>
      </c>
      <c r="AL610">
        <v>12</v>
      </c>
      <c r="AM610">
        <v>0.1</v>
      </c>
      <c r="AN610">
        <v>0.1</v>
      </c>
      <c r="AO610">
        <v>48</v>
      </c>
      <c r="AP610">
        <v>40</v>
      </c>
      <c r="AQ610" s="21">
        <f t="shared" si="85"/>
        <v>0</v>
      </c>
      <c r="AR610" s="12">
        <f t="shared" si="83"/>
        <v>100.4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 s="6">
        <f t="shared" si="84"/>
        <v>0</v>
      </c>
      <c r="BM610" s="6">
        <f t="shared" si="82"/>
        <v>0</v>
      </c>
      <c r="BN610">
        <v>0.1</v>
      </c>
      <c r="BO610">
        <f t="shared" si="86"/>
        <v>0.1</v>
      </c>
      <c r="BP610">
        <v>0.1</v>
      </c>
      <c r="BQ610">
        <f>SUM(BP610,BB610,BK610)</f>
        <v>0.1</v>
      </c>
      <c r="BR610">
        <f t="shared" si="80"/>
        <v>0</v>
      </c>
    </row>
    <row r="611" spans="1:70" hidden="1">
      <c r="A611" s="16" t="str">
        <f t="shared" si="81"/>
        <v>SC_2026_NPZ_1_5</v>
      </c>
      <c r="B611" t="s">
        <v>54</v>
      </c>
      <c r="C611">
        <v>43.303199999999997</v>
      </c>
      <c r="D611">
        <v>-124.3974</v>
      </c>
      <c r="E611" s="8">
        <v>46189</v>
      </c>
      <c r="F611">
        <v>2026</v>
      </c>
      <c r="G611" t="s">
        <v>41</v>
      </c>
      <c r="H611" t="s">
        <v>48</v>
      </c>
      <c r="I611">
        <v>1</v>
      </c>
      <c r="J611">
        <v>5</v>
      </c>
      <c r="K611" t="s">
        <v>46</v>
      </c>
      <c r="L611" s="23">
        <v>59</v>
      </c>
      <c r="M611" s="23">
        <v>7</v>
      </c>
      <c r="N611" s="23">
        <v>0</v>
      </c>
      <c r="O611" s="23">
        <v>52</v>
      </c>
      <c r="P611" s="23">
        <v>7</v>
      </c>
      <c r="Q611" s="23" t="s">
        <v>44</v>
      </c>
      <c r="R611" s="23">
        <v>0</v>
      </c>
      <c r="S611" s="23">
        <v>0</v>
      </c>
      <c r="T611" s="23">
        <v>1</v>
      </c>
      <c r="U611" s="23">
        <v>8</v>
      </c>
      <c r="AG611" s="34">
        <v>67</v>
      </c>
      <c r="AH611">
        <v>0</v>
      </c>
      <c r="AI611">
        <v>0</v>
      </c>
      <c r="AJ611">
        <v>0</v>
      </c>
      <c r="AK611">
        <v>0</v>
      </c>
      <c r="AL611">
        <v>17</v>
      </c>
      <c r="AM611">
        <v>2</v>
      </c>
      <c r="AN611">
        <v>2</v>
      </c>
      <c r="AO611">
        <v>12</v>
      </c>
      <c r="AP611">
        <v>67</v>
      </c>
      <c r="AQ611" s="21">
        <f t="shared" si="85"/>
        <v>0</v>
      </c>
      <c r="AR611" s="12">
        <f t="shared" si="83"/>
        <v>100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 s="6">
        <f t="shared" si="84"/>
        <v>0</v>
      </c>
      <c r="BM611" s="6">
        <f t="shared" si="82"/>
        <v>0</v>
      </c>
      <c r="BN611">
        <v>0</v>
      </c>
      <c r="BO611">
        <f t="shared" si="86"/>
        <v>0</v>
      </c>
      <c r="BP611">
        <v>0</v>
      </c>
      <c r="BQ611">
        <f>SUM(BP611,BB611,BK611)</f>
        <v>0</v>
      </c>
      <c r="BR611">
        <f t="shared" si="80"/>
        <v>0</v>
      </c>
    </row>
    <row r="612" spans="1:70" hidden="1">
      <c r="A612" s="16" t="str">
        <f t="shared" si="81"/>
        <v>SC_2026_NPZ_2_1</v>
      </c>
      <c r="B612" t="s">
        <v>54</v>
      </c>
      <c r="C612">
        <v>43.303199999999997</v>
      </c>
      <c r="D612">
        <v>-124.3974</v>
      </c>
      <c r="E612" s="8">
        <v>46189</v>
      </c>
      <c r="F612">
        <v>2026</v>
      </c>
      <c r="G612" t="s">
        <v>41</v>
      </c>
      <c r="H612" t="s">
        <v>48</v>
      </c>
      <c r="I612">
        <v>2</v>
      </c>
      <c r="J612">
        <v>1</v>
      </c>
      <c r="K612" t="s">
        <v>46</v>
      </c>
      <c r="L612" s="23">
        <v>8</v>
      </c>
      <c r="M612" s="23">
        <v>0</v>
      </c>
      <c r="N612" s="23">
        <v>1</v>
      </c>
      <c r="O612" s="23">
        <v>7</v>
      </c>
      <c r="P612" s="23">
        <v>0</v>
      </c>
      <c r="Q612" s="23" t="s">
        <v>44</v>
      </c>
      <c r="R612" s="23">
        <v>0</v>
      </c>
      <c r="S612" s="23">
        <v>0</v>
      </c>
      <c r="T612" s="23">
        <v>0</v>
      </c>
      <c r="U612" s="23">
        <v>0</v>
      </c>
      <c r="AG612" s="34">
        <v>8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0</v>
      </c>
      <c r="AN612">
        <v>4</v>
      </c>
      <c r="AO612">
        <v>82</v>
      </c>
      <c r="AP612">
        <v>10</v>
      </c>
      <c r="AQ612" s="21">
        <f t="shared" si="85"/>
        <v>2</v>
      </c>
      <c r="AR612" s="12">
        <f t="shared" si="83"/>
        <v>100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 s="6">
        <f t="shared" si="84"/>
        <v>0</v>
      </c>
      <c r="BM612" s="6">
        <f t="shared" si="82"/>
        <v>0</v>
      </c>
      <c r="BN612">
        <v>0</v>
      </c>
      <c r="BO612">
        <f t="shared" si="86"/>
        <v>0</v>
      </c>
      <c r="BP612">
        <v>0</v>
      </c>
      <c r="BQ612">
        <f>SUM(BP612,BB612,BK612)</f>
        <v>0</v>
      </c>
      <c r="BR612">
        <f t="shared" si="80"/>
        <v>0</v>
      </c>
    </row>
    <row r="613" spans="1:70" hidden="1">
      <c r="A613" s="16" t="str">
        <f t="shared" si="81"/>
        <v>SC_2026_NPZ_2_2</v>
      </c>
      <c r="B613" t="s">
        <v>54</v>
      </c>
      <c r="C613">
        <v>43.303199999999997</v>
      </c>
      <c r="D613">
        <v>-124.3974</v>
      </c>
      <c r="E613" s="8">
        <v>46189</v>
      </c>
      <c r="F613">
        <v>2026</v>
      </c>
      <c r="G613" t="s">
        <v>41</v>
      </c>
      <c r="H613" t="s">
        <v>48</v>
      </c>
      <c r="I613">
        <v>2</v>
      </c>
      <c r="J613">
        <v>2</v>
      </c>
      <c r="K613" t="s">
        <v>53</v>
      </c>
      <c r="L613" s="23">
        <v>10</v>
      </c>
      <c r="M613" s="23">
        <v>0</v>
      </c>
      <c r="N613" s="23">
        <v>1</v>
      </c>
      <c r="O613" s="23">
        <v>9</v>
      </c>
      <c r="P613" s="23">
        <v>0</v>
      </c>
      <c r="Q613" s="23" t="s">
        <v>44</v>
      </c>
      <c r="R613" s="23">
        <v>0</v>
      </c>
      <c r="S613" s="23">
        <v>0</v>
      </c>
      <c r="T613" s="23">
        <v>0</v>
      </c>
      <c r="U613" s="23">
        <v>0</v>
      </c>
      <c r="AG613" s="34">
        <v>10</v>
      </c>
      <c r="AH613">
        <v>0</v>
      </c>
      <c r="AI613">
        <v>2</v>
      </c>
      <c r="AJ613">
        <v>2</v>
      </c>
      <c r="AK613">
        <v>0</v>
      </c>
      <c r="AL613">
        <v>6</v>
      </c>
      <c r="AM613">
        <v>2</v>
      </c>
      <c r="AN613">
        <v>0</v>
      </c>
      <c r="AO613">
        <v>78</v>
      </c>
      <c r="AP613">
        <v>10</v>
      </c>
      <c r="AQ613" s="21">
        <f t="shared" si="85"/>
        <v>0</v>
      </c>
      <c r="AR613" s="12">
        <f t="shared" si="83"/>
        <v>100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 s="6">
        <f t="shared" si="84"/>
        <v>0</v>
      </c>
      <c r="BM613" s="6">
        <f t="shared" si="82"/>
        <v>0</v>
      </c>
      <c r="BN613">
        <v>2</v>
      </c>
      <c r="BO613">
        <f t="shared" si="86"/>
        <v>2</v>
      </c>
      <c r="BP613">
        <v>2</v>
      </c>
      <c r="BQ613">
        <f>SUM(BP613,BB613,BK613)</f>
        <v>2</v>
      </c>
      <c r="BR613">
        <f t="shared" si="80"/>
        <v>0</v>
      </c>
    </row>
    <row r="614" spans="1:70" hidden="1">
      <c r="A614" s="16" t="str">
        <f t="shared" si="81"/>
        <v>SC_2026_NPZ_2_3</v>
      </c>
      <c r="B614" t="s">
        <v>54</v>
      </c>
      <c r="C614">
        <v>43.303199999999997</v>
      </c>
      <c r="D614">
        <v>-124.3974</v>
      </c>
      <c r="E614" s="8">
        <v>46189</v>
      </c>
      <c r="F614">
        <v>2026</v>
      </c>
      <c r="G614" t="s">
        <v>41</v>
      </c>
      <c r="H614" t="s">
        <v>48</v>
      </c>
      <c r="I614">
        <v>2</v>
      </c>
      <c r="J614">
        <v>3</v>
      </c>
      <c r="K614" t="s">
        <v>53</v>
      </c>
      <c r="L614" s="23">
        <v>24</v>
      </c>
      <c r="M614" s="23">
        <v>0</v>
      </c>
      <c r="N614" s="23">
        <v>10</v>
      </c>
      <c r="O614" s="23">
        <v>14</v>
      </c>
      <c r="P614" s="23">
        <v>4</v>
      </c>
      <c r="Q614" s="23" t="s">
        <v>44</v>
      </c>
      <c r="R614" s="23">
        <v>0</v>
      </c>
      <c r="S614" s="23">
        <v>0</v>
      </c>
      <c r="T614" s="23">
        <v>0</v>
      </c>
      <c r="U614" s="23">
        <v>0</v>
      </c>
      <c r="AG614" s="34">
        <v>16</v>
      </c>
      <c r="AH614">
        <v>0</v>
      </c>
      <c r="AI614">
        <v>0</v>
      </c>
      <c r="AJ614">
        <v>0</v>
      </c>
      <c r="AK614">
        <v>0</v>
      </c>
      <c r="AL614">
        <v>16</v>
      </c>
      <c r="AM614">
        <v>1</v>
      </c>
      <c r="AN614">
        <v>3</v>
      </c>
      <c r="AO614">
        <v>64</v>
      </c>
      <c r="AP614">
        <v>16</v>
      </c>
      <c r="AQ614" s="21">
        <f t="shared" si="85"/>
        <v>0</v>
      </c>
      <c r="AR614" s="12">
        <f t="shared" si="83"/>
        <v>100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 s="6">
        <f t="shared" si="84"/>
        <v>0</v>
      </c>
      <c r="BM614" s="6">
        <f t="shared" si="82"/>
        <v>0</v>
      </c>
      <c r="BN614">
        <v>0</v>
      </c>
      <c r="BO614">
        <f t="shared" si="86"/>
        <v>0</v>
      </c>
      <c r="BP614">
        <v>0</v>
      </c>
      <c r="BQ614">
        <f>SUM(BP614,BB614,BK614)</f>
        <v>0</v>
      </c>
      <c r="BR614">
        <f t="shared" si="80"/>
        <v>0</v>
      </c>
    </row>
    <row r="615" spans="1:70" hidden="1">
      <c r="A615" s="16" t="str">
        <f t="shared" si="81"/>
        <v>SC_2026_NPZ_2_4</v>
      </c>
      <c r="B615" t="s">
        <v>54</v>
      </c>
      <c r="C615">
        <v>43.303199999999997</v>
      </c>
      <c r="D615">
        <v>-124.3974</v>
      </c>
      <c r="E615" s="8">
        <v>46189</v>
      </c>
      <c r="F615">
        <v>2026</v>
      </c>
      <c r="G615" t="s">
        <v>41</v>
      </c>
      <c r="H615" t="s">
        <v>48</v>
      </c>
      <c r="I615">
        <v>2</v>
      </c>
      <c r="J615">
        <v>4</v>
      </c>
      <c r="K615" t="s">
        <v>53</v>
      </c>
      <c r="L615" s="23">
        <v>16</v>
      </c>
      <c r="M615" s="23">
        <v>5</v>
      </c>
      <c r="N615" s="23">
        <v>4</v>
      </c>
      <c r="O615" s="23">
        <v>7</v>
      </c>
      <c r="P615" s="23">
        <v>0</v>
      </c>
      <c r="Q615" s="23" t="s">
        <v>44</v>
      </c>
      <c r="R615" s="23">
        <v>0</v>
      </c>
      <c r="S615" s="23">
        <v>0</v>
      </c>
      <c r="T615" s="23">
        <v>4</v>
      </c>
      <c r="U615" s="23">
        <v>9</v>
      </c>
      <c r="AG615" s="34">
        <v>20</v>
      </c>
      <c r="AH615">
        <v>0</v>
      </c>
      <c r="AI615">
        <v>8</v>
      </c>
      <c r="AJ615">
        <v>3</v>
      </c>
      <c r="AK615">
        <v>0</v>
      </c>
      <c r="AL615">
        <v>10</v>
      </c>
      <c r="AM615">
        <v>2</v>
      </c>
      <c r="AN615">
        <v>3</v>
      </c>
      <c r="AO615">
        <v>49</v>
      </c>
      <c r="AP615">
        <v>25</v>
      </c>
      <c r="AQ615" s="21">
        <f t="shared" si="85"/>
        <v>5</v>
      </c>
      <c r="AR615" s="12">
        <f t="shared" si="83"/>
        <v>100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 s="6">
        <f t="shared" si="84"/>
        <v>0</v>
      </c>
      <c r="BM615" s="6">
        <f t="shared" si="82"/>
        <v>0</v>
      </c>
      <c r="BN615">
        <v>8</v>
      </c>
      <c r="BO615">
        <f t="shared" si="86"/>
        <v>8</v>
      </c>
      <c r="BP615">
        <v>3</v>
      </c>
      <c r="BQ615">
        <f>SUM(BP615,BB615,BK615)</f>
        <v>3</v>
      </c>
      <c r="BR615">
        <f t="shared" si="80"/>
        <v>0</v>
      </c>
    </row>
    <row r="616" spans="1:70" hidden="1">
      <c r="A616" s="16" t="str">
        <f t="shared" si="81"/>
        <v>SC_2026_NPZ_2_5</v>
      </c>
      <c r="B616" t="s">
        <v>54</v>
      </c>
      <c r="C616">
        <v>43.303199999999997</v>
      </c>
      <c r="D616">
        <v>-124.3974</v>
      </c>
      <c r="E616" s="8">
        <v>46189</v>
      </c>
      <c r="F616">
        <v>2026</v>
      </c>
      <c r="G616" t="s">
        <v>41</v>
      </c>
      <c r="H616" t="s">
        <v>48</v>
      </c>
      <c r="I616">
        <v>2</v>
      </c>
      <c r="J616">
        <v>5</v>
      </c>
      <c r="K616" t="s">
        <v>44</v>
      </c>
      <c r="L616" s="23">
        <v>22</v>
      </c>
      <c r="M616" s="23">
        <v>4</v>
      </c>
      <c r="O616" s="23">
        <v>1</v>
      </c>
      <c r="P616" s="23">
        <v>0</v>
      </c>
      <c r="Q616" s="23" t="s">
        <v>44</v>
      </c>
      <c r="R616" s="23">
        <v>0</v>
      </c>
      <c r="S616" s="23">
        <v>0</v>
      </c>
      <c r="T616" s="23">
        <v>2</v>
      </c>
      <c r="U616" s="23">
        <v>6</v>
      </c>
      <c r="AH616">
        <v>0</v>
      </c>
      <c r="AI616">
        <v>0.1</v>
      </c>
      <c r="AJ616">
        <v>0.1</v>
      </c>
      <c r="AK616">
        <v>0</v>
      </c>
      <c r="AL616">
        <v>12</v>
      </c>
      <c r="AM616">
        <v>6</v>
      </c>
      <c r="AN616">
        <v>2</v>
      </c>
      <c r="AO616">
        <v>8</v>
      </c>
      <c r="AP616">
        <v>72</v>
      </c>
      <c r="AQ616" s="21">
        <f t="shared" si="85"/>
        <v>72</v>
      </c>
      <c r="AR616" s="12">
        <f t="shared" si="83"/>
        <v>100.2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s="6">
        <f t="shared" si="84"/>
        <v>0</v>
      </c>
      <c r="BM616" s="6">
        <f t="shared" si="82"/>
        <v>0</v>
      </c>
      <c r="BN616">
        <v>0.1</v>
      </c>
      <c r="BO616">
        <f t="shared" si="86"/>
        <v>0.1</v>
      </c>
      <c r="BP616">
        <v>0.1</v>
      </c>
      <c r="BQ616">
        <f>SUM(BP616,BB616,BK616)</f>
        <v>0.1</v>
      </c>
      <c r="BR616">
        <f t="shared" si="80"/>
        <v>0</v>
      </c>
    </row>
    <row r="617" spans="1:70" hidden="1">
      <c r="A617" s="16" t="str">
        <f t="shared" si="81"/>
        <v>CB_2026_AZ_1_1</v>
      </c>
      <c r="B617" t="s">
        <v>56</v>
      </c>
      <c r="C617">
        <v>42.839689999999997</v>
      </c>
      <c r="D617">
        <v>-124.5651</v>
      </c>
      <c r="E617" s="8">
        <v>46190</v>
      </c>
      <c r="F617">
        <v>2026</v>
      </c>
      <c r="G617" t="s">
        <v>56</v>
      </c>
      <c r="H617" t="s">
        <v>42</v>
      </c>
      <c r="I617">
        <v>1</v>
      </c>
      <c r="J617">
        <v>1</v>
      </c>
      <c r="K617" t="s">
        <v>46</v>
      </c>
      <c r="L617" s="23">
        <v>0</v>
      </c>
      <c r="M617" s="23">
        <v>0</v>
      </c>
      <c r="N617" s="23">
        <v>1</v>
      </c>
      <c r="O617" s="23">
        <v>1</v>
      </c>
      <c r="P617" s="23">
        <v>1</v>
      </c>
      <c r="Q617" s="23" t="s">
        <v>44</v>
      </c>
      <c r="R617" s="23">
        <v>0</v>
      </c>
      <c r="S617" s="23">
        <v>0</v>
      </c>
      <c r="T617" s="23">
        <v>17</v>
      </c>
      <c r="U617" s="23">
        <v>17</v>
      </c>
      <c r="V617" s="18" t="s">
        <v>44</v>
      </c>
      <c r="W617" s="18" t="s">
        <v>44</v>
      </c>
      <c r="X617" s="18" t="s">
        <v>44</v>
      </c>
      <c r="Y617" s="18" t="s">
        <v>44</v>
      </c>
      <c r="Z617" s="18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s="34">
        <v>0</v>
      </c>
      <c r="AH617">
        <v>5</v>
      </c>
      <c r="AI617">
        <v>65</v>
      </c>
      <c r="AJ617">
        <v>0</v>
      </c>
      <c r="AK617">
        <v>0</v>
      </c>
      <c r="AL617">
        <v>5</v>
      </c>
      <c r="AM617">
        <v>2</v>
      </c>
      <c r="AN617">
        <v>0</v>
      </c>
      <c r="AO617">
        <v>20</v>
      </c>
      <c r="AP617">
        <v>3</v>
      </c>
      <c r="AQ617" s="21">
        <f t="shared" si="85"/>
        <v>3</v>
      </c>
      <c r="AR617" s="12">
        <f t="shared" si="83"/>
        <v>100</v>
      </c>
      <c r="AS617">
        <v>0</v>
      </c>
      <c r="AT617">
        <v>23</v>
      </c>
      <c r="AU617">
        <v>0</v>
      </c>
      <c r="AV617">
        <v>0</v>
      </c>
      <c r="AW617">
        <v>0</v>
      </c>
      <c r="AX617">
        <v>40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 s="47">
        <v>8</v>
      </c>
      <c r="BH617">
        <v>0</v>
      </c>
      <c r="BI617">
        <v>0</v>
      </c>
      <c r="BJ617">
        <v>0</v>
      </c>
      <c r="BK617">
        <v>0</v>
      </c>
      <c r="BL617" s="6">
        <f t="shared" si="84"/>
        <v>63</v>
      </c>
      <c r="BM617" s="6">
        <f t="shared" si="82"/>
        <v>71</v>
      </c>
    </row>
    <row r="618" spans="1:70" hidden="1">
      <c r="A618" s="16" t="str">
        <f t="shared" si="81"/>
        <v>CB_2026_AZ_1_2</v>
      </c>
      <c r="B618" t="s">
        <v>56</v>
      </c>
      <c r="C618">
        <v>42.839689999999997</v>
      </c>
      <c r="D618">
        <v>-124.5651</v>
      </c>
      <c r="E618" s="8">
        <v>46190</v>
      </c>
      <c r="F618">
        <v>2026</v>
      </c>
      <c r="G618" t="s">
        <v>56</v>
      </c>
      <c r="H618" t="s">
        <v>42</v>
      </c>
      <c r="I618">
        <v>1</v>
      </c>
      <c r="J618">
        <v>2</v>
      </c>
      <c r="K618" t="s">
        <v>46</v>
      </c>
      <c r="L618" s="23">
        <v>21</v>
      </c>
      <c r="M618" s="23">
        <v>20</v>
      </c>
      <c r="N618" s="23">
        <v>0</v>
      </c>
      <c r="O618" s="23">
        <v>1</v>
      </c>
      <c r="P618" s="23">
        <v>6</v>
      </c>
      <c r="Q618" s="23" t="s">
        <v>44</v>
      </c>
      <c r="R618" s="23">
        <v>0</v>
      </c>
      <c r="S618" s="23">
        <v>0</v>
      </c>
      <c r="T618" s="23">
        <v>11</v>
      </c>
      <c r="U618" s="23">
        <v>13</v>
      </c>
      <c r="V618" s="18" t="s">
        <v>44</v>
      </c>
      <c r="W618" s="18" t="s">
        <v>44</v>
      </c>
      <c r="X618" s="18" t="s">
        <v>44</v>
      </c>
      <c r="Y618" s="18" t="s">
        <v>44</v>
      </c>
      <c r="Z618" s="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s="34">
        <v>14</v>
      </c>
      <c r="AH618">
        <v>2</v>
      </c>
      <c r="AI618">
        <v>66</v>
      </c>
      <c r="AJ618">
        <v>0</v>
      </c>
      <c r="AK618">
        <v>0</v>
      </c>
      <c r="AL618">
        <v>12</v>
      </c>
      <c r="AM618">
        <v>0</v>
      </c>
      <c r="AN618">
        <v>1</v>
      </c>
      <c r="AO618">
        <v>10</v>
      </c>
      <c r="AP618">
        <v>9</v>
      </c>
      <c r="AQ618" s="21">
        <f t="shared" si="85"/>
        <v>-5</v>
      </c>
      <c r="AR618" s="12">
        <f t="shared" si="83"/>
        <v>100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6</v>
      </c>
      <c r="BH618">
        <v>0</v>
      </c>
      <c r="BI618">
        <v>0</v>
      </c>
      <c r="BJ618">
        <v>0</v>
      </c>
      <c r="BK618">
        <v>0</v>
      </c>
      <c r="BL618" s="6">
        <f t="shared" si="84"/>
        <v>6</v>
      </c>
      <c r="BM618" s="6">
        <f t="shared" si="82"/>
        <v>12</v>
      </c>
    </row>
    <row r="619" spans="1:70">
      <c r="A619" s="16" t="str">
        <f t="shared" si="81"/>
        <v>CB_2026_AZ_1_3</v>
      </c>
      <c r="B619" t="s">
        <v>56</v>
      </c>
      <c r="C619">
        <v>42.839689999999997</v>
      </c>
      <c r="D619">
        <v>-124.5651</v>
      </c>
      <c r="E619" s="8">
        <v>46190</v>
      </c>
      <c r="F619">
        <v>2026</v>
      </c>
      <c r="G619" t="s">
        <v>56</v>
      </c>
      <c r="H619" t="s">
        <v>42</v>
      </c>
      <c r="I619">
        <v>1</v>
      </c>
      <c r="J619">
        <v>3</v>
      </c>
      <c r="K619" t="s">
        <v>43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 t="s">
        <v>44</v>
      </c>
      <c r="R619" s="23">
        <v>0</v>
      </c>
      <c r="S619" s="23">
        <v>0</v>
      </c>
      <c r="T619" s="23">
        <v>2</v>
      </c>
      <c r="U619" s="23">
        <v>5</v>
      </c>
      <c r="V619" s="18" t="s">
        <v>44</v>
      </c>
      <c r="W619" s="18" t="s">
        <v>44</v>
      </c>
      <c r="X619" s="18" t="s">
        <v>44</v>
      </c>
      <c r="Y619" s="18" t="s">
        <v>44</v>
      </c>
      <c r="Z619" s="18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s="34">
        <v>0</v>
      </c>
      <c r="AH619">
        <v>0</v>
      </c>
      <c r="AI619">
        <v>8</v>
      </c>
      <c r="AJ619">
        <v>25</v>
      </c>
      <c r="AK619">
        <v>0</v>
      </c>
      <c r="AL619">
        <v>2</v>
      </c>
      <c r="AM619">
        <v>0</v>
      </c>
      <c r="AN619">
        <v>4</v>
      </c>
      <c r="AO619">
        <v>0</v>
      </c>
      <c r="AP619">
        <v>61</v>
      </c>
      <c r="AQ619" s="21">
        <f t="shared" si="85"/>
        <v>61</v>
      </c>
      <c r="AR619" s="12">
        <f t="shared" si="83"/>
        <v>100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2</v>
      </c>
      <c r="AY619">
        <v>0</v>
      </c>
      <c r="AZ619">
        <v>0</v>
      </c>
      <c r="BA619">
        <v>0</v>
      </c>
      <c r="BB619">
        <v>25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 s="6">
        <f t="shared" si="84"/>
        <v>2</v>
      </c>
      <c r="BM619" s="6">
        <f t="shared" si="82"/>
        <v>27</v>
      </c>
      <c r="BN619">
        <v>8</v>
      </c>
      <c r="BO619">
        <f t="shared" si="86"/>
        <v>8</v>
      </c>
      <c r="BP619">
        <v>0</v>
      </c>
    </row>
    <row r="620" spans="1:70" hidden="1">
      <c r="A620" s="16" t="str">
        <f t="shared" si="81"/>
        <v>CB_2026_AZ_1_4</v>
      </c>
      <c r="B620" t="s">
        <v>56</v>
      </c>
      <c r="C620">
        <v>42.839689999999997</v>
      </c>
      <c r="D620">
        <v>-124.5651</v>
      </c>
      <c r="E620" s="8">
        <v>46190</v>
      </c>
      <c r="F620">
        <v>2026</v>
      </c>
      <c r="G620" t="s">
        <v>56</v>
      </c>
      <c r="H620" t="s">
        <v>42</v>
      </c>
      <c r="I620">
        <v>1</v>
      </c>
      <c r="J620">
        <v>4</v>
      </c>
      <c r="K620" t="s">
        <v>43</v>
      </c>
      <c r="L620" s="23">
        <v>1</v>
      </c>
      <c r="M620" s="23">
        <v>1</v>
      </c>
      <c r="N620" s="23">
        <v>0</v>
      </c>
      <c r="O620" s="23">
        <v>0</v>
      </c>
      <c r="P620" s="23">
        <v>0</v>
      </c>
      <c r="Q620" s="23" t="s">
        <v>44</v>
      </c>
      <c r="R620" s="23">
        <v>0</v>
      </c>
      <c r="S620" s="23">
        <v>0</v>
      </c>
      <c r="T620" s="23">
        <v>5</v>
      </c>
      <c r="U620" s="23">
        <v>6</v>
      </c>
      <c r="V620" s="18" t="s">
        <v>44</v>
      </c>
      <c r="W620" s="18" t="s">
        <v>44</v>
      </c>
      <c r="X620" s="18" t="s">
        <v>44</v>
      </c>
      <c r="Y620" s="18" t="s">
        <v>44</v>
      </c>
      <c r="Z620" s="18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s="34">
        <v>1</v>
      </c>
      <c r="AH620">
        <v>4</v>
      </c>
      <c r="AI620">
        <v>11</v>
      </c>
      <c r="AJ620">
        <v>0</v>
      </c>
      <c r="AK620">
        <v>0</v>
      </c>
      <c r="AL620">
        <v>17</v>
      </c>
      <c r="AM620">
        <v>4</v>
      </c>
      <c r="AN620">
        <v>1</v>
      </c>
      <c r="AO620">
        <v>57</v>
      </c>
      <c r="AP620">
        <v>6</v>
      </c>
      <c r="AQ620" s="21">
        <f t="shared" si="85"/>
        <v>5</v>
      </c>
      <c r="AR620" s="12">
        <f t="shared" si="83"/>
        <v>100</v>
      </c>
      <c r="AS620">
        <v>0</v>
      </c>
      <c r="AT620">
        <v>18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 s="6">
        <f t="shared" si="84"/>
        <v>18</v>
      </c>
      <c r="BM620" s="6">
        <f t="shared" si="82"/>
        <v>18</v>
      </c>
    </row>
    <row r="621" spans="1:70" hidden="1">
      <c r="A621" s="16" t="str">
        <f t="shared" si="81"/>
        <v>CB_2026_AZ_1_5</v>
      </c>
      <c r="B621" t="s">
        <v>56</v>
      </c>
      <c r="C621">
        <v>42.839689999999997</v>
      </c>
      <c r="D621">
        <v>-124.5651</v>
      </c>
      <c r="E621" s="8">
        <v>46190</v>
      </c>
      <c r="F621">
        <v>2026</v>
      </c>
      <c r="G621" t="s">
        <v>56</v>
      </c>
      <c r="H621" t="s">
        <v>42</v>
      </c>
      <c r="I621">
        <v>1</v>
      </c>
      <c r="J621">
        <v>5</v>
      </c>
      <c r="K621" t="s">
        <v>43</v>
      </c>
      <c r="L621" s="23">
        <v>3</v>
      </c>
      <c r="M621" s="23">
        <v>3</v>
      </c>
      <c r="N621" s="23">
        <v>0</v>
      </c>
      <c r="O621" s="23">
        <v>0</v>
      </c>
      <c r="P621" s="23">
        <v>1</v>
      </c>
      <c r="Q621" s="23" t="s">
        <v>44</v>
      </c>
      <c r="R621" s="23">
        <v>0</v>
      </c>
      <c r="S621" s="23">
        <v>0</v>
      </c>
      <c r="T621" s="23">
        <v>6</v>
      </c>
      <c r="U621" s="23">
        <v>9</v>
      </c>
      <c r="V621" s="18" t="s">
        <v>44</v>
      </c>
      <c r="W621" s="18" t="s">
        <v>44</v>
      </c>
      <c r="X621" s="18" t="s">
        <v>44</v>
      </c>
      <c r="Y621" s="18" t="s">
        <v>44</v>
      </c>
      <c r="Z621" s="18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s="34">
        <v>2</v>
      </c>
      <c r="AH621">
        <v>3</v>
      </c>
      <c r="AI621">
        <v>66</v>
      </c>
      <c r="AJ621">
        <v>0</v>
      </c>
      <c r="AK621">
        <v>0</v>
      </c>
      <c r="AL621">
        <v>19</v>
      </c>
      <c r="AM621">
        <v>2</v>
      </c>
      <c r="AN621">
        <v>0.1</v>
      </c>
      <c r="AO621">
        <v>0</v>
      </c>
      <c r="AP621">
        <v>10</v>
      </c>
      <c r="AQ621" s="21">
        <f t="shared" si="85"/>
        <v>8</v>
      </c>
      <c r="AR621" s="12">
        <f t="shared" si="83"/>
        <v>100.1</v>
      </c>
      <c r="AS621">
        <v>0</v>
      </c>
      <c r="AT621">
        <v>24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 s="6">
        <f t="shared" si="84"/>
        <v>24</v>
      </c>
      <c r="BM621" s="6">
        <f t="shared" si="82"/>
        <v>24</v>
      </c>
    </row>
    <row r="622" spans="1:70" hidden="1">
      <c r="A622" s="16" t="str">
        <f t="shared" si="81"/>
        <v>CB_2026_AZ_2_1</v>
      </c>
      <c r="B622" t="s">
        <v>56</v>
      </c>
      <c r="C622">
        <v>42.839689999999997</v>
      </c>
      <c r="D622">
        <v>-124.5651</v>
      </c>
      <c r="E622" s="8">
        <v>46190</v>
      </c>
      <c r="F622">
        <v>2026</v>
      </c>
      <c r="G622" t="s">
        <v>56</v>
      </c>
      <c r="H622" t="s">
        <v>42</v>
      </c>
      <c r="I622">
        <v>2</v>
      </c>
      <c r="J622">
        <v>1</v>
      </c>
      <c r="K622" t="s">
        <v>57</v>
      </c>
      <c r="L622" s="23">
        <v>0</v>
      </c>
      <c r="M622" s="23">
        <v>0</v>
      </c>
      <c r="N622" s="23">
        <v>0</v>
      </c>
      <c r="O622" s="23">
        <v>0</v>
      </c>
      <c r="P622" s="23">
        <v>0</v>
      </c>
      <c r="Q622" s="23" t="s">
        <v>44</v>
      </c>
      <c r="R622" s="23">
        <v>0</v>
      </c>
      <c r="S622" s="23">
        <v>0</v>
      </c>
      <c r="T622" s="23">
        <v>0</v>
      </c>
      <c r="U622" s="23">
        <v>0</v>
      </c>
      <c r="V622" s="18" t="s">
        <v>44</v>
      </c>
      <c r="W622" s="18" t="s">
        <v>44</v>
      </c>
      <c r="X622" s="18" t="s">
        <v>44</v>
      </c>
      <c r="Y622" s="18" t="s">
        <v>44</v>
      </c>
      <c r="Z622" s="18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s="34">
        <v>0</v>
      </c>
      <c r="AH622">
        <v>0</v>
      </c>
      <c r="AI622">
        <v>51</v>
      </c>
      <c r="AJ622">
        <v>6</v>
      </c>
      <c r="AK622">
        <v>0</v>
      </c>
      <c r="AL622">
        <v>0.1</v>
      </c>
      <c r="AM622">
        <v>12</v>
      </c>
      <c r="AN622">
        <v>4</v>
      </c>
      <c r="AO622">
        <v>27</v>
      </c>
      <c r="AP622">
        <v>0</v>
      </c>
      <c r="AQ622" s="21">
        <f t="shared" si="85"/>
        <v>0</v>
      </c>
      <c r="AR622" s="12">
        <f t="shared" si="83"/>
        <v>100.1</v>
      </c>
      <c r="AS622">
        <v>0</v>
      </c>
      <c r="AT622">
        <v>0</v>
      </c>
      <c r="AU622">
        <v>64</v>
      </c>
      <c r="AV622">
        <v>0</v>
      </c>
      <c r="AW622">
        <v>0</v>
      </c>
      <c r="AX622">
        <v>16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 s="6">
        <f t="shared" si="84"/>
        <v>19</v>
      </c>
      <c r="BM622" s="6">
        <f t="shared" si="82"/>
        <v>83</v>
      </c>
    </row>
    <row r="623" spans="1:70">
      <c r="A623" s="16" t="str">
        <f t="shared" si="81"/>
        <v>CB_2026_AZ_2_2</v>
      </c>
      <c r="B623" t="s">
        <v>56</v>
      </c>
      <c r="C623">
        <v>42.839689999999997</v>
      </c>
      <c r="D623">
        <v>-124.5651</v>
      </c>
      <c r="E623" s="8">
        <v>46190</v>
      </c>
      <c r="F623">
        <v>2026</v>
      </c>
      <c r="G623" t="s">
        <v>56</v>
      </c>
      <c r="H623" t="s">
        <v>42</v>
      </c>
      <c r="I623">
        <v>2</v>
      </c>
      <c r="J623">
        <v>2</v>
      </c>
      <c r="K623" t="s">
        <v>57</v>
      </c>
      <c r="L623" s="23">
        <v>0</v>
      </c>
      <c r="M623" s="23">
        <v>0</v>
      </c>
      <c r="N623" s="23">
        <v>0</v>
      </c>
      <c r="O623" s="23">
        <v>0</v>
      </c>
      <c r="P623" s="23">
        <v>0</v>
      </c>
      <c r="Q623" s="23" t="s">
        <v>44</v>
      </c>
      <c r="R623" s="23">
        <v>0</v>
      </c>
      <c r="S623" s="23">
        <v>0</v>
      </c>
      <c r="T623" s="23">
        <v>3</v>
      </c>
      <c r="U623" s="23">
        <v>3</v>
      </c>
      <c r="V623" s="18" t="s">
        <v>44</v>
      </c>
      <c r="W623" s="18" t="s">
        <v>44</v>
      </c>
      <c r="X623" s="18" t="s">
        <v>44</v>
      </c>
      <c r="Y623" s="18" t="s">
        <v>44</v>
      </c>
      <c r="Z623" s="18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s="34">
        <v>0</v>
      </c>
      <c r="AH623">
        <v>15</v>
      </c>
      <c r="AI623">
        <v>12</v>
      </c>
      <c r="AJ623">
        <v>17</v>
      </c>
      <c r="AK623">
        <v>0</v>
      </c>
      <c r="AL623">
        <v>2</v>
      </c>
      <c r="AM623">
        <v>6</v>
      </c>
      <c r="AN623">
        <v>0</v>
      </c>
      <c r="AO623">
        <v>37</v>
      </c>
      <c r="AP623">
        <v>11</v>
      </c>
      <c r="AQ623" s="21">
        <f t="shared" si="85"/>
        <v>11</v>
      </c>
      <c r="AR623" s="12">
        <f t="shared" si="83"/>
        <v>100</v>
      </c>
      <c r="AS623">
        <v>4</v>
      </c>
      <c r="AT623">
        <v>0</v>
      </c>
      <c r="AU623">
        <v>0</v>
      </c>
      <c r="AV623">
        <v>0</v>
      </c>
      <c r="AW623">
        <v>0</v>
      </c>
      <c r="AX623">
        <v>50</v>
      </c>
      <c r="AY623">
        <v>0</v>
      </c>
      <c r="AZ623">
        <v>0</v>
      </c>
      <c r="BA623">
        <v>0</v>
      </c>
      <c r="BB623">
        <v>9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 s="6">
        <f t="shared" si="84"/>
        <v>54</v>
      </c>
      <c r="BM623" s="6">
        <f t="shared" si="82"/>
        <v>63</v>
      </c>
    </row>
    <row r="624" spans="1:70" hidden="1">
      <c r="A624" s="16" t="str">
        <f t="shared" si="81"/>
        <v>CB_2026_AZ_2_5</v>
      </c>
      <c r="B624" t="s">
        <v>56</v>
      </c>
      <c r="C624">
        <v>42.839689999999997</v>
      </c>
      <c r="D624">
        <v>-124.5651</v>
      </c>
      <c r="E624" s="8">
        <v>46190</v>
      </c>
      <c r="F624">
        <v>2026</v>
      </c>
      <c r="G624" t="s">
        <v>56</v>
      </c>
      <c r="H624" t="s">
        <v>42</v>
      </c>
      <c r="I624">
        <v>2</v>
      </c>
      <c r="J624">
        <v>5</v>
      </c>
      <c r="K624" t="s">
        <v>57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 t="s">
        <v>44</v>
      </c>
      <c r="R624" s="23">
        <v>0</v>
      </c>
      <c r="S624" s="23">
        <v>0</v>
      </c>
      <c r="T624" s="23">
        <v>0</v>
      </c>
      <c r="U624" s="23">
        <v>0</v>
      </c>
      <c r="V624" s="18" t="s">
        <v>44</v>
      </c>
      <c r="W624" s="18" t="s">
        <v>44</v>
      </c>
      <c r="X624" s="18" t="s">
        <v>44</v>
      </c>
      <c r="Y624" s="18" t="s">
        <v>44</v>
      </c>
      <c r="Z624" s="18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s="34">
        <v>0</v>
      </c>
      <c r="AH624">
        <v>0</v>
      </c>
      <c r="AI624">
        <v>81</v>
      </c>
      <c r="AJ624">
        <v>14</v>
      </c>
      <c r="AK624">
        <v>0</v>
      </c>
      <c r="AL624">
        <v>0</v>
      </c>
      <c r="AM624">
        <v>0</v>
      </c>
      <c r="AN624">
        <v>0</v>
      </c>
      <c r="AO624">
        <v>2</v>
      </c>
      <c r="AP624">
        <v>3</v>
      </c>
      <c r="AQ624" s="21">
        <f t="shared" si="85"/>
        <v>3</v>
      </c>
      <c r="AR624" s="12">
        <f t="shared" si="83"/>
        <v>100</v>
      </c>
      <c r="AS624">
        <v>0</v>
      </c>
      <c r="AT624">
        <v>0</v>
      </c>
      <c r="AU624">
        <v>12</v>
      </c>
      <c r="AV624">
        <v>0</v>
      </c>
      <c r="AW624">
        <v>0</v>
      </c>
      <c r="AX624">
        <v>25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 s="6">
        <f t="shared" si="84"/>
        <v>29</v>
      </c>
      <c r="BM624" s="6">
        <f t="shared" si="82"/>
        <v>41</v>
      </c>
    </row>
    <row r="625" spans="1:70" hidden="1">
      <c r="A625" s="16" t="str">
        <f t="shared" si="81"/>
        <v>CB_2026_UPZ_1_1</v>
      </c>
      <c r="B625" t="s">
        <v>56</v>
      </c>
      <c r="C625">
        <v>42.839689999999997</v>
      </c>
      <c r="D625">
        <v>-124.5651</v>
      </c>
      <c r="E625" s="8">
        <v>46190</v>
      </c>
      <c r="F625">
        <v>2026</v>
      </c>
      <c r="G625" t="s">
        <v>56</v>
      </c>
      <c r="H625" t="s">
        <v>45</v>
      </c>
      <c r="I625">
        <v>1</v>
      </c>
      <c r="J625">
        <v>1</v>
      </c>
      <c r="K625" t="s">
        <v>53</v>
      </c>
      <c r="L625" s="23">
        <v>23</v>
      </c>
      <c r="M625" s="23">
        <v>22</v>
      </c>
      <c r="N625" s="23">
        <v>0</v>
      </c>
      <c r="O625" s="23">
        <v>1</v>
      </c>
      <c r="P625" s="23">
        <v>4</v>
      </c>
      <c r="Q625" s="23" t="s">
        <v>44</v>
      </c>
      <c r="R625" s="23">
        <v>0</v>
      </c>
      <c r="S625" s="23">
        <v>0</v>
      </c>
      <c r="T625" s="23">
        <v>5</v>
      </c>
      <c r="U625" s="23">
        <v>28</v>
      </c>
      <c r="AG625" s="34">
        <v>23</v>
      </c>
      <c r="AH625">
        <v>0</v>
      </c>
      <c r="AI625">
        <v>12</v>
      </c>
      <c r="AJ625">
        <v>0</v>
      </c>
      <c r="AK625">
        <v>0</v>
      </c>
      <c r="AL625">
        <v>20</v>
      </c>
      <c r="AM625">
        <v>12</v>
      </c>
      <c r="AN625">
        <v>1</v>
      </c>
      <c r="AO625">
        <v>8</v>
      </c>
      <c r="AP625">
        <v>47</v>
      </c>
      <c r="AQ625" s="21">
        <f t="shared" ref="AQ625:AQ651" si="87">AP625-AG625</f>
        <v>24</v>
      </c>
      <c r="AR625" s="12">
        <f t="shared" si="83"/>
        <v>100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</v>
      </c>
      <c r="BK625">
        <v>0</v>
      </c>
      <c r="BL625" s="6">
        <f t="shared" si="84"/>
        <v>6</v>
      </c>
      <c r="BM625" s="6">
        <f t="shared" si="82"/>
        <v>6</v>
      </c>
      <c r="BN625">
        <v>12</v>
      </c>
      <c r="BO625">
        <f t="shared" si="86"/>
        <v>12</v>
      </c>
      <c r="BP625">
        <v>0</v>
      </c>
      <c r="BQ625">
        <f>SUM(BP625,BB625,BK625)</f>
        <v>0</v>
      </c>
      <c r="BR625">
        <f t="shared" si="80"/>
        <v>0</v>
      </c>
    </row>
    <row r="626" spans="1:70" hidden="1">
      <c r="A626" s="16" t="str">
        <f t="shared" si="81"/>
        <v>CB_2026_UPZ_1_2</v>
      </c>
      <c r="B626" t="s">
        <v>56</v>
      </c>
      <c r="C626">
        <v>42.839689999999997</v>
      </c>
      <c r="D626">
        <v>-124.5651</v>
      </c>
      <c r="E626" s="8">
        <v>46190</v>
      </c>
      <c r="F626">
        <v>2026</v>
      </c>
      <c r="G626" t="s">
        <v>56</v>
      </c>
      <c r="H626" t="s">
        <v>45</v>
      </c>
      <c r="I626">
        <v>1</v>
      </c>
      <c r="J626">
        <v>2</v>
      </c>
      <c r="K626" t="s">
        <v>53</v>
      </c>
      <c r="L626" s="23">
        <v>25</v>
      </c>
      <c r="M626" s="23">
        <v>20</v>
      </c>
      <c r="N626" s="23">
        <v>3</v>
      </c>
      <c r="O626" s="23">
        <v>1</v>
      </c>
      <c r="P626" s="23">
        <v>6</v>
      </c>
      <c r="Q626" s="23" t="s">
        <v>44</v>
      </c>
      <c r="R626" s="23">
        <v>0</v>
      </c>
      <c r="S626" s="23">
        <v>0</v>
      </c>
      <c r="T626" s="23">
        <v>14</v>
      </c>
      <c r="U626" s="23">
        <v>39</v>
      </c>
      <c r="AG626" s="34">
        <v>18</v>
      </c>
      <c r="AH626">
        <v>0</v>
      </c>
      <c r="AI626">
        <v>12</v>
      </c>
      <c r="AJ626">
        <v>0</v>
      </c>
      <c r="AK626">
        <v>0</v>
      </c>
      <c r="AL626">
        <v>20</v>
      </c>
      <c r="AM626">
        <v>4</v>
      </c>
      <c r="AN626">
        <v>7</v>
      </c>
      <c r="AO626">
        <v>4</v>
      </c>
      <c r="AP626">
        <v>53</v>
      </c>
      <c r="AQ626" s="21">
        <f t="shared" si="87"/>
        <v>35</v>
      </c>
      <c r="AR626" s="12">
        <f t="shared" si="83"/>
        <v>100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 s="6">
        <f t="shared" si="84"/>
        <v>16</v>
      </c>
      <c r="BM626" s="6">
        <f t="shared" si="82"/>
        <v>16</v>
      </c>
      <c r="BN626">
        <v>12</v>
      </c>
      <c r="BO626">
        <f t="shared" si="86"/>
        <v>12</v>
      </c>
      <c r="BP626">
        <v>0</v>
      </c>
      <c r="BQ626">
        <f>SUM(BP626,BB626,BK626)</f>
        <v>0</v>
      </c>
      <c r="BR626">
        <f t="shared" si="80"/>
        <v>0</v>
      </c>
    </row>
    <row r="627" spans="1:70" hidden="1">
      <c r="A627" s="16" t="str">
        <f t="shared" si="81"/>
        <v>CB_2026_UPZ_1_3</v>
      </c>
      <c r="B627" t="s">
        <v>56</v>
      </c>
      <c r="C627">
        <v>42.839689999999997</v>
      </c>
      <c r="D627">
        <v>-124.5651</v>
      </c>
      <c r="E627" s="8">
        <v>46190</v>
      </c>
      <c r="F627">
        <v>2026</v>
      </c>
      <c r="G627" t="s">
        <v>56</v>
      </c>
      <c r="H627" t="s">
        <v>45</v>
      </c>
      <c r="I627">
        <v>1</v>
      </c>
      <c r="J627">
        <v>3</v>
      </c>
      <c r="K627" t="s">
        <v>46</v>
      </c>
      <c r="L627" s="23">
        <v>25</v>
      </c>
      <c r="M627" s="23">
        <v>15</v>
      </c>
      <c r="N627" s="23">
        <v>8</v>
      </c>
      <c r="O627" s="23">
        <v>2</v>
      </c>
      <c r="P627" s="23">
        <v>5</v>
      </c>
      <c r="Q627" s="23" t="s">
        <v>44</v>
      </c>
      <c r="R627" s="23">
        <v>0</v>
      </c>
      <c r="S627" s="23">
        <v>0</v>
      </c>
      <c r="T627" s="23">
        <v>12</v>
      </c>
      <c r="U627" s="23">
        <v>39</v>
      </c>
      <c r="AH627">
        <v>0</v>
      </c>
      <c r="AI627">
        <v>10</v>
      </c>
      <c r="AJ627">
        <v>0</v>
      </c>
      <c r="AK627">
        <v>0</v>
      </c>
      <c r="AL627">
        <v>16</v>
      </c>
      <c r="AM627">
        <v>5</v>
      </c>
      <c r="AN627">
        <v>1</v>
      </c>
      <c r="AO627">
        <v>52</v>
      </c>
      <c r="AP627">
        <v>16</v>
      </c>
      <c r="AQ627" s="21">
        <f t="shared" si="87"/>
        <v>16</v>
      </c>
      <c r="AR627" s="12">
        <f t="shared" si="83"/>
        <v>100</v>
      </c>
      <c r="AS627">
        <v>0</v>
      </c>
      <c r="AT627">
        <v>3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 s="6">
        <f t="shared" si="84"/>
        <v>3</v>
      </c>
      <c r="BM627" s="6">
        <f t="shared" si="82"/>
        <v>3</v>
      </c>
      <c r="BN627">
        <v>10</v>
      </c>
      <c r="BO627">
        <f t="shared" si="86"/>
        <v>10</v>
      </c>
      <c r="BP627">
        <v>0</v>
      </c>
      <c r="BQ627">
        <f>SUM(BP627,BB627,BK627)</f>
        <v>0</v>
      </c>
      <c r="BR627">
        <f t="shared" si="80"/>
        <v>0</v>
      </c>
    </row>
    <row r="628" spans="1:70" hidden="1">
      <c r="A628" s="16" t="str">
        <f t="shared" si="81"/>
        <v>CB_2026_UPZ_1_4</v>
      </c>
      <c r="B628" t="s">
        <v>56</v>
      </c>
      <c r="C628">
        <v>42.839689999999997</v>
      </c>
      <c r="D628">
        <v>-124.5651</v>
      </c>
      <c r="E628" s="8">
        <v>46190</v>
      </c>
      <c r="F628">
        <v>2026</v>
      </c>
      <c r="G628" t="s">
        <v>56</v>
      </c>
      <c r="H628" t="s">
        <v>45</v>
      </c>
      <c r="I628">
        <v>1</v>
      </c>
      <c r="J628">
        <v>4</v>
      </c>
      <c r="K628" t="s">
        <v>46</v>
      </c>
      <c r="L628" s="23">
        <v>18</v>
      </c>
      <c r="M628" s="23">
        <v>18</v>
      </c>
      <c r="N628" s="23">
        <v>0</v>
      </c>
      <c r="O628" s="23">
        <v>0</v>
      </c>
      <c r="P628" s="23">
        <v>1</v>
      </c>
      <c r="Q628" s="23" t="s">
        <v>44</v>
      </c>
      <c r="R628" s="23">
        <v>0</v>
      </c>
      <c r="S628" s="23">
        <v>0</v>
      </c>
      <c r="T628" s="23">
        <v>12</v>
      </c>
      <c r="U628" s="23">
        <v>32</v>
      </c>
      <c r="AG628" s="34">
        <v>15</v>
      </c>
      <c r="AH628">
        <v>0</v>
      </c>
      <c r="AI628">
        <v>54</v>
      </c>
      <c r="AJ628">
        <v>0</v>
      </c>
      <c r="AK628">
        <v>0</v>
      </c>
      <c r="AL628">
        <v>15</v>
      </c>
      <c r="AM628">
        <v>3</v>
      </c>
      <c r="AN628">
        <v>3</v>
      </c>
      <c r="AO628">
        <v>2</v>
      </c>
      <c r="AP628">
        <v>23</v>
      </c>
      <c r="AQ628" s="21">
        <f t="shared" si="87"/>
        <v>8</v>
      </c>
      <c r="AR628" s="12">
        <f t="shared" si="83"/>
        <v>100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 s="6">
        <f t="shared" si="84"/>
        <v>6</v>
      </c>
      <c r="BM628" s="6">
        <f t="shared" si="82"/>
        <v>6</v>
      </c>
      <c r="BN628">
        <v>54</v>
      </c>
      <c r="BO628">
        <f t="shared" si="86"/>
        <v>54</v>
      </c>
      <c r="BP628">
        <v>0</v>
      </c>
      <c r="BQ628">
        <f>SUM(BP628,BB628,BK628)</f>
        <v>0</v>
      </c>
      <c r="BR628">
        <f t="shared" si="80"/>
        <v>0</v>
      </c>
    </row>
    <row r="629" spans="1:70" hidden="1">
      <c r="A629" s="16" t="str">
        <f t="shared" si="81"/>
        <v>CB_2026_UPZ_1_5</v>
      </c>
      <c r="B629" t="s">
        <v>56</v>
      </c>
      <c r="C629">
        <v>42.839689999999997</v>
      </c>
      <c r="D629">
        <v>-124.5651</v>
      </c>
      <c r="E629" s="8">
        <v>46190</v>
      </c>
      <c r="F629">
        <v>2026</v>
      </c>
      <c r="G629" t="s">
        <v>56</v>
      </c>
      <c r="H629" t="s">
        <v>45</v>
      </c>
      <c r="I629">
        <v>1</v>
      </c>
      <c r="J629">
        <v>5</v>
      </c>
      <c r="K629" t="s">
        <v>53</v>
      </c>
      <c r="L629" s="23">
        <v>17</v>
      </c>
      <c r="M629" s="23">
        <v>15</v>
      </c>
      <c r="N629" s="23">
        <v>0</v>
      </c>
      <c r="O629" s="23">
        <v>2</v>
      </c>
      <c r="P629" s="23">
        <v>3</v>
      </c>
      <c r="Q629" s="23" t="s">
        <v>44</v>
      </c>
      <c r="R629" s="23">
        <v>0</v>
      </c>
      <c r="S629" s="23">
        <v>0</v>
      </c>
      <c r="T629" s="23">
        <v>5</v>
      </c>
      <c r="U629" s="23">
        <v>22</v>
      </c>
      <c r="AG629" s="34">
        <v>11</v>
      </c>
      <c r="AH629">
        <v>1</v>
      </c>
      <c r="AI629">
        <v>58</v>
      </c>
      <c r="AJ629">
        <v>0</v>
      </c>
      <c r="AK629">
        <v>0</v>
      </c>
      <c r="AL629">
        <v>15</v>
      </c>
      <c r="AM629">
        <v>8</v>
      </c>
      <c r="AN629">
        <v>4</v>
      </c>
      <c r="AO629">
        <v>12</v>
      </c>
      <c r="AP629">
        <v>2</v>
      </c>
      <c r="AQ629" s="21">
        <f t="shared" si="87"/>
        <v>-9</v>
      </c>
      <c r="AR629" s="12">
        <f t="shared" si="83"/>
        <v>100</v>
      </c>
      <c r="AS629">
        <v>0</v>
      </c>
      <c r="AT629">
        <v>0</v>
      </c>
      <c r="AU629">
        <v>0</v>
      </c>
      <c r="AV629">
        <v>0</v>
      </c>
      <c r="AW629">
        <v>8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 s="6">
        <f t="shared" si="84"/>
        <v>8</v>
      </c>
      <c r="BM629" s="6">
        <f t="shared" si="82"/>
        <v>8</v>
      </c>
      <c r="BN629">
        <v>58</v>
      </c>
      <c r="BO629">
        <f t="shared" si="86"/>
        <v>58</v>
      </c>
      <c r="BP629">
        <v>0</v>
      </c>
      <c r="BQ629">
        <f>SUM(BP629,BB629,BK629)</f>
        <v>0</v>
      </c>
      <c r="BR629">
        <f t="shared" si="80"/>
        <v>0</v>
      </c>
    </row>
    <row r="630" spans="1:70" hidden="1">
      <c r="A630" s="16" t="str">
        <f t="shared" si="81"/>
        <v>CB_2026_UPZ_2_1</v>
      </c>
      <c r="B630" t="s">
        <v>56</v>
      </c>
      <c r="C630">
        <v>42.839689999999997</v>
      </c>
      <c r="D630">
        <v>-124.5651</v>
      </c>
      <c r="E630" s="8">
        <v>46190</v>
      </c>
      <c r="F630">
        <v>2026</v>
      </c>
      <c r="G630" t="s">
        <v>56</v>
      </c>
      <c r="H630" t="s">
        <v>45</v>
      </c>
      <c r="I630">
        <v>2</v>
      </c>
      <c r="J630">
        <v>1</v>
      </c>
      <c r="K630" t="s">
        <v>46</v>
      </c>
      <c r="L630" s="23">
        <v>13</v>
      </c>
      <c r="M630" s="23">
        <v>13</v>
      </c>
      <c r="N630" s="23">
        <v>0</v>
      </c>
      <c r="O630" s="23">
        <v>0</v>
      </c>
      <c r="P630" s="23">
        <v>4</v>
      </c>
      <c r="Q630" s="23" t="s">
        <v>44</v>
      </c>
      <c r="R630" s="23">
        <v>0</v>
      </c>
      <c r="S630" s="23">
        <v>0</v>
      </c>
      <c r="T630" s="23">
        <v>4</v>
      </c>
      <c r="U630" s="23">
        <v>17</v>
      </c>
      <c r="AG630" s="34">
        <v>11</v>
      </c>
      <c r="AH630">
        <v>2</v>
      </c>
      <c r="AI630">
        <v>71</v>
      </c>
      <c r="AJ630">
        <v>0.1</v>
      </c>
      <c r="AK630">
        <v>0</v>
      </c>
      <c r="AL630">
        <v>10</v>
      </c>
      <c r="AM630">
        <v>2</v>
      </c>
      <c r="AN630">
        <v>0</v>
      </c>
      <c r="AO630">
        <v>0</v>
      </c>
      <c r="AP630">
        <v>15</v>
      </c>
      <c r="AQ630" s="21">
        <f t="shared" si="87"/>
        <v>4</v>
      </c>
      <c r="AR630" s="12">
        <f t="shared" si="83"/>
        <v>100.1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 s="6">
        <f t="shared" si="84"/>
        <v>15</v>
      </c>
      <c r="BM630" s="6">
        <f t="shared" ref="BM630:BM690" si="88">SUM(AS630:BJ630)</f>
        <v>15</v>
      </c>
      <c r="BN630">
        <v>71</v>
      </c>
      <c r="BO630">
        <f t="shared" si="86"/>
        <v>71</v>
      </c>
      <c r="BP630">
        <v>0.1</v>
      </c>
      <c r="BQ630">
        <f>SUM(BP630,BB630,BK630)</f>
        <v>0.1</v>
      </c>
      <c r="BR630">
        <f t="shared" si="80"/>
        <v>0</v>
      </c>
    </row>
    <row r="631" spans="1:70" hidden="1">
      <c r="A631" s="16" t="str">
        <f t="shared" si="81"/>
        <v>CB_2026_UPZ_2_2</v>
      </c>
      <c r="B631" t="s">
        <v>56</v>
      </c>
      <c r="C631">
        <v>42.839689999999997</v>
      </c>
      <c r="D631">
        <v>-124.5651</v>
      </c>
      <c r="E631" s="8">
        <v>46190</v>
      </c>
      <c r="F631">
        <v>2026</v>
      </c>
      <c r="G631" t="s">
        <v>56</v>
      </c>
      <c r="H631" t="s">
        <v>45</v>
      </c>
      <c r="I631">
        <v>2</v>
      </c>
      <c r="J631">
        <v>2</v>
      </c>
      <c r="K631" t="s">
        <v>43</v>
      </c>
      <c r="L631" s="23">
        <v>12</v>
      </c>
      <c r="M631" s="23">
        <v>10</v>
      </c>
      <c r="N631" s="23">
        <v>2</v>
      </c>
      <c r="O631" s="23">
        <v>0</v>
      </c>
      <c r="P631" s="23">
        <v>2</v>
      </c>
      <c r="Q631" s="23" t="s">
        <v>44</v>
      </c>
      <c r="R631" s="23">
        <v>0</v>
      </c>
      <c r="S631" s="23">
        <v>0</v>
      </c>
      <c r="T631" s="23">
        <v>5</v>
      </c>
      <c r="U631" s="23">
        <v>17</v>
      </c>
      <c r="AG631" s="34">
        <v>13</v>
      </c>
      <c r="AH631">
        <v>1</v>
      </c>
      <c r="AJ631">
        <v>1</v>
      </c>
      <c r="AK631">
        <v>0</v>
      </c>
      <c r="AL631">
        <v>12</v>
      </c>
      <c r="AM631">
        <v>4</v>
      </c>
      <c r="AN631">
        <v>0</v>
      </c>
      <c r="AO631">
        <v>0</v>
      </c>
      <c r="AP631">
        <v>10</v>
      </c>
      <c r="AQ631" s="21">
        <f t="shared" si="87"/>
        <v>-3</v>
      </c>
      <c r="AR631" s="12">
        <f t="shared" ref="AR631:AR671" si="89">SUM(AH631:AP631)</f>
        <v>28</v>
      </c>
      <c r="AS631">
        <v>0</v>
      </c>
      <c r="AT631">
        <v>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 s="6">
        <f t="shared" si="84"/>
        <v>2</v>
      </c>
      <c r="BM631" s="6">
        <f t="shared" si="88"/>
        <v>2</v>
      </c>
      <c r="BO631">
        <f t="shared" si="86"/>
        <v>0</v>
      </c>
      <c r="BP631">
        <v>1</v>
      </c>
      <c r="BQ631">
        <f>SUM(BP631,BB631,BK631)</f>
        <v>1</v>
      </c>
      <c r="BR631">
        <f t="shared" si="80"/>
        <v>0</v>
      </c>
    </row>
    <row r="632" spans="1:70" hidden="1">
      <c r="A632" s="16" t="str">
        <f t="shared" si="81"/>
        <v>CB_2026_NPZ_1_1</v>
      </c>
      <c r="B632" t="s">
        <v>56</v>
      </c>
      <c r="C632">
        <v>42.839689999999997</v>
      </c>
      <c r="D632">
        <v>-124.5651</v>
      </c>
      <c r="E632" s="8">
        <v>46190</v>
      </c>
      <c r="F632">
        <v>2026</v>
      </c>
      <c r="G632" t="s">
        <v>56</v>
      </c>
      <c r="H632" t="s">
        <v>48</v>
      </c>
      <c r="I632">
        <v>1</v>
      </c>
      <c r="J632">
        <v>1</v>
      </c>
      <c r="K632" t="s">
        <v>47</v>
      </c>
      <c r="L632" s="23">
        <v>14</v>
      </c>
      <c r="M632" s="23">
        <v>0</v>
      </c>
      <c r="N632" s="23">
        <v>4</v>
      </c>
      <c r="O632" s="23">
        <v>10</v>
      </c>
      <c r="P632" s="23">
        <v>1</v>
      </c>
      <c r="Q632" s="23" t="s">
        <v>44</v>
      </c>
      <c r="R632" s="23">
        <v>0</v>
      </c>
      <c r="S632" s="23">
        <v>0</v>
      </c>
      <c r="T632" s="23">
        <v>0</v>
      </c>
      <c r="U632" s="23">
        <v>0</v>
      </c>
      <c r="AG632" s="34">
        <v>12</v>
      </c>
      <c r="AH632">
        <v>0</v>
      </c>
      <c r="AI632">
        <v>10</v>
      </c>
      <c r="AJ632">
        <v>0</v>
      </c>
      <c r="AK632">
        <v>0</v>
      </c>
      <c r="AL632">
        <v>21</v>
      </c>
      <c r="AM632">
        <v>6</v>
      </c>
      <c r="AN632">
        <v>0</v>
      </c>
      <c r="AO632">
        <v>59</v>
      </c>
      <c r="AP632">
        <v>4</v>
      </c>
      <c r="AQ632" s="21">
        <f t="shared" si="87"/>
        <v>-8</v>
      </c>
      <c r="AR632" s="12">
        <f t="shared" si="89"/>
        <v>100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 s="6">
        <f t="shared" si="84"/>
        <v>0</v>
      </c>
      <c r="BM632" s="6">
        <f t="shared" si="88"/>
        <v>0</v>
      </c>
      <c r="BN632">
        <v>10</v>
      </c>
      <c r="BO632">
        <f t="shared" si="86"/>
        <v>10</v>
      </c>
      <c r="BP632">
        <v>0</v>
      </c>
      <c r="BQ632">
        <f>SUM(BP632,BB632,BK632)</f>
        <v>0</v>
      </c>
      <c r="BR632">
        <f t="shared" si="80"/>
        <v>0</v>
      </c>
    </row>
    <row r="633" spans="1:70" hidden="1">
      <c r="A633" s="16" t="str">
        <f t="shared" si="81"/>
        <v>CB_2026_NPZ_1_2</v>
      </c>
      <c r="B633" t="s">
        <v>56</v>
      </c>
      <c r="C633">
        <v>42.839689999999997</v>
      </c>
      <c r="D633">
        <v>-124.5651</v>
      </c>
      <c r="E633" s="8">
        <v>46190</v>
      </c>
      <c r="F633">
        <v>2026</v>
      </c>
      <c r="G633" t="s">
        <v>56</v>
      </c>
      <c r="H633" t="s">
        <v>48</v>
      </c>
      <c r="I633">
        <v>1</v>
      </c>
      <c r="J633">
        <v>2</v>
      </c>
      <c r="K633" t="s">
        <v>58</v>
      </c>
      <c r="L633" s="23">
        <v>23</v>
      </c>
      <c r="M633" s="23">
        <v>0</v>
      </c>
      <c r="N633" s="23">
        <v>2</v>
      </c>
      <c r="O633" s="23">
        <v>21</v>
      </c>
      <c r="P633" s="23">
        <v>1</v>
      </c>
      <c r="Q633" s="23" t="s">
        <v>44</v>
      </c>
      <c r="R633" s="23">
        <v>0</v>
      </c>
      <c r="S633" s="23">
        <v>0</v>
      </c>
      <c r="T633" s="23">
        <v>0</v>
      </c>
      <c r="U633" s="23">
        <v>0</v>
      </c>
      <c r="AG633" s="34">
        <v>24</v>
      </c>
      <c r="AH633">
        <v>0</v>
      </c>
      <c r="AI633">
        <v>5</v>
      </c>
      <c r="AJ633">
        <v>0</v>
      </c>
      <c r="AK633">
        <v>0</v>
      </c>
      <c r="AL633">
        <v>10</v>
      </c>
      <c r="AM633">
        <v>6</v>
      </c>
      <c r="AN633">
        <v>3</v>
      </c>
      <c r="AO633">
        <v>71</v>
      </c>
      <c r="AP633">
        <v>5</v>
      </c>
      <c r="AQ633" s="21">
        <f t="shared" si="87"/>
        <v>-19</v>
      </c>
      <c r="AR633" s="12">
        <f t="shared" si="89"/>
        <v>100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 s="6">
        <f t="shared" si="84"/>
        <v>0</v>
      </c>
      <c r="BM633" s="6">
        <f t="shared" si="88"/>
        <v>0</v>
      </c>
      <c r="BN633">
        <v>5</v>
      </c>
      <c r="BO633">
        <f t="shared" si="86"/>
        <v>5</v>
      </c>
      <c r="BP633">
        <v>0</v>
      </c>
      <c r="BQ633">
        <f>SUM(BP633,BB633,BK633)</f>
        <v>0</v>
      </c>
      <c r="BR633">
        <f t="shared" si="80"/>
        <v>0</v>
      </c>
    </row>
    <row r="634" spans="1:70" hidden="1">
      <c r="A634" s="16" t="str">
        <f t="shared" si="81"/>
        <v>CB_2026_NPZ_1_3</v>
      </c>
      <c r="B634" t="s">
        <v>56</v>
      </c>
      <c r="C634">
        <v>42.839689999999997</v>
      </c>
      <c r="D634">
        <v>-124.5651</v>
      </c>
      <c r="E634" s="8">
        <v>46190</v>
      </c>
      <c r="F634">
        <v>2026</v>
      </c>
      <c r="G634" t="s">
        <v>56</v>
      </c>
      <c r="H634" t="s">
        <v>48</v>
      </c>
      <c r="I634">
        <v>1</v>
      </c>
      <c r="J634">
        <v>3</v>
      </c>
      <c r="K634" t="s">
        <v>47</v>
      </c>
      <c r="L634" s="23">
        <v>14</v>
      </c>
      <c r="M634" s="23">
        <v>2</v>
      </c>
      <c r="N634" s="23">
        <v>11</v>
      </c>
      <c r="O634" s="23">
        <v>1</v>
      </c>
      <c r="P634" s="23">
        <v>1</v>
      </c>
      <c r="Q634" s="23" t="s">
        <v>44</v>
      </c>
      <c r="R634" s="23">
        <v>0</v>
      </c>
      <c r="S634" s="23">
        <v>0</v>
      </c>
      <c r="T634" s="23">
        <v>5</v>
      </c>
      <c r="U634" s="23">
        <v>7</v>
      </c>
      <c r="AG634" s="34">
        <v>13</v>
      </c>
      <c r="AH634">
        <v>0</v>
      </c>
      <c r="AI634">
        <v>0</v>
      </c>
      <c r="AJ634">
        <v>0</v>
      </c>
      <c r="AK634">
        <v>0</v>
      </c>
      <c r="AL634">
        <v>16</v>
      </c>
      <c r="AM634">
        <v>3</v>
      </c>
      <c r="AN634">
        <v>0</v>
      </c>
      <c r="AO634">
        <v>6</v>
      </c>
      <c r="AP634">
        <v>75</v>
      </c>
      <c r="AQ634" s="21">
        <f t="shared" si="87"/>
        <v>62</v>
      </c>
      <c r="AR634" s="12">
        <f t="shared" si="89"/>
        <v>100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 s="6">
        <f t="shared" si="84"/>
        <v>0</v>
      </c>
      <c r="BM634" s="6">
        <f t="shared" si="88"/>
        <v>0</v>
      </c>
      <c r="BN634">
        <v>0</v>
      </c>
      <c r="BO634">
        <f t="shared" si="86"/>
        <v>0</v>
      </c>
      <c r="BP634">
        <v>0</v>
      </c>
      <c r="BQ634">
        <f>SUM(BP634,BB634,BK634)</f>
        <v>0</v>
      </c>
      <c r="BR634">
        <f t="shared" si="80"/>
        <v>0</v>
      </c>
    </row>
    <row r="635" spans="1:70" hidden="1">
      <c r="A635" s="16" t="str">
        <f t="shared" si="81"/>
        <v>CB_2026_NPZ_1_4</v>
      </c>
      <c r="B635" t="s">
        <v>56</v>
      </c>
      <c r="C635">
        <v>42.839689999999997</v>
      </c>
      <c r="D635">
        <v>-124.5651</v>
      </c>
      <c r="E635" s="8">
        <v>46190</v>
      </c>
      <c r="F635">
        <v>2026</v>
      </c>
      <c r="G635" t="s">
        <v>56</v>
      </c>
      <c r="H635" t="s">
        <v>48</v>
      </c>
      <c r="I635">
        <v>1</v>
      </c>
      <c r="J635">
        <v>4</v>
      </c>
      <c r="K635" t="s">
        <v>47</v>
      </c>
      <c r="L635" s="23">
        <v>29</v>
      </c>
      <c r="M635" s="23">
        <v>0</v>
      </c>
      <c r="N635" s="23">
        <v>9</v>
      </c>
      <c r="O635" s="23">
        <v>20</v>
      </c>
      <c r="P635" s="23">
        <v>0</v>
      </c>
      <c r="Q635" s="23" t="s">
        <v>44</v>
      </c>
      <c r="R635" s="23">
        <v>0</v>
      </c>
      <c r="S635" s="23">
        <v>0</v>
      </c>
      <c r="T635" s="23">
        <v>0</v>
      </c>
      <c r="U635" s="23">
        <v>0</v>
      </c>
      <c r="AG635" s="34">
        <v>49</v>
      </c>
      <c r="AH635">
        <v>0</v>
      </c>
      <c r="AI635">
        <v>0</v>
      </c>
      <c r="AJ635">
        <v>0</v>
      </c>
      <c r="AK635">
        <v>0</v>
      </c>
      <c r="AL635">
        <v>37</v>
      </c>
      <c r="AM635">
        <v>4</v>
      </c>
      <c r="AN635">
        <v>9</v>
      </c>
      <c r="AO635">
        <v>4</v>
      </c>
      <c r="AP635">
        <v>46</v>
      </c>
      <c r="AQ635" s="21">
        <f t="shared" si="87"/>
        <v>-3</v>
      </c>
      <c r="AR635" s="12">
        <f t="shared" si="89"/>
        <v>100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 s="6">
        <f t="shared" si="84"/>
        <v>0</v>
      </c>
      <c r="BM635" s="6">
        <f t="shared" si="88"/>
        <v>0</v>
      </c>
      <c r="BN635">
        <v>0</v>
      </c>
      <c r="BO635">
        <f t="shared" si="86"/>
        <v>0</v>
      </c>
      <c r="BP635">
        <v>0</v>
      </c>
      <c r="BQ635">
        <f>SUM(BP635,BB635,BK635)</f>
        <v>0</v>
      </c>
      <c r="BR635">
        <f t="shared" si="80"/>
        <v>0</v>
      </c>
    </row>
    <row r="636" spans="1:70" hidden="1">
      <c r="A636" s="16" t="str">
        <f t="shared" si="81"/>
        <v>CB_2026_NPZ_1_5</v>
      </c>
      <c r="B636" t="s">
        <v>56</v>
      </c>
      <c r="C636">
        <v>42.839689999999997</v>
      </c>
      <c r="D636">
        <v>-124.5651</v>
      </c>
      <c r="E636" s="8">
        <v>46190</v>
      </c>
      <c r="F636">
        <v>2026</v>
      </c>
      <c r="G636" t="s">
        <v>56</v>
      </c>
      <c r="H636" t="s">
        <v>48</v>
      </c>
      <c r="I636">
        <v>1</v>
      </c>
      <c r="J636">
        <v>5</v>
      </c>
      <c r="K636" t="s">
        <v>47</v>
      </c>
      <c r="L636" s="23">
        <v>20</v>
      </c>
      <c r="M636" s="23">
        <v>0</v>
      </c>
      <c r="N636" s="23">
        <v>11</v>
      </c>
      <c r="O636" s="23">
        <v>9</v>
      </c>
      <c r="P636" s="23">
        <v>2</v>
      </c>
      <c r="Q636" s="23" t="s">
        <v>44</v>
      </c>
      <c r="R636" s="23">
        <v>0</v>
      </c>
      <c r="S636" s="23">
        <v>0</v>
      </c>
      <c r="T636" s="23">
        <v>0</v>
      </c>
      <c r="U636" s="23">
        <v>0</v>
      </c>
      <c r="AG636" s="34">
        <v>25</v>
      </c>
      <c r="AH636">
        <v>0</v>
      </c>
      <c r="AI636">
        <v>2</v>
      </c>
      <c r="AJ636">
        <v>0</v>
      </c>
      <c r="AK636">
        <v>0</v>
      </c>
      <c r="AL636">
        <v>24</v>
      </c>
      <c r="AM636">
        <v>4</v>
      </c>
      <c r="AN636">
        <v>5</v>
      </c>
      <c r="AP636">
        <v>29</v>
      </c>
      <c r="AQ636" s="21">
        <f t="shared" si="87"/>
        <v>4</v>
      </c>
      <c r="AR636" s="12">
        <f t="shared" si="89"/>
        <v>64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 s="6">
        <f t="shared" si="84"/>
        <v>0</v>
      </c>
      <c r="BM636" s="6">
        <f t="shared" si="88"/>
        <v>0</v>
      </c>
      <c r="BN636">
        <v>2</v>
      </c>
      <c r="BO636">
        <f t="shared" si="86"/>
        <v>2</v>
      </c>
      <c r="BP636">
        <v>0</v>
      </c>
      <c r="BQ636">
        <f>SUM(BP636,BB636,BK636)</f>
        <v>0</v>
      </c>
      <c r="BR636">
        <f t="shared" ref="BR636:BR699" si="90">BQ636-BP636</f>
        <v>0</v>
      </c>
    </row>
    <row r="637" spans="1:70" hidden="1">
      <c r="A637" s="16" t="str">
        <f t="shared" si="81"/>
        <v>CB_2026_NPZ_2_1</v>
      </c>
      <c r="B637" t="s">
        <v>56</v>
      </c>
      <c r="C637">
        <v>42.839689999999997</v>
      </c>
      <c r="D637">
        <v>-124.5651</v>
      </c>
      <c r="E637" s="8">
        <v>46190</v>
      </c>
      <c r="F637">
        <v>2026</v>
      </c>
      <c r="G637" t="s">
        <v>56</v>
      </c>
      <c r="H637" t="s">
        <v>48</v>
      </c>
      <c r="I637">
        <v>2</v>
      </c>
      <c r="J637">
        <v>1</v>
      </c>
      <c r="K637" t="s">
        <v>57</v>
      </c>
      <c r="L637" s="23">
        <v>31</v>
      </c>
      <c r="M637" s="23">
        <v>0</v>
      </c>
      <c r="N637" s="23">
        <v>1</v>
      </c>
      <c r="O637" s="23">
        <v>30</v>
      </c>
      <c r="P637" s="23">
        <v>0</v>
      </c>
      <c r="Q637" s="23" t="s">
        <v>44</v>
      </c>
      <c r="R637" s="23">
        <v>0</v>
      </c>
      <c r="S637" s="23">
        <v>0</v>
      </c>
      <c r="T637" s="23">
        <v>1</v>
      </c>
      <c r="U637" s="23">
        <v>1</v>
      </c>
      <c r="AG637" s="34">
        <v>33</v>
      </c>
      <c r="AH637">
        <v>0</v>
      </c>
      <c r="AI637">
        <v>0</v>
      </c>
      <c r="AJ637">
        <v>0</v>
      </c>
      <c r="AK637">
        <v>0</v>
      </c>
      <c r="AL637">
        <v>8</v>
      </c>
      <c r="AM637">
        <v>5</v>
      </c>
      <c r="AN637">
        <v>0</v>
      </c>
      <c r="AO637">
        <v>8</v>
      </c>
      <c r="AP637">
        <v>79</v>
      </c>
      <c r="AQ637" s="21">
        <f t="shared" si="87"/>
        <v>46</v>
      </c>
      <c r="AR637" s="12">
        <f t="shared" si="89"/>
        <v>100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 s="6">
        <f t="shared" si="84"/>
        <v>0</v>
      </c>
      <c r="BM637" s="6">
        <f t="shared" si="88"/>
        <v>0</v>
      </c>
      <c r="BN637">
        <v>0</v>
      </c>
      <c r="BO637">
        <f t="shared" si="86"/>
        <v>0</v>
      </c>
      <c r="BP637">
        <v>0</v>
      </c>
      <c r="BQ637">
        <f>SUM(BP637,BB637,BK637)</f>
        <v>0</v>
      </c>
      <c r="BR637">
        <f t="shared" si="90"/>
        <v>0</v>
      </c>
    </row>
    <row r="638" spans="1:70" hidden="1">
      <c r="A638" s="16" t="str">
        <f t="shared" si="81"/>
        <v>CB_2026_NPZ_2_2</v>
      </c>
      <c r="B638" t="s">
        <v>56</v>
      </c>
      <c r="C638">
        <v>42.839689999999997</v>
      </c>
      <c r="D638">
        <v>-124.5651</v>
      </c>
      <c r="E638" s="8">
        <v>46190</v>
      </c>
      <c r="F638">
        <v>2026</v>
      </c>
      <c r="G638" t="s">
        <v>56</v>
      </c>
      <c r="H638" t="s">
        <v>48</v>
      </c>
      <c r="I638">
        <v>2</v>
      </c>
      <c r="J638">
        <v>2</v>
      </c>
      <c r="K638" t="s">
        <v>47</v>
      </c>
      <c r="L638" s="23">
        <v>30</v>
      </c>
      <c r="M638" s="23">
        <v>5</v>
      </c>
      <c r="N638" s="23">
        <v>25</v>
      </c>
      <c r="O638" s="23">
        <v>0</v>
      </c>
      <c r="P638" s="23">
        <v>0</v>
      </c>
      <c r="Q638" s="23" t="s">
        <v>44</v>
      </c>
      <c r="R638" s="23">
        <v>0</v>
      </c>
      <c r="S638" s="23">
        <v>0</v>
      </c>
      <c r="T638" s="23">
        <v>0</v>
      </c>
      <c r="U638" s="23">
        <v>0</v>
      </c>
      <c r="AG638" s="34">
        <v>43</v>
      </c>
      <c r="AH638">
        <v>0</v>
      </c>
      <c r="AI638">
        <v>0</v>
      </c>
      <c r="AJ638">
        <v>0</v>
      </c>
      <c r="AK638">
        <v>0</v>
      </c>
      <c r="AL638">
        <v>15</v>
      </c>
      <c r="AM638">
        <v>0</v>
      </c>
      <c r="AN638">
        <v>0</v>
      </c>
      <c r="AO638">
        <v>5</v>
      </c>
      <c r="AP638">
        <v>80</v>
      </c>
      <c r="AQ638" s="21">
        <f t="shared" si="87"/>
        <v>37</v>
      </c>
      <c r="AR638" s="12">
        <f t="shared" si="89"/>
        <v>100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 s="6">
        <f t="shared" si="84"/>
        <v>0</v>
      </c>
      <c r="BM638" s="6">
        <f t="shared" si="88"/>
        <v>0</v>
      </c>
      <c r="BN638">
        <v>0</v>
      </c>
      <c r="BO638">
        <f t="shared" si="86"/>
        <v>0</v>
      </c>
      <c r="BP638">
        <v>0</v>
      </c>
      <c r="BQ638">
        <f>SUM(BP638,BB638,BK638)</f>
        <v>0</v>
      </c>
      <c r="BR638">
        <f t="shared" si="90"/>
        <v>0</v>
      </c>
    </row>
    <row r="639" spans="1:70" hidden="1">
      <c r="A639" s="16" t="str">
        <f t="shared" si="81"/>
        <v>CB_2026_NPZ_2_3</v>
      </c>
      <c r="B639" t="s">
        <v>56</v>
      </c>
      <c r="C639">
        <v>42.839689999999997</v>
      </c>
      <c r="D639">
        <v>-124.5651</v>
      </c>
      <c r="E639" s="8">
        <v>46190</v>
      </c>
      <c r="F639">
        <v>2026</v>
      </c>
      <c r="G639" t="s">
        <v>56</v>
      </c>
      <c r="H639" t="s">
        <v>48</v>
      </c>
      <c r="I639">
        <v>2</v>
      </c>
      <c r="J639">
        <v>3</v>
      </c>
      <c r="K639" t="s">
        <v>47</v>
      </c>
      <c r="L639" s="23">
        <v>24</v>
      </c>
      <c r="M639" s="23">
        <v>0</v>
      </c>
      <c r="N639" s="23">
        <v>3</v>
      </c>
      <c r="O639" s="23">
        <v>21</v>
      </c>
      <c r="P639" s="23">
        <v>1</v>
      </c>
      <c r="Q639" s="23" t="s">
        <v>44</v>
      </c>
      <c r="R639" s="23">
        <v>0</v>
      </c>
      <c r="S639" s="23">
        <v>0</v>
      </c>
      <c r="T639" s="23">
        <v>0</v>
      </c>
      <c r="U639" s="23">
        <v>0</v>
      </c>
      <c r="AG639" s="34">
        <v>22</v>
      </c>
      <c r="AH639">
        <v>0</v>
      </c>
      <c r="AI639">
        <v>40</v>
      </c>
      <c r="AJ639">
        <v>0</v>
      </c>
      <c r="AK639">
        <v>0</v>
      </c>
      <c r="AL639">
        <v>6</v>
      </c>
      <c r="AM639">
        <v>0</v>
      </c>
      <c r="AN639">
        <v>0</v>
      </c>
      <c r="AO639">
        <v>35</v>
      </c>
      <c r="AP639">
        <v>36</v>
      </c>
      <c r="AQ639" s="21">
        <f t="shared" si="87"/>
        <v>14</v>
      </c>
      <c r="AR639" s="12">
        <f t="shared" si="89"/>
        <v>117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 s="6">
        <f t="shared" si="84"/>
        <v>0</v>
      </c>
      <c r="BM639" s="6">
        <f t="shared" si="88"/>
        <v>0</v>
      </c>
      <c r="BN639">
        <v>40</v>
      </c>
      <c r="BO639">
        <f t="shared" si="86"/>
        <v>40</v>
      </c>
      <c r="BP639">
        <v>0</v>
      </c>
      <c r="BQ639">
        <f>SUM(BP639,BB639,BK639)</f>
        <v>0</v>
      </c>
      <c r="BR639">
        <f t="shared" si="90"/>
        <v>0</v>
      </c>
    </row>
    <row r="640" spans="1:70" hidden="1">
      <c r="A640" s="16" t="str">
        <f t="shared" si="81"/>
        <v>CB_2026_NPZ_2_4</v>
      </c>
      <c r="B640" t="s">
        <v>56</v>
      </c>
      <c r="C640">
        <v>42.839689999999997</v>
      </c>
      <c r="D640">
        <v>-124.5651</v>
      </c>
      <c r="E640" s="8">
        <v>46190</v>
      </c>
      <c r="F640">
        <v>2026</v>
      </c>
      <c r="G640" t="s">
        <v>56</v>
      </c>
      <c r="H640" t="s">
        <v>48</v>
      </c>
      <c r="I640">
        <v>2</v>
      </c>
      <c r="J640">
        <v>4</v>
      </c>
      <c r="K640" t="s">
        <v>47</v>
      </c>
      <c r="L640" s="23">
        <v>43</v>
      </c>
      <c r="M640" s="23">
        <v>0</v>
      </c>
      <c r="N640" s="23">
        <v>4</v>
      </c>
      <c r="O640" s="23">
        <v>39</v>
      </c>
      <c r="P640" s="23">
        <v>3</v>
      </c>
      <c r="Q640" s="23" t="s">
        <v>44</v>
      </c>
      <c r="R640" s="23">
        <v>0</v>
      </c>
      <c r="S640" s="23">
        <v>0</v>
      </c>
      <c r="T640" s="23">
        <v>0</v>
      </c>
      <c r="U640" s="23">
        <v>0</v>
      </c>
      <c r="AG640" s="34">
        <v>46</v>
      </c>
      <c r="AH640">
        <v>0</v>
      </c>
      <c r="AI640">
        <v>3</v>
      </c>
      <c r="AJ640">
        <v>0</v>
      </c>
      <c r="AK640">
        <v>0</v>
      </c>
      <c r="AL640">
        <v>6</v>
      </c>
      <c r="AM640">
        <v>0</v>
      </c>
      <c r="AN640">
        <v>3</v>
      </c>
      <c r="AO640">
        <v>28</v>
      </c>
      <c r="AP640">
        <v>60</v>
      </c>
      <c r="AQ640" s="21">
        <f t="shared" si="87"/>
        <v>14</v>
      </c>
      <c r="AR640" s="12">
        <f t="shared" si="89"/>
        <v>100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 s="6">
        <f t="shared" si="84"/>
        <v>0</v>
      </c>
      <c r="BM640" s="6">
        <f t="shared" si="88"/>
        <v>0</v>
      </c>
      <c r="BN640">
        <v>3</v>
      </c>
      <c r="BO640">
        <f t="shared" si="86"/>
        <v>3</v>
      </c>
      <c r="BP640">
        <v>0</v>
      </c>
      <c r="BQ640">
        <f>SUM(BP640,BB640,BK640)</f>
        <v>0</v>
      </c>
      <c r="BR640">
        <f t="shared" si="90"/>
        <v>0</v>
      </c>
    </row>
    <row r="641" spans="1:70" hidden="1">
      <c r="A641" s="16" t="str">
        <f t="shared" si="81"/>
        <v>CB_2026_NPZ_2_5</v>
      </c>
      <c r="B641" t="s">
        <v>56</v>
      </c>
      <c r="C641">
        <v>42.839689999999997</v>
      </c>
      <c r="D641">
        <v>-124.5651</v>
      </c>
      <c r="E641" s="8">
        <v>46190</v>
      </c>
      <c r="F641">
        <v>2026</v>
      </c>
      <c r="G641" t="s">
        <v>56</v>
      </c>
      <c r="H641" t="s">
        <v>48</v>
      </c>
      <c r="I641">
        <v>2</v>
      </c>
      <c r="J641">
        <v>5</v>
      </c>
      <c r="K641" t="s">
        <v>47</v>
      </c>
      <c r="L641" s="23">
        <v>5</v>
      </c>
      <c r="M641" s="23">
        <v>0</v>
      </c>
      <c r="N641" s="23">
        <v>2</v>
      </c>
      <c r="O641" s="23">
        <v>3</v>
      </c>
      <c r="P641" s="23">
        <v>1</v>
      </c>
      <c r="Q641" s="23" t="s">
        <v>44</v>
      </c>
      <c r="R641" s="23">
        <v>0</v>
      </c>
      <c r="S641" s="23">
        <v>0</v>
      </c>
      <c r="T641" s="23">
        <v>0</v>
      </c>
      <c r="U641" s="23">
        <v>0</v>
      </c>
      <c r="AG641" s="34">
        <v>7</v>
      </c>
      <c r="AH641">
        <v>0</v>
      </c>
      <c r="AI641">
        <v>14</v>
      </c>
      <c r="AJ641">
        <v>0</v>
      </c>
      <c r="AK641">
        <v>0</v>
      </c>
      <c r="AL641">
        <v>12</v>
      </c>
      <c r="AM641">
        <v>6</v>
      </c>
      <c r="AN641">
        <v>1</v>
      </c>
      <c r="AO641">
        <v>62</v>
      </c>
      <c r="AP641">
        <v>5</v>
      </c>
      <c r="AQ641" s="21">
        <f t="shared" si="87"/>
        <v>-2</v>
      </c>
      <c r="AR641" s="12">
        <f t="shared" si="89"/>
        <v>100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 s="6">
        <f t="shared" si="84"/>
        <v>0</v>
      </c>
      <c r="BM641" s="6">
        <f t="shared" si="88"/>
        <v>0</v>
      </c>
      <c r="BN641">
        <v>14</v>
      </c>
      <c r="BO641">
        <f t="shared" si="86"/>
        <v>14</v>
      </c>
      <c r="BP641">
        <v>0</v>
      </c>
      <c r="BQ641">
        <f>SUM(BP641,BB641,BK641)</f>
        <v>0</v>
      </c>
      <c r="BR641">
        <f t="shared" si="90"/>
        <v>0</v>
      </c>
    </row>
    <row r="642" spans="1:70" hidden="1">
      <c r="A642" s="16" t="str">
        <f t="shared" ref="A642:A705" si="91">_xlfn.CONCAT(B642,"_",F642, "_",H642, "_",I642,"_",J642)</f>
        <v>WC_2026_AZ_1_1</v>
      </c>
      <c r="B642" t="s">
        <v>65</v>
      </c>
      <c r="C642">
        <v>42.222900000000003</v>
      </c>
      <c r="D642">
        <v>-124.383</v>
      </c>
      <c r="E642" s="8">
        <v>46191</v>
      </c>
      <c r="F642">
        <v>2026</v>
      </c>
      <c r="G642" t="s">
        <v>66</v>
      </c>
      <c r="H642" t="s">
        <v>42</v>
      </c>
      <c r="I642">
        <v>1</v>
      </c>
      <c r="J642">
        <v>1</v>
      </c>
      <c r="K642" t="s">
        <v>51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 t="s">
        <v>44</v>
      </c>
      <c r="R642" s="23">
        <v>0</v>
      </c>
      <c r="S642" s="23">
        <v>0</v>
      </c>
      <c r="T642" s="23">
        <v>0</v>
      </c>
      <c r="U642" s="23">
        <v>0</v>
      </c>
      <c r="V642" s="18" t="s">
        <v>44</v>
      </c>
      <c r="W642" s="18" t="s">
        <v>44</v>
      </c>
      <c r="X642" s="18" t="s">
        <v>44</v>
      </c>
      <c r="Y642" s="18" t="s">
        <v>44</v>
      </c>
      <c r="Z642" s="18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s="34">
        <v>0</v>
      </c>
      <c r="AH642">
        <v>3</v>
      </c>
      <c r="AI642">
        <v>35</v>
      </c>
      <c r="AJ642">
        <v>22</v>
      </c>
      <c r="AK642">
        <v>0</v>
      </c>
      <c r="AL642">
        <v>10</v>
      </c>
      <c r="AM642">
        <v>4</v>
      </c>
      <c r="AN642">
        <v>9</v>
      </c>
      <c r="AO642">
        <v>10</v>
      </c>
      <c r="AP642">
        <v>7</v>
      </c>
      <c r="AQ642" s="21">
        <f t="shared" si="87"/>
        <v>7</v>
      </c>
      <c r="AR642" s="12">
        <f t="shared" si="89"/>
        <v>100</v>
      </c>
      <c r="AS642">
        <v>0</v>
      </c>
      <c r="AT642">
        <v>8</v>
      </c>
      <c r="AU642">
        <v>9</v>
      </c>
      <c r="AV642">
        <v>0</v>
      </c>
      <c r="AW642">
        <v>0</v>
      </c>
      <c r="AX642">
        <v>9</v>
      </c>
      <c r="AY642">
        <v>0</v>
      </c>
      <c r="AZ642">
        <v>0</v>
      </c>
      <c r="BA642">
        <v>0</v>
      </c>
      <c r="BB642">
        <v>4</v>
      </c>
      <c r="BC642">
        <v>0</v>
      </c>
      <c r="BD642">
        <v>0</v>
      </c>
      <c r="BE642">
        <v>0</v>
      </c>
      <c r="BF642">
        <v>0</v>
      </c>
      <c r="BG642" s="47">
        <v>2</v>
      </c>
      <c r="BH642" s="47">
        <v>0</v>
      </c>
      <c r="BI642" s="47">
        <v>0</v>
      </c>
      <c r="BJ642" s="47">
        <v>6</v>
      </c>
      <c r="BK642" s="47">
        <v>0</v>
      </c>
      <c r="BL642" s="6">
        <f t="shared" si="84"/>
        <v>23</v>
      </c>
      <c r="BM642" s="6">
        <f t="shared" si="88"/>
        <v>38</v>
      </c>
    </row>
    <row r="643" spans="1:70" hidden="1">
      <c r="A643" s="16" t="str">
        <f t="shared" si="91"/>
        <v>WC_2026_AZ_1_2</v>
      </c>
      <c r="B643" t="s">
        <v>65</v>
      </c>
      <c r="C643">
        <v>42.222900000000003</v>
      </c>
      <c r="D643">
        <v>-124.383</v>
      </c>
      <c r="E643" s="8">
        <v>46191</v>
      </c>
      <c r="F643">
        <v>2026</v>
      </c>
      <c r="G643" t="s">
        <v>66</v>
      </c>
      <c r="H643" t="s">
        <v>42</v>
      </c>
      <c r="I643">
        <v>1</v>
      </c>
      <c r="J643">
        <v>2</v>
      </c>
      <c r="K643" t="s">
        <v>57</v>
      </c>
      <c r="L643" s="23">
        <v>5</v>
      </c>
      <c r="M643" s="23">
        <v>0</v>
      </c>
      <c r="N643" s="23">
        <v>2</v>
      </c>
      <c r="O643" s="23">
        <v>3</v>
      </c>
      <c r="P643" s="23">
        <v>0</v>
      </c>
      <c r="Q643" s="23" t="s">
        <v>44</v>
      </c>
      <c r="R643" s="23">
        <v>0</v>
      </c>
      <c r="S643" s="23">
        <v>0</v>
      </c>
      <c r="T643" s="23">
        <v>0</v>
      </c>
      <c r="U643" s="23">
        <v>0</v>
      </c>
      <c r="V643" s="18" t="s">
        <v>44</v>
      </c>
      <c r="W643" s="18" t="s">
        <v>44</v>
      </c>
      <c r="X643" s="18" t="s">
        <v>44</v>
      </c>
      <c r="Y643" s="18" t="s">
        <v>44</v>
      </c>
      <c r="Z643" s="18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s="34">
        <v>2</v>
      </c>
      <c r="AH643">
        <v>1</v>
      </c>
      <c r="AI643">
        <v>35</v>
      </c>
      <c r="AJ643">
        <v>7</v>
      </c>
      <c r="AK643">
        <v>0</v>
      </c>
      <c r="AL643">
        <v>3</v>
      </c>
      <c r="AM643">
        <v>3</v>
      </c>
      <c r="AN643">
        <v>2</v>
      </c>
      <c r="AO643">
        <v>8</v>
      </c>
      <c r="AP643">
        <v>41</v>
      </c>
      <c r="AQ643" s="21">
        <f t="shared" si="87"/>
        <v>39</v>
      </c>
      <c r="AR643" s="12">
        <f t="shared" si="89"/>
        <v>100</v>
      </c>
      <c r="AS643">
        <v>0</v>
      </c>
      <c r="AT643">
        <v>0</v>
      </c>
      <c r="AU643">
        <v>4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 s="47">
        <v>11</v>
      </c>
      <c r="BH643" s="47">
        <v>0</v>
      </c>
      <c r="BI643" s="47">
        <v>0</v>
      </c>
      <c r="BJ643" s="47">
        <v>12</v>
      </c>
      <c r="BK643" s="47">
        <v>0</v>
      </c>
      <c r="BL643" s="6">
        <f t="shared" ref="BL643:BL671" si="92">SUM(AS643:AT643,AV643:AW643,AX643:BA643,BC643:BF643,BJ643)</f>
        <v>13</v>
      </c>
      <c r="BM643" s="6">
        <f t="shared" si="88"/>
        <v>28</v>
      </c>
    </row>
    <row r="644" spans="1:70" hidden="1">
      <c r="A644" s="16" t="str">
        <f t="shared" si="91"/>
        <v>WC_2026_AZ_1_3</v>
      </c>
      <c r="B644" t="s">
        <v>65</v>
      </c>
      <c r="C644">
        <v>42.222900000000003</v>
      </c>
      <c r="D644">
        <v>-124.383</v>
      </c>
      <c r="E644" s="8">
        <v>46191</v>
      </c>
      <c r="F644">
        <v>2026</v>
      </c>
      <c r="G644" t="s">
        <v>66</v>
      </c>
      <c r="H644" t="s">
        <v>42</v>
      </c>
      <c r="I644">
        <v>1</v>
      </c>
      <c r="J644">
        <v>3</v>
      </c>
      <c r="K644" t="s">
        <v>47</v>
      </c>
      <c r="L644" s="23">
        <v>8</v>
      </c>
      <c r="M644" s="23">
        <v>2</v>
      </c>
      <c r="N644" s="23">
        <v>2</v>
      </c>
      <c r="O644" s="23">
        <v>4</v>
      </c>
      <c r="P644" s="23">
        <v>1</v>
      </c>
      <c r="Q644" s="23" t="s">
        <v>44</v>
      </c>
      <c r="R644" s="23">
        <v>0</v>
      </c>
      <c r="S644" s="23">
        <v>0</v>
      </c>
      <c r="T644" s="23">
        <v>26</v>
      </c>
      <c r="U644" s="23">
        <v>29</v>
      </c>
      <c r="V644" s="18" t="s">
        <v>44</v>
      </c>
      <c r="W644" s="18" t="s">
        <v>44</v>
      </c>
      <c r="X644" s="18" t="s">
        <v>44</v>
      </c>
      <c r="Y644" s="18" t="s">
        <v>44</v>
      </c>
      <c r="Z644" s="18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s="34">
        <v>6</v>
      </c>
      <c r="AH644">
        <v>2</v>
      </c>
      <c r="AI644" s="31"/>
      <c r="AJ644">
        <v>1</v>
      </c>
      <c r="AK644">
        <v>0</v>
      </c>
      <c r="AL644">
        <v>0.1</v>
      </c>
      <c r="AM644">
        <v>8</v>
      </c>
      <c r="AN644">
        <v>1</v>
      </c>
      <c r="AO644" s="31"/>
      <c r="AP644">
        <v>8</v>
      </c>
      <c r="AQ644" s="21">
        <f t="shared" si="87"/>
        <v>2</v>
      </c>
      <c r="AR644" s="12">
        <f t="shared" si="89"/>
        <v>20.100000000000001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s="31">
        <v>9</v>
      </c>
      <c r="BK644">
        <v>0</v>
      </c>
      <c r="BL644" s="6">
        <f t="shared" si="92"/>
        <v>11</v>
      </c>
      <c r="BM644" s="6">
        <f t="shared" si="88"/>
        <v>11</v>
      </c>
      <c r="BN644" s="31"/>
      <c r="BO644">
        <f t="shared" si="86"/>
        <v>0</v>
      </c>
      <c r="BP644">
        <v>1</v>
      </c>
      <c r="BQ644">
        <f>SUM(BP644,BB644,BK644)</f>
        <v>1</v>
      </c>
      <c r="BR644">
        <f t="shared" si="90"/>
        <v>0</v>
      </c>
    </row>
    <row r="645" spans="1:70" hidden="1">
      <c r="A645" s="16" t="str">
        <f t="shared" si="91"/>
        <v>WC_2026_AZ_1_4</v>
      </c>
      <c r="B645" t="s">
        <v>65</v>
      </c>
      <c r="C645">
        <v>42.222900000000003</v>
      </c>
      <c r="D645">
        <v>-124.383</v>
      </c>
      <c r="E645" s="8">
        <v>46191</v>
      </c>
      <c r="F645">
        <v>2026</v>
      </c>
      <c r="G645" t="s">
        <v>66</v>
      </c>
      <c r="H645" t="s">
        <v>42</v>
      </c>
      <c r="I645">
        <v>1</v>
      </c>
      <c r="J645">
        <v>4</v>
      </c>
      <c r="K645" t="s">
        <v>47</v>
      </c>
      <c r="L645" s="23">
        <v>2</v>
      </c>
      <c r="M645" s="23">
        <v>0</v>
      </c>
      <c r="N645" s="23">
        <v>2</v>
      </c>
      <c r="O645" s="23">
        <v>0</v>
      </c>
      <c r="P645" s="23">
        <v>0</v>
      </c>
      <c r="Q645" s="23" t="s">
        <v>44</v>
      </c>
      <c r="R645" s="23">
        <v>0</v>
      </c>
      <c r="S645" s="23">
        <v>0</v>
      </c>
      <c r="T645" s="23">
        <v>3</v>
      </c>
      <c r="U645" s="23">
        <v>3</v>
      </c>
      <c r="V645" s="18" t="s">
        <v>44</v>
      </c>
      <c r="W645" s="18" t="s">
        <v>44</v>
      </c>
      <c r="X645" s="18" t="s">
        <v>44</v>
      </c>
      <c r="Y645" s="18" t="s">
        <v>44</v>
      </c>
      <c r="Z645" s="18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s="34">
        <v>2</v>
      </c>
      <c r="AH645">
        <v>1</v>
      </c>
      <c r="AI645">
        <v>12</v>
      </c>
      <c r="AJ645">
        <v>10</v>
      </c>
      <c r="AK645">
        <v>0</v>
      </c>
      <c r="AL645">
        <v>0.1</v>
      </c>
      <c r="AM645">
        <v>8</v>
      </c>
      <c r="AN645">
        <v>1</v>
      </c>
      <c r="AO645">
        <v>13</v>
      </c>
      <c r="AP645">
        <v>55</v>
      </c>
      <c r="AQ645" s="21">
        <f t="shared" si="87"/>
        <v>53</v>
      </c>
      <c r="AR645" s="12">
        <f t="shared" si="89"/>
        <v>100.1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4</v>
      </c>
      <c r="AY645">
        <v>0</v>
      </c>
      <c r="AZ645">
        <v>0</v>
      </c>
      <c r="BA645">
        <v>0</v>
      </c>
      <c r="BB645">
        <v>0.1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 s="31">
        <v>13</v>
      </c>
      <c r="BK645">
        <v>0</v>
      </c>
      <c r="BL645" s="6">
        <f t="shared" si="92"/>
        <v>17</v>
      </c>
      <c r="BM645" s="6">
        <f t="shared" si="88"/>
        <v>17.100000000000001</v>
      </c>
      <c r="BN645">
        <v>12</v>
      </c>
      <c r="BO645">
        <f t="shared" si="86"/>
        <v>12</v>
      </c>
      <c r="BP645">
        <v>10</v>
      </c>
      <c r="BQ645">
        <f>SUM(BP645,BB645,BK645)</f>
        <v>10.1</v>
      </c>
      <c r="BR645">
        <f t="shared" si="90"/>
        <v>9.9999999999999645E-2</v>
      </c>
    </row>
    <row r="646" spans="1:70">
      <c r="A646" s="16" t="str">
        <f t="shared" si="91"/>
        <v>WC_2026_AZ_1_5</v>
      </c>
      <c r="B646" t="s">
        <v>65</v>
      </c>
      <c r="C646">
        <v>42.222900000000003</v>
      </c>
      <c r="D646">
        <v>-124.383</v>
      </c>
      <c r="E646" s="8">
        <v>46191</v>
      </c>
      <c r="F646">
        <v>2026</v>
      </c>
      <c r="G646" t="s">
        <v>66</v>
      </c>
      <c r="H646" t="s">
        <v>42</v>
      </c>
      <c r="I646">
        <v>1</v>
      </c>
      <c r="J646">
        <v>5</v>
      </c>
      <c r="K646" t="s">
        <v>47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 t="s">
        <v>44</v>
      </c>
      <c r="R646" s="23">
        <v>0</v>
      </c>
      <c r="S646" s="23">
        <v>0</v>
      </c>
      <c r="T646" s="31">
        <v>0</v>
      </c>
      <c r="U646" s="31">
        <v>7</v>
      </c>
      <c r="V646" s="18" t="s">
        <v>44</v>
      </c>
      <c r="W646" s="18" t="s">
        <v>44</v>
      </c>
      <c r="X646" s="18" t="s">
        <v>44</v>
      </c>
      <c r="Y646" s="18" t="s">
        <v>44</v>
      </c>
      <c r="Z646" s="18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s="34">
        <v>0</v>
      </c>
      <c r="AH646">
        <v>1</v>
      </c>
      <c r="AI646">
        <v>49</v>
      </c>
      <c r="AJ646">
        <v>2</v>
      </c>
      <c r="AK646">
        <v>0</v>
      </c>
      <c r="AL646">
        <v>18</v>
      </c>
      <c r="AM646">
        <v>20</v>
      </c>
      <c r="AN646">
        <v>5</v>
      </c>
      <c r="AO646">
        <v>3</v>
      </c>
      <c r="AP646">
        <v>4</v>
      </c>
      <c r="AQ646" s="21">
        <f t="shared" si="87"/>
        <v>4</v>
      </c>
      <c r="AR646" s="12">
        <f t="shared" si="89"/>
        <v>102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46</v>
      </c>
      <c r="AY646">
        <v>0</v>
      </c>
      <c r="AZ646">
        <v>0</v>
      </c>
      <c r="BA646">
        <v>0</v>
      </c>
      <c r="BB646">
        <v>2</v>
      </c>
      <c r="BC646">
        <v>8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 s="6">
        <f t="shared" si="92"/>
        <v>54</v>
      </c>
      <c r="BM646" s="6">
        <f t="shared" si="88"/>
        <v>56</v>
      </c>
      <c r="BN646">
        <v>49</v>
      </c>
      <c r="BO646">
        <f t="shared" si="86"/>
        <v>49</v>
      </c>
    </row>
    <row r="647" spans="1:70" hidden="1">
      <c r="A647" s="16" t="str">
        <f t="shared" si="91"/>
        <v>WC_2026_AZ_2_1</v>
      </c>
      <c r="B647" t="s">
        <v>65</v>
      </c>
      <c r="C647">
        <v>42.222900000000003</v>
      </c>
      <c r="D647">
        <v>-124.383</v>
      </c>
      <c r="E647" s="8">
        <v>46191</v>
      </c>
      <c r="F647">
        <v>2026</v>
      </c>
      <c r="G647" t="s">
        <v>66</v>
      </c>
      <c r="H647" t="s">
        <v>42</v>
      </c>
      <c r="I647">
        <v>2</v>
      </c>
      <c r="J647">
        <v>1</v>
      </c>
      <c r="K647" t="s">
        <v>43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 t="s">
        <v>44</v>
      </c>
      <c r="R647" s="23">
        <v>0</v>
      </c>
      <c r="S647" s="23">
        <v>0</v>
      </c>
      <c r="T647" s="23">
        <v>0</v>
      </c>
      <c r="U647" s="23">
        <v>0</v>
      </c>
      <c r="V647" s="18" t="s">
        <v>44</v>
      </c>
      <c r="W647" s="18" t="s">
        <v>44</v>
      </c>
      <c r="X647" s="18" t="s">
        <v>44</v>
      </c>
      <c r="Y647" s="18" t="s">
        <v>44</v>
      </c>
      <c r="Z647" s="18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s="34">
        <v>0</v>
      </c>
      <c r="AH647">
        <v>0</v>
      </c>
      <c r="AI647">
        <v>74</v>
      </c>
      <c r="AJ647">
        <v>6</v>
      </c>
      <c r="AK647">
        <v>0</v>
      </c>
      <c r="AL647">
        <v>0</v>
      </c>
      <c r="AM647">
        <v>6</v>
      </c>
      <c r="AN647">
        <v>3</v>
      </c>
      <c r="AO647">
        <v>7</v>
      </c>
      <c r="AP647">
        <v>4</v>
      </c>
      <c r="AQ647" s="21">
        <f t="shared" si="87"/>
        <v>4</v>
      </c>
      <c r="AR647" s="12">
        <f t="shared" si="89"/>
        <v>100</v>
      </c>
      <c r="AS647">
        <v>10</v>
      </c>
      <c r="AT647">
        <v>9</v>
      </c>
      <c r="AU647">
        <v>34</v>
      </c>
      <c r="AV647">
        <v>0</v>
      </c>
      <c r="AW647">
        <v>0</v>
      </c>
      <c r="AX647">
        <v>31</v>
      </c>
      <c r="AY647">
        <v>0</v>
      </c>
      <c r="AZ647">
        <v>0</v>
      </c>
      <c r="BA647">
        <v>0</v>
      </c>
      <c r="BB647">
        <v>0</v>
      </c>
      <c r="BC647">
        <v>0</v>
      </c>
      <c r="BD647" s="47">
        <v>16</v>
      </c>
      <c r="BE647">
        <v>0</v>
      </c>
      <c r="BF647">
        <v>0</v>
      </c>
      <c r="BG647" s="47">
        <v>0</v>
      </c>
      <c r="BH647" s="47">
        <v>0</v>
      </c>
      <c r="BI647" s="47">
        <v>0</v>
      </c>
      <c r="BJ647" s="47">
        <v>0</v>
      </c>
      <c r="BK647" s="47">
        <v>0</v>
      </c>
      <c r="BL647" s="6">
        <f t="shared" si="92"/>
        <v>66</v>
      </c>
      <c r="BM647" s="6">
        <f t="shared" si="88"/>
        <v>100</v>
      </c>
    </row>
    <row r="648" spans="1:70" hidden="1">
      <c r="A648" s="16" t="str">
        <f t="shared" si="91"/>
        <v>WC_2026_AZ_2_2</v>
      </c>
      <c r="B648" t="s">
        <v>65</v>
      </c>
      <c r="C648">
        <v>42.222900000000003</v>
      </c>
      <c r="D648">
        <v>-124.383</v>
      </c>
      <c r="E648" s="8">
        <v>46191</v>
      </c>
      <c r="F648">
        <v>2026</v>
      </c>
      <c r="G648" t="s">
        <v>66</v>
      </c>
      <c r="H648" t="s">
        <v>42</v>
      </c>
      <c r="I648">
        <v>2</v>
      </c>
      <c r="J648">
        <v>2</v>
      </c>
      <c r="K648" t="s">
        <v>43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 t="s">
        <v>44</v>
      </c>
      <c r="R648" s="23">
        <v>0</v>
      </c>
      <c r="S648" s="23">
        <v>0</v>
      </c>
      <c r="T648" s="23">
        <v>0</v>
      </c>
      <c r="U648" s="23">
        <v>0</v>
      </c>
      <c r="V648" s="18" t="s">
        <v>44</v>
      </c>
      <c r="W648" s="18" t="s">
        <v>44</v>
      </c>
      <c r="X648" s="18" t="s">
        <v>44</v>
      </c>
      <c r="Y648" s="18" t="s">
        <v>44</v>
      </c>
      <c r="Z648" s="1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s="34">
        <v>0</v>
      </c>
      <c r="AH648">
        <v>43</v>
      </c>
      <c r="AI648">
        <v>40</v>
      </c>
      <c r="AJ648">
        <v>0</v>
      </c>
      <c r="AK648">
        <v>0</v>
      </c>
      <c r="AL648">
        <v>1</v>
      </c>
      <c r="AM648">
        <v>5</v>
      </c>
      <c r="AN648">
        <v>1</v>
      </c>
      <c r="AO648">
        <v>8</v>
      </c>
      <c r="AP648">
        <v>2</v>
      </c>
      <c r="AQ648" s="21">
        <f t="shared" si="87"/>
        <v>2</v>
      </c>
      <c r="AR648" s="12">
        <f t="shared" si="89"/>
        <v>100</v>
      </c>
      <c r="AS648">
        <v>0</v>
      </c>
      <c r="AT648">
        <v>89</v>
      </c>
      <c r="AU648">
        <v>11</v>
      </c>
      <c r="AV648">
        <v>0</v>
      </c>
      <c r="AW648">
        <v>0</v>
      </c>
      <c r="AX648">
        <v>11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 s="47">
        <v>0</v>
      </c>
      <c r="BH648" s="47">
        <v>0</v>
      </c>
      <c r="BI648" s="47">
        <v>0</v>
      </c>
      <c r="BJ648" s="47">
        <v>0</v>
      </c>
      <c r="BK648" s="47">
        <v>0</v>
      </c>
      <c r="BL648" s="6">
        <f t="shared" si="92"/>
        <v>100</v>
      </c>
      <c r="BM648" s="6">
        <f t="shared" si="88"/>
        <v>111</v>
      </c>
    </row>
    <row r="649" spans="1:70" hidden="1">
      <c r="A649" s="16" t="str">
        <f t="shared" si="91"/>
        <v>WC_2026_AZ_2_3</v>
      </c>
      <c r="B649" t="s">
        <v>65</v>
      </c>
      <c r="C649">
        <v>42.222900000000003</v>
      </c>
      <c r="D649">
        <v>-124.383</v>
      </c>
      <c r="E649" s="8">
        <v>46191</v>
      </c>
      <c r="F649">
        <v>2026</v>
      </c>
      <c r="G649" t="s">
        <v>66</v>
      </c>
      <c r="H649" t="s">
        <v>42</v>
      </c>
      <c r="I649">
        <v>2</v>
      </c>
      <c r="J649">
        <v>3</v>
      </c>
      <c r="K649" t="s">
        <v>43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 t="s">
        <v>44</v>
      </c>
      <c r="R649" s="23">
        <v>0</v>
      </c>
      <c r="S649" s="23">
        <v>0</v>
      </c>
      <c r="T649" s="23">
        <v>0</v>
      </c>
      <c r="U649" s="23">
        <v>0</v>
      </c>
      <c r="V649" s="18" t="s">
        <v>44</v>
      </c>
      <c r="W649" s="18" t="s">
        <v>44</v>
      </c>
      <c r="X649" s="18" t="s">
        <v>44</v>
      </c>
      <c r="Y649" s="18" t="s">
        <v>44</v>
      </c>
      <c r="Z649" s="18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s="34">
        <v>0</v>
      </c>
      <c r="AH649">
        <v>17</v>
      </c>
      <c r="AI649">
        <v>65</v>
      </c>
      <c r="AJ649">
        <v>6</v>
      </c>
      <c r="AK649">
        <v>4</v>
      </c>
      <c r="AL649">
        <v>2</v>
      </c>
      <c r="AM649">
        <v>2</v>
      </c>
      <c r="AN649">
        <v>0</v>
      </c>
      <c r="AO649">
        <v>4</v>
      </c>
      <c r="AP649">
        <v>0</v>
      </c>
      <c r="AQ649" s="21">
        <f t="shared" si="87"/>
        <v>0</v>
      </c>
      <c r="AR649" s="12">
        <f t="shared" si="89"/>
        <v>100</v>
      </c>
      <c r="AS649">
        <v>50</v>
      </c>
      <c r="AT649">
        <v>40</v>
      </c>
      <c r="AU649">
        <v>0</v>
      </c>
      <c r="AV649">
        <v>0</v>
      </c>
      <c r="AW649">
        <v>4</v>
      </c>
      <c r="AX649">
        <v>0</v>
      </c>
      <c r="AY649">
        <v>0</v>
      </c>
      <c r="AZ649">
        <v>4</v>
      </c>
      <c r="BA649">
        <v>0</v>
      </c>
      <c r="BB649">
        <v>0</v>
      </c>
      <c r="BC649">
        <v>0</v>
      </c>
      <c r="BD649">
        <v>15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 s="6">
        <f t="shared" si="92"/>
        <v>113</v>
      </c>
      <c r="BM649" s="6">
        <f t="shared" si="88"/>
        <v>113</v>
      </c>
      <c r="BN649">
        <v>65</v>
      </c>
      <c r="BO649">
        <f t="shared" si="86"/>
        <v>65</v>
      </c>
      <c r="BP649">
        <v>6</v>
      </c>
      <c r="BQ649">
        <f>SUM(BP649,BB649,BK649)</f>
        <v>6</v>
      </c>
      <c r="BR649">
        <f t="shared" si="90"/>
        <v>0</v>
      </c>
    </row>
    <row r="650" spans="1:70" hidden="1">
      <c r="A650" s="16" t="str">
        <f t="shared" si="91"/>
        <v>WC_2026_AZ_2_4</v>
      </c>
      <c r="B650" t="s">
        <v>65</v>
      </c>
      <c r="C650">
        <v>42.222900000000003</v>
      </c>
      <c r="D650">
        <v>-124.383</v>
      </c>
      <c r="E650" s="8">
        <v>46191</v>
      </c>
      <c r="F650">
        <v>2026</v>
      </c>
      <c r="G650" t="s">
        <v>66</v>
      </c>
      <c r="H650" t="s">
        <v>42</v>
      </c>
      <c r="I650">
        <v>2</v>
      </c>
      <c r="J650">
        <v>4</v>
      </c>
      <c r="K650" t="s">
        <v>47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 t="s">
        <v>44</v>
      </c>
      <c r="R650" s="23">
        <v>0</v>
      </c>
      <c r="S650" s="23">
        <v>0</v>
      </c>
      <c r="T650" s="23">
        <v>0</v>
      </c>
      <c r="U650" s="23">
        <v>0</v>
      </c>
      <c r="V650" s="18" t="s">
        <v>44</v>
      </c>
      <c r="W650" s="18" t="s">
        <v>44</v>
      </c>
      <c r="X650" s="18" t="s">
        <v>44</v>
      </c>
      <c r="Y650" s="18" t="s">
        <v>44</v>
      </c>
      <c r="Z650" s="18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s="34">
        <v>0</v>
      </c>
      <c r="AH650">
        <v>6</v>
      </c>
      <c r="AI650">
        <v>52</v>
      </c>
      <c r="AJ650">
        <v>8</v>
      </c>
      <c r="AK650">
        <v>0</v>
      </c>
      <c r="AL650">
        <v>8</v>
      </c>
      <c r="AM650">
        <v>12</v>
      </c>
      <c r="AN650">
        <v>2</v>
      </c>
      <c r="AO650">
        <v>6</v>
      </c>
      <c r="AP650">
        <v>6</v>
      </c>
      <c r="AQ650" s="21">
        <f t="shared" si="87"/>
        <v>6</v>
      </c>
      <c r="AR650" s="12">
        <f t="shared" si="89"/>
        <v>100</v>
      </c>
      <c r="AS650">
        <v>38</v>
      </c>
      <c r="AT650">
        <v>12</v>
      </c>
      <c r="AU650">
        <v>0</v>
      </c>
      <c r="AV650">
        <v>0</v>
      </c>
      <c r="AW650">
        <v>22</v>
      </c>
      <c r="AX650">
        <v>7</v>
      </c>
      <c r="AY650">
        <v>0</v>
      </c>
      <c r="AZ650">
        <v>0</v>
      </c>
      <c r="BA650">
        <v>0</v>
      </c>
      <c r="BB650">
        <v>0</v>
      </c>
      <c r="BC650">
        <v>0</v>
      </c>
      <c r="BD650" s="31">
        <v>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 s="6">
        <f t="shared" si="92"/>
        <v>83</v>
      </c>
      <c r="BM650" s="6">
        <f t="shared" si="88"/>
        <v>83</v>
      </c>
      <c r="BN650">
        <v>52</v>
      </c>
      <c r="BO650">
        <f t="shared" si="86"/>
        <v>52</v>
      </c>
      <c r="BP650">
        <v>8</v>
      </c>
      <c r="BQ650">
        <f>SUM(BP650,BB650,BK650)</f>
        <v>8</v>
      </c>
      <c r="BR650">
        <f t="shared" si="90"/>
        <v>0</v>
      </c>
    </row>
    <row r="651" spans="1:70" hidden="1">
      <c r="A651" s="16" t="str">
        <f t="shared" si="91"/>
        <v>WC_2026_AZ_2_5</v>
      </c>
      <c r="B651" t="s">
        <v>65</v>
      </c>
      <c r="C651">
        <v>42.222900000000003</v>
      </c>
      <c r="D651">
        <v>-124.383</v>
      </c>
      <c r="E651" s="8">
        <v>46191</v>
      </c>
      <c r="F651">
        <v>2026</v>
      </c>
      <c r="G651" t="s">
        <v>66</v>
      </c>
      <c r="H651" t="s">
        <v>42</v>
      </c>
      <c r="I651">
        <v>2</v>
      </c>
      <c r="J651">
        <v>5</v>
      </c>
      <c r="K651" t="s">
        <v>46</v>
      </c>
      <c r="L651" s="23">
        <v>0</v>
      </c>
      <c r="M651" s="23">
        <v>0</v>
      </c>
      <c r="N651" s="23">
        <v>0</v>
      </c>
      <c r="O651" s="23">
        <v>0</v>
      </c>
      <c r="P651" s="23">
        <v>0</v>
      </c>
      <c r="Q651" s="23" t="s">
        <v>44</v>
      </c>
      <c r="R651" s="23">
        <v>0</v>
      </c>
      <c r="S651" s="23">
        <v>0</v>
      </c>
      <c r="T651" s="23">
        <v>0</v>
      </c>
      <c r="U651" s="23">
        <v>0</v>
      </c>
      <c r="V651" s="18" t="s">
        <v>44</v>
      </c>
      <c r="W651" s="18" t="s">
        <v>44</v>
      </c>
      <c r="X651" s="18" t="s">
        <v>44</v>
      </c>
      <c r="Y651" s="18" t="s">
        <v>44</v>
      </c>
      <c r="Z651" s="18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s="34">
        <v>0</v>
      </c>
      <c r="AH651">
        <v>9</v>
      </c>
      <c r="AI651">
        <v>64</v>
      </c>
      <c r="AJ651">
        <v>4</v>
      </c>
      <c r="AK651">
        <v>0</v>
      </c>
      <c r="AL651">
        <v>5</v>
      </c>
      <c r="AM651">
        <v>10</v>
      </c>
      <c r="AN651">
        <v>1</v>
      </c>
      <c r="AO651">
        <v>6</v>
      </c>
      <c r="AP651">
        <v>1</v>
      </c>
      <c r="AQ651" s="21">
        <f t="shared" si="87"/>
        <v>1</v>
      </c>
      <c r="AR651" s="12">
        <f t="shared" si="89"/>
        <v>100</v>
      </c>
      <c r="AS651">
        <v>16</v>
      </c>
      <c r="AT651">
        <v>54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 s="6">
        <f t="shared" si="92"/>
        <v>76</v>
      </c>
      <c r="BM651" s="6">
        <f t="shared" si="88"/>
        <v>76</v>
      </c>
      <c r="BN651">
        <v>64</v>
      </c>
      <c r="BO651">
        <f t="shared" si="86"/>
        <v>64</v>
      </c>
      <c r="BP651">
        <v>4</v>
      </c>
      <c r="BQ651">
        <f>SUM(BP651,BB651,BK651)</f>
        <v>4</v>
      </c>
      <c r="BR651">
        <f t="shared" si="90"/>
        <v>0</v>
      </c>
    </row>
    <row r="652" spans="1:70" hidden="1">
      <c r="A652" s="16" t="str">
        <f t="shared" si="91"/>
        <v>WC_2026_UPZ_1_1</v>
      </c>
      <c r="B652" t="s">
        <v>65</v>
      </c>
      <c r="C652">
        <v>42.222900000000003</v>
      </c>
      <c r="D652">
        <v>-124.383</v>
      </c>
      <c r="E652" s="8">
        <v>46191</v>
      </c>
      <c r="F652">
        <v>2026</v>
      </c>
      <c r="G652" t="s">
        <v>66</v>
      </c>
      <c r="H652" t="s">
        <v>45</v>
      </c>
      <c r="I652">
        <v>1</v>
      </c>
      <c r="J652">
        <v>1</v>
      </c>
      <c r="K652" t="s">
        <v>47</v>
      </c>
      <c r="L652" s="23">
        <v>17</v>
      </c>
      <c r="M652" s="23">
        <v>4</v>
      </c>
      <c r="N652" s="23">
        <v>7</v>
      </c>
      <c r="O652" s="23">
        <v>6</v>
      </c>
      <c r="P652" s="23">
        <v>1</v>
      </c>
      <c r="Q652" s="23" t="s">
        <v>44</v>
      </c>
      <c r="R652" s="23">
        <v>0</v>
      </c>
      <c r="S652" s="23">
        <v>0</v>
      </c>
      <c r="T652" s="23">
        <v>31</v>
      </c>
      <c r="U652" s="23">
        <v>50</v>
      </c>
      <c r="AG652" s="34">
        <v>20</v>
      </c>
      <c r="AH652">
        <v>0</v>
      </c>
      <c r="AI652">
        <v>0.1</v>
      </c>
      <c r="AJ652">
        <v>0</v>
      </c>
      <c r="AK652">
        <v>0</v>
      </c>
      <c r="AL652">
        <v>16</v>
      </c>
      <c r="AM652">
        <v>6</v>
      </c>
      <c r="AN652">
        <v>6</v>
      </c>
      <c r="AO652">
        <v>60</v>
      </c>
      <c r="AP652">
        <v>12</v>
      </c>
      <c r="AQ652" s="21">
        <f t="shared" ref="AQ652:AQ671" si="93">AP652-AG652</f>
        <v>-8</v>
      </c>
      <c r="AR652" s="12">
        <f t="shared" si="89"/>
        <v>100.1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 s="6">
        <f t="shared" si="92"/>
        <v>0</v>
      </c>
      <c r="BM652" s="6">
        <f t="shared" si="88"/>
        <v>0</v>
      </c>
      <c r="BN652">
        <v>0.1</v>
      </c>
      <c r="BO652">
        <f t="shared" si="86"/>
        <v>0.1</v>
      </c>
      <c r="BP652">
        <v>0</v>
      </c>
      <c r="BQ652">
        <f>SUM(BP652,BB652,BK652)</f>
        <v>0</v>
      </c>
      <c r="BR652">
        <f t="shared" si="90"/>
        <v>0</v>
      </c>
    </row>
    <row r="653" spans="1:70" hidden="1">
      <c r="A653" s="16" t="str">
        <f t="shared" si="91"/>
        <v>WC_2026_UPZ_1_2</v>
      </c>
      <c r="B653" t="s">
        <v>65</v>
      </c>
      <c r="C653">
        <v>42.222900000000003</v>
      </c>
      <c r="D653">
        <v>-124.383</v>
      </c>
      <c r="E653" s="8">
        <v>46191</v>
      </c>
      <c r="F653">
        <v>2026</v>
      </c>
      <c r="G653" t="s">
        <v>66</v>
      </c>
      <c r="H653" t="s">
        <v>45</v>
      </c>
      <c r="I653">
        <v>1</v>
      </c>
      <c r="J653">
        <v>2</v>
      </c>
      <c r="K653" t="s">
        <v>51</v>
      </c>
      <c r="L653" s="23">
        <v>18</v>
      </c>
      <c r="M653" s="23">
        <v>5</v>
      </c>
      <c r="N653" s="23">
        <v>4</v>
      </c>
      <c r="O653" s="23">
        <v>9</v>
      </c>
      <c r="P653" s="23">
        <v>1</v>
      </c>
      <c r="Q653" s="23" t="s">
        <v>44</v>
      </c>
      <c r="R653" s="23">
        <v>0</v>
      </c>
      <c r="S653" s="23">
        <v>0</v>
      </c>
      <c r="T653" s="23">
        <v>6</v>
      </c>
      <c r="U653" s="23">
        <v>11</v>
      </c>
      <c r="AG653" s="34">
        <v>24</v>
      </c>
      <c r="AH653">
        <v>0</v>
      </c>
      <c r="AI653">
        <v>3</v>
      </c>
      <c r="AJ653">
        <v>0</v>
      </c>
      <c r="AK653">
        <v>0</v>
      </c>
      <c r="AL653">
        <v>8</v>
      </c>
      <c r="AM653">
        <v>3</v>
      </c>
      <c r="AN653">
        <v>1</v>
      </c>
      <c r="AO653">
        <v>5</v>
      </c>
      <c r="AP653">
        <v>80</v>
      </c>
      <c r="AQ653" s="21">
        <f t="shared" si="93"/>
        <v>56</v>
      </c>
      <c r="AR653" s="12">
        <f t="shared" si="89"/>
        <v>100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s="6">
        <f t="shared" si="92"/>
        <v>0</v>
      </c>
      <c r="BM653" s="6">
        <f t="shared" si="88"/>
        <v>0</v>
      </c>
      <c r="BN653">
        <v>3</v>
      </c>
      <c r="BO653">
        <f t="shared" si="86"/>
        <v>3</v>
      </c>
      <c r="BP653">
        <v>0</v>
      </c>
      <c r="BQ653">
        <f>SUM(BP653,BB653,BK653)</f>
        <v>0</v>
      </c>
      <c r="BR653">
        <f t="shared" si="90"/>
        <v>0</v>
      </c>
    </row>
    <row r="654" spans="1:70" hidden="1">
      <c r="A654" s="16" t="str">
        <f t="shared" si="91"/>
        <v>WC_2026_UPZ_1_3</v>
      </c>
      <c r="B654" t="s">
        <v>65</v>
      </c>
      <c r="C654">
        <v>42.222900000000003</v>
      </c>
      <c r="D654">
        <v>-124.383</v>
      </c>
      <c r="E654" s="8">
        <v>46191</v>
      </c>
      <c r="F654">
        <v>2026</v>
      </c>
      <c r="G654" t="s">
        <v>66</v>
      </c>
      <c r="H654" t="s">
        <v>45</v>
      </c>
      <c r="I654">
        <v>1</v>
      </c>
      <c r="J654">
        <v>3</v>
      </c>
      <c r="K654" t="s">
        <v>57</v>
      </c>
      <c r="L654" s="23">
        <v>24</v>
      </c>
      <c r="M654" s="23">
        <v>0</v>
      </c>
      <c r="N654" s="23">
        <v>10</v>
      </c>
      <c r="O654" s="23">
        <v>14</v>
      </c>
      <c r="P654" s="23">
        <v>1</v>
      </c>
      <c r="Q654" s="23" t="s">
        <v>44</v>
      </c>
      <c r="R654" s="23">
        <v>0</v>
      </c>
      <c r="S654" s="23">
        <v>0</v>
      </c>
      <c r="T654" s="23">
        <v>6</v>
      </c>
      <c r="U654" s="23">
        <v>6</v>
      </c>
      <c r="AG654" s="34">
        <v>29</v>
      </c>
      <c r="AH654">
        <v>0</v>
      </c>
      <c r="AI654">
        <v>2</v>
      </c>
      <c r="AJ654">
        <v>0</v>
      </c>
      <c r="AK654">
        <v>0</v>
      </c>
      <c r="AL654">
        <v>8</v>
      </c>
      <c r="AM654">
        <v>9</v>
      </c>
      <c r="AN654">
        <v>1</v>
      </c>
      <c r="AO654">
        <v>76</v>
      </c>
      <c r="AP654">
        <v>4</v>
      </c>
      <c r="AQ654" s="21">
        <f t="shared" si="93"/>
        <v>-25</v>
      </c>
      <c r="AR654" s="12">
        <f t="shared" si="89"/>
        <v>100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 s="6">
        <f t="shared" si="92"/>
        <v>0</v>
      </c>
      <c r="BM654" s="6">
        <f t="shared" si="88"/>
        <v>0</v>
      </c>
      <c r="BN654">
        <v>2</v>
      </c>
      <c r="BO654">
        <f t="shared" si="86"/>
        <v>2</v>
      </c>
      <c r="BP654">
        <v>0</v>
      </c>
      <c r="BQ654">
        <f>SUM(BP654,BB654,BK654)</f>
        <v>0</v>
      </c>
      <c r="BR654">
        <f t="shared" si="90"/>
        <v>0</v>
      </c>
    </row>
    <row r="655" spans="1:70" hidden="1">
      <c r="A655" s="16" t="str">
        <f t="shared" si="91"/>
        <v>WC_2026_UPZ_1_4</v>
      </c>
      <c r="B655" t="s">
        <v>65</v>
      </c>
      <c r="C655">
        <v>42.222900000000003</v>
      </c>
      <c r="D655">
        <v>-124.383</v>
      </c>
      <c r="E655" s="8">
        <v>46191</v>
      </c>
      <c r="F655">
        <v>2026</v>
      </c>
      <c r="G655" t="s">
        <v>66</v>
      </c>
      <c r="H655" t="s">
        <v>45</v>
      </c>
      <c r="I655">
        <v>1</v>
      </c>
      <c r="J655">
        <v>4</v>
      </c>
      <c r="K655" t="s">
        <v>47</v>
      </c>
      <c r="L655" s="23">
        <v>6</v>
      </c>
      <c r="M655" s="23">
        <v>2</v>
      </c>
      <c r="N655" s="23">
        <v>0</v>
      </c>
      <c r="O655" s="23">
        <v>4</v>
      </c>
      <c r="P655" s="23">
        <v>1</v>
      </c>
      <c r="Q655" s="23" t="s">
        <v>44</v>
      </c>
      <c r="R655" s="23">
        <v>0</v>
      </c>
      <c r="S655" s="23">
        <v>0</v>
      </c>
      <c r="T655" s="23">
        <v>9</v>
      </c>
      <c r="U655" s="23">
        <v>11</v>
      </c>
      <c r="AG655" s="34">
        <v>7</v>
      </c>
      <c r="AH655">
        <v>0</v>
      </c>
      <c r="AI655">
        <v>18</v>
      </c>
      <c r="AJ655">
        <v>0.1</v>
      </c>
      <c r="AK655">
        <v>0</v>
      </c>
      <c r="AL655">
        <v>2</v>
      </c>
      <c r="AM655">
        <v>3</v>
      </c>
      <c r="AN655">
        <v>2</v>
      </c>
      <c r="AO655">
        <v>4</v>
      </c>
      <c r="AP655">
        <v>71</v>
      </c>
      <c r="AQ655" s="21">
        <f t="shared" si="93"/>
        <v>64</v>
      </c>
      <c r="AR655" s="12">
        <f t="shared" si="89"/>
        <v>100.1</v>
      </c>
      <c r="AS655">
        <v>0</v>
      </c>
      <c r="AT655">
        <v>0.1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 s="31">
        <v>4</v>
      </c>
      <c r="BK655">
        <v>0</v>
      </c>
      <c r="BL655" s="6">
        <f t="shared" si="92"/>
        <v>4.0999999999999996</v>
      </c>
      <c r="BM655" s="6">
        <f t="shared" si="88"/>
        <v>4.0999999999999996</v>
      </c>
      <c r="BN655">
        <v>18</v>
      </c>
      <c r="BO655">
        <f t="shared" si="86"/>
        <v>18</v>
      </c>
      <c r="BP655">
        <v>0.1</v>
      </c>
      <c r="BQ655">
        <f>SUM(BP655,BB655,BK655)</f>
        <v>0.1</v>
      </c>
      <c r="BR655">
        <f t="shared" si="90"/>
        <v>0</v>
      </c>
    </row>
    <row r="656" spans="1:70" hidden="1">
      <c r="A656" s="16" t="str">
        <f t="shared" si="91"/>
        <v>WC_2026_UPZ_1_5</v>
      </c>
      <c r="B656" t="s">
        <v>65</v>
      </c>
      <c r="C656">
        <v>42.222900000000003</v>
      </c>
      <c r="D656">
        <v>-124.383</v>
      </c>
      <c r="E656" s="8">
        <v>46191</v>
      </c>
      <c r="F656">
        <v>2026</v>
      </c>
      <c r="G656" t="s">
        <v>66</v>
      </c>
      <c r="H656" t="s">
        <v>45</v>
      </c>
      <c r="I656">
        <v>1</v>
      </c>
      <c r="J656">
        <v>5</v>
      </c>
      <c r="K656" t="s">
        <v>57</v>
      </c>
      <c r="L656" s="23">
        <v>8</v>
      </c>
      <c r="M656" s="23">
        <v>1</v>
      </c>
      <c r="N656" s="23">
        <v>7</v>
      </c>
      <c r="O656" s="23">
        <v>0</v>
      </c>
      <c r="P656" s="23">
        <v>0</v>
      </c>
      <c r="Q656" s="23" t="s">
        <v>44</v>
      </c>
      <c r="R656" s="23">
        <v>0</v>
      </c>
      <c r="S656" s="23">
        <v>0</v>
      </c>
      <c r="T656" s="23">
        <v>39</v>
      </c>
      <c r="U656" s="23">
        <v>40</v>
      </c>
      <c r="AG656" s="34">
        <v>4</v>
      </c>
      <c r="AH656">
        <v>0</v>
      </c>
      <c r="AI656">
        <v>6</v>
      </c>
      <c r="AJ656">
        <v>0.1</v>
      </c>
      <c r="AK656">
        <v>0</v>
      </c>
      <c r="AL656">
        <v>12</v>
      </c>
      <c r="AM656">
        <v>7</v>
      </c>
      <c r="AN656">
        <v>1</v>
      </c>
      <c r="AO656">
        <v>15</v>
      </c>
      <c r="AP656">
        <v>59</v>
      </c>
      <c r="AQ656" s="21">
        <f t="shared" si="93"/>
        <v>55</v>
      </c>
      <c r="AR656" s="12">
        <f t="shared" si="89"/>
        <v>100.1</v>
      </c>
      <c r="AS656">
        <v>0</v>
      </c>
      <c r="AT656">
        <v>0.1</v>
      </c>
      <c r="AU656">
        <v>0.1</v>
      </c>
      <c r="AV656">
        <v>0</v>
      </c>
      <c r="AW656">
        <v>0</v>
      </c>
      <c r="AX656">
        <v>0.1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 s="47">
        <v>0</v>
      </c>
      <c r="BH656" s="47">
        <v>0</v>
      </c>
      <c r="BI656" s="47">
        <v>0</v>
      </c>
      <c r="BJ656" s="47">
        <v>0.1</v>
      </c>
      <c r="BK656" s="47">
        <v>0</v>
      </c>
      <c r="BL656" s="6">
        <f t="shared" si="92"/>
        <v>0.30000000000000004</v>
      </c>
      <c r="BM656" s="6">
        <f t="shared" si="88"/>
        <v>0.4</v>
      </c>
    </row>
    <row r="657" spans="1:70" hidden="1">
      <c r="A657" s="16" t="str">
        <f t="shared" si="91"/>
        <v>WC_2026_UPZ_2_1</v>
      </c>
      <c r="B657" t="s">
        <v>65</v>
      </c>
      <c r="C657">
        <v>42.222900000000003</v>
      </c>
      <c r="D657">
        <v>-124.383</v>
      </c>
      <c r="E657" s="8">
        <v>46191</v>
      </c>
      <c r="F657">
        <v>2026</v>
      </c>
      <c r="G657" t="s">
        <v>66</v>
      </c>
      <c r="H657" t="s">
        <v>45</v>
      </c>
      <c r="I657">
        <v>2</v>
      </c>
      <c r="J657">
        <v>1</v>
      </c>
      <c r="K657" t="s">
        <v>51</v>
      </c>
      <c r="L657" s="23">
        <v>9</v>
      </c>
      <c r="M657" s="23">
        <v>7</v>
      </c>
      <c r="N657" s="23">
        <v>0</v>
      </c>
      <c r="O657" s="23">
        <v>2</v>
      </c>
      <c r="Q657" s="23" t="s">
        <v>44</v>
      </c>
      <c r="R657" s="23">
        <v>0</v>
      </c>
      <c r="S657" s="23">
        <v>0</v>
      </c>
      <c r="T657" s="23">
        <v>4</v>
      </c>
      <c r="U657" s="23">
        <v>11</v>
      </c>
      <c r="AH657">
        <v>4</v>
      </c>
      <c r="AI657">
        <v>56</v>
      </c>
      <c r="AJ657">
        <v>3</v>
      </c>
      <c r="AK657">
        <v>0</v>
      </c>
      <c r="AL657">
        <v>3</v>
      </c>
      <c r="AM657">
        <v>5</v>
      </c>
      <c r="AN657">
        <v>0</v>
      </c>
      <c r="AO657">
        <v>5</v>
      </c>
      <c r="AP657">
        <v>24</v>
      </c>
      <c r="AQ657" s="21">
        <f t="shared" si="93"/>
        <v>24</v>
      </c>
      <c r="AR657" s="12">
        <f t="shared" si="89"/>
        <v>100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s="47">
        <v>3</v>
      </c>
      <c r="BH657" s="47">
        <v>0</v>
      </c>
      <c r="BI657" s="47">
        <v>0</v>
      </c>
      <c r="BJ657" s="47">
        <v>0</v>
      </c>
      <c r="BK657" s="47">
        <v>0</v>
      </c>
      <c r="BL657" s="6">
        <f t="shared" si="92"/>
        <v>6</v>
      </c>
      <c r="BM657" s="6">
        <f t="shared" si="88"/>
        <v>9</v>
      </c>
    </row>
    <row r="658" spans="1:70" hidden="1">
      <c r="A658" s="16" t="str">
        <f t="shared" si="91"/>
        <v>WC_2026_UPZ_2_2</v>
      </c>
      <c r="B658" t="s">
        <v>65</v>
      </c>
      <c r="C658">
        <v>42.222900000000003</v>
      </c>
      <c r="D658">
        <v>-124.383</v>
      </c>
      <c r="E658" s="8">
        <v>46191</v>
      </c>
      <c r="F658">
        <v>2026</v>
      </c>
      <c r="G658" t="s">
        <v>66</v>
      </c>
      <c r="H658" t="s">
        <v>45</v>
      </c>
      <c r="I658">
        <v>2</v>
      </c>
      <c r="J658">
        <v>2</v>
      </c>
      <c r="K658" t="s">
        <v>85</v>
      </c>
      <c r="L658" s="23">
        <v>15</v>
      </c>
      <c r="M658" s="23">
        <v>1</v>
      </c>
      <c r="N658" s="23">
        <v>4</v>
      </c>
      <c r="O658" s="23">
        <v>11</v>
      </c>
      <c r="P658" s="23">
        <v>0</v>
      </c>
      <c r="Q658" s="23" t="s">
        <v>44</v>
      </c>
      <c r="R658" s="23">
        <v>0</v>
      </c>
      <c r="S658" s="23">
        <v>0</v>
      </c>
      <c r="T658" s="23">
        <v>1</v>
      </c>
      <c r="U658" s="23">
        <v>2</v>
      </c>
      <c r="AH658">
        <v>22</v>
      </c>
      <c r="AI658">
        <v>25</v>
      </c>
      <c r="AJ658">
        <v>0</v>
      </c>
      <c r="AK658">
        <v>0</v>
      </c>
      <c r="AL658">
        <v>3</v>
      </c>
      <c r="AM658">
        <v>2</v>
      </c>
      <c r="AN658">
        <v>1</v>
      </c>
      <c r="AO658">
        <v>2</v>
      </c>
      <c r="AP658">
        <v>45</v>
      </c>
      <c r="AQ658" s="21">
        <f t="shared" si="93"/>
        <v>45</v>
      </c>
      <c r="AR658" s="12">
        <f>SUM(AH658:AP658)</f>
        <v>100</v>
      </c>
      <c r="AS658">
        <v>7</v>
      </c>
      <c r="AT658">
        <v>0</v>
      </c>
      <c r="AU658">
        <v>1</v>
      </c>
      <c r="AV658">
        <v>0</v>
      </c>
      <c r="AW658">
        <v>0</v>
      </c>
      <c r="AX658">
        <v>22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9</v>
      </c>
      <c r="BJ658">
        <v>0</v>
      </c>
      <c r="BK658">
        <v>0</v>
      </c>
      <c r="BL658" s="6">
        <f t="shared" si="92"/>
        <v>29</v>
      </c>
      <c r="BM658" s="6">
        <f t="shared" si="88"/>
        <v>39</v>
      </c>
    </row>
    <row r="659" spans="1:70" hidden="1">
      <c r="A659" s="16" t="str">
        <f t="shared" si="91"/>
        <v>WC_2026_UPZ_2_3</v>
      </c>
      <c r="B659" t="s">
        <v>65</v>
      </c>
      <c r="C659">
        <v>42.222900000000003</v>
      </c>
      <c r="D659">
        <v>-124.383</v>
      </c>
      <c r="E659" s="8">
        <v>46191</v>
      </c>
      <c r="F659">
        <v>2026</v>
      </c>
      <c r="G659" t="s">
        <v>66</v>
      </c>
      <c r="H659" t="s">
        <v>45</v>
      </c>
      <c r="I659">
        <v>2</v>
      </c>
      <c r="J659">
        <v>3</v>
      </c>
      <c r="K659" t="s">
        <v>47</v>
      </c>
      <c r="L659" s="23">
        <v>7</v>
      </c>
      <c r="M659" s="23">
        <v>3</v>
      </c>
      <c r="N659" s="23">
        <v>0</v>
      </c>
      <c r="O659" s="23">
        <v>4</v>
      </c>
      <c r="P659" s="23">
        <v>0</v>
      </c>
      <c r="Q659" s="23" t="s">
        <v>44</v>
      </c>
      <c r="R659" s="23">
        <v>0</v>
      </c>
      <c r="S659" s="23">
        <v>0</v>
      </c>
      <c r="T659" s="23">
        <v>1</v>
      </c>
      <c r="U659" s="23">
        <v>4</v>
      </c>
      <c r="AH659">
        <v>15</v>
      </c>
      <c r="AI659">
        <v>54</v>
      </c>
      <c r="AJ659">
        <v>5</v>
      </c>
      <c r="AK659">
        <v>0</v>
      </c>
      <c r="AL659">
        <v>6</v>
      </c>
      <c r="AM659">
        <v>6</v>
      </c>
      <c r="AN659">
        <v>1</v>
      </c>
      <c r="AO659">
        <v>2</v>
      </c>
      <c r="AP659">
        <v>11</v>
      </c>
      <c r="AQ659" s="21">
        <f t="shared" si="93"/>
        <v>11</v>
      </c>
      <c r="AR659" s="12">
        <f>SUM(AH659:AP659)</f>
        <v>100</v>
      </c>
      <c r="AS659">
        <v>3</v>
      </c>
      <c r="AT659">
        <v>12</v>
      </c>
      <c r="AU659">
        <v>0</v>
      </c>
      <c r="AV659">
        <v>3</v>
      </c>
      <c r="AW659">
        <v>2</v>
      </c>
      <c r="AX659">
        <v>16</v>
      </c>
      <c r="AY659">
        <v>15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23</v>
      </c>
      <c r="BJ659">
        <v>0</v>
      </c>
      <c r="BK659">
        <v>0</v>
      </c>
      <c r="BL659" s="6">
        <f t="shared" si="92"/>
        <v>51</v>
      </c>
      <c r="BM659" s="6">
        <f t="shared" si="88"/>
        <v>74</v>
      </c>
    </row>
    <row r="660" spans="1:70" hidden="1">
      <c r="A660" s="16" t="str">
        <f t="shared" si="91"/>
        <v>WC_2026_UPZ_2_4</v>
      </c>
      <c r="B660" t="s">
        <v>65</v>
      </c>
      <c r="C660">
        <v>42.222900000000003</v>
      </c>
      <c r="D660">
        <v>-124.383</v>
      </c>
      <c r="E660" s="8">
        <v>46191</v>
      </c>
      <c r="F660">
        <v>2026</v>
      </c>
      <c r="G660" t="s">
        <v>66</v>
      </c>
      <c r="H660" t="s">
        <v>45</v>
      </c>
      <c r="I660">
        <v>2</v>
      </c>
      <c r="J660">
        <v>4</v>
      </c>
      <c r="K660" t="s">
        <v>51</v>
      </c>
      <c r="L660" s="23">
        <v>2</v>
      </c>
      <c r="M660" s="23">
        <v>1</v>
      </c>
      <c r="N660" s="23">
        <v>1</v>
      </c>
      <c r="O660" s="23">
        <v>0</v>
      </c>
      <c r="P660" s="23">
        <v>0</v>
      </c>
      <c r="Q660" s="23" t="s">
        <v>44</v>
      </c>
      <c r="R660" s="23">
        <v>0</v>
      </c>
      <c r="S660" s="23">
        <v>0</v>
      </c>
      <c r="T660" s="23">
        <v>10</v>
      </c>
      <c r="U660" s="23">
        <v>11</v>
      </c>
      <c r="AH660">
        <v>1</v>
      </c>
      <c r="AI660">
        <v>7</v>
      </c>
      <c r="AJ660">
        <v>0</v>
      </c>
      <c r="AK660">
        <v>0</v>
      </c>
      <c r="AL660">
        <v>10</v>
      </c>
      <c r="AM660">
        <v>4</v>
      </c>
      <c r="AN660">
        <v>0</v>
      </c>
      <c r="AO660">
        <v>4</v>
      </c>
      <c r="AP660">
        <v>74</v>
      </c>
      <c r="AQ660" s="21">
        <f t="shared" si="93"/>
        <v>74</v>
      </c>
      <c r="AR660" s="12">
        <f t="shared" si="89"/>
        <v>100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</v>
      </c>
      <c r="BF660">
        <v>0</v>
      </c>
      <c r="BG660">
        <v>2</v>
      </c>
      <c r="BH660">
        <v>0</v>
      </c>
      <c r="BI660">
        <v>0</v>
      </c>
      <c r="BJ660">
        <v>0</v>
      </c>
      <c r="BK660">
        <v>0</v>
      </c>
      <c r="BL660" s="6">
        <f t="shared" si="92"/>
        <v>5</v>
      </c>
      <c r="BM660" s="6">
        <f t="shared" si="88"/>
        <v>7</v>
      </c>
    </row>
    <row r="661" spans="1:70" hidden="1">
      <c r="A661" s="16" t="str">
        <f t="shared" si="91"/>
        <v>WC_2026_UPZ_2_5</v>
      </c>
      <c r="B661" t="s">
        <v>65</v>
      </c>
      <c r="C661">
        <v>42.222900000000003</v>
      </c>
      <c r="D661">
        <v>-124.383</v>
      </c>
      <c r="E661" s="8">
        <v>46191</v>
      </c>
      <c r="F661">
        <v>2026</v>
      </c>
      <c r="G661" t="s">
        <v>66</v>
      </c>
      <c r="H661" t="s">
        <v>45</v>
      </c>
      <c r="I661">
        <v>2</v>
      </c>
      <c r="J661">
        <v>5</v>
      </c>
      <c r="K661" t="s">
        <v>47</v>
      </c>
      <c r="L661" s="23">
        <v>11</v>
      </c>
      <c r="M661" s="23">
        <v>11</v>
      </c>
      <c r="N661" s="23">
        <v>0</v>
      </c>
      <c r="O661" s="23">
        <v>0</v>
      </c>
      <c r="P661" s="23">
        <v>5</v>
      </c>
      <c r="Q661" s="23" t="s">
        <v>44</v>
      </c>
      <c r="R661" s="23">
        <v>0</v>
      </c>
      <c r="S661" s="23">
        <v>0</v>
      </c>
      <c r="T661" s="23">
        <v>4</v>
      </c>
      <c r="U661" s="23">
        <v>15</v>
      </c>
      <c r="AH661">
        <v>8</v>
      </c>
      <c r="AI661">
        <v>66</v>
      </c>
      <c r="AJ661">
        <v>1</v>
      </c>
      <c r="AK661">
        <v>0</v>
      </c>
      <c r="AL661">
        <v>4</v>
      </c>
      <c r="AM661">
        <v>2</v>
      </c>
      <c r="AN661">
        <v>1</v>
      </c>
      <c r="AO661">
        <v>0</v>
      </c>
      <c r="AP661">
        <v>18</v>
      </c>
      <c r="AQ661" s="21">
        <f t="shared" si="93"/>
        <v>18</v>
      </c>
      <c r="AR661" s="12">
        <f t="shared" si="89"/>
        <v>100</v>
      </c>
      <c r="AS661">
        <v>0</v>
      </c>
      <c r="AT661">
        <v>13</v>
      </c>
      <c r="AU661">
        <v>0</v>
      </c>
      <c r="AV661">
        <v>0</v>
      </c>
      <c r="AW661">
        <v>0</v>
      </c>
      <c r="AX661">
        <v>3</v>
      </c>
      <c r="AY661">
        <v>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4</v>
      </c>
      <c r="BJ661">
        <v>0</v>
      </c>
      <c r="BK661">
        <v>0</v>
      </c>
      <c r="BL661" s="6">
        <f t="shared" si="92"/>
        <v>20</v>
      </c>
      <c r="BM661" s="6">
        <f t="shared" si="88"/>
        <v>24</v>
      </c>
    </row>
    <row r="662" spans="1:70" hidden="1">
      <c r="A662" s="16" t="str">
        <f t="shared" si="91"/>
        <v>WC_2026_NPZ_1_1</v>
      </c>
      <c r="B662" t="s">
        <v>65</v>
      </c>
      <c r="C662">
        <v>42.222900000000003</v>
      </c>
      <c r="D662">
        <v>-124.383</v>
      </c>
      <c r="E662" s="8">
        <v>46191</v>
      </c>
      <c r="F662">
        <v>2026</v>
      </c>
      <c r="G662" t="s">
        <v>66</v>
      </c>
      <c r="H662" t="s">
        <v>48</v>
      </c>
      <c r="I662">
        <v>1</v>
      </c>
      <c r="J662">
        <v>1</v>
      </c>
      <c r="K662" t="s">
        <v>57</v>
      </c>
      <c r="L662" s="23">
        <v>16</v>
      </c>
      <c r="M662" s="23">
        <v>0</v>
      </c>
      <c r="N662" s="23">
        <v>5</v>
      </c>
      <c r="O662" s="23">
        <v>11</v>
      </c>
      <c r="P662" s="23">
        <v>0</v>
      </c>
      <c r="Q662" s="23" t="s">
        <v>44</v>
      </c>
      <c r="R662" s="23">
        <v>0</v>
      </c>
      <c r="S662" s="23">
        <v>0</v>
      </c>
      <c r="T662" s="23">
        <v>0</v>
      </c>
      <c r="U662" s="23">
        <v>0</v>
      </c>
      <c r="AG662" s="34">
        <v>21</v>
      </c>
      <c r="AH662">
        <v>0</v>
      </c>
      <c r="AI662">
        <v>4</v>
      </c>
      <c r="AJ662">
        <v>0</v>
      </c>
      <c r="AK662">
        <v>0</v>
      </c>
      <c r="AL662">
        <v>11</v>
      </c>
      <c r="AM662">
        <v>6</v>
      </c>
      <c r="AN662">
        <v>3</v>
      </c>
      <c r="AO662">
        <v>59</v>
      </c>
      <c r="AP662">
        <v>17</v>
      </c>
      <c r="AQ662" s="21">
        <f t="shared" si="93"/>
        <v>-4</v>
      </c>
      <c r="AR662" s="12">
        <f t="shared" si="89"/>
        <v>100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 s="6">
        <f t="shared" si="92"/>
        <v>0</v>
      </c>
      <c r="BM662" s="6">
        <f t="shared" si="88"/>
        <v>0</v>
      </c>
      <c r="BN662">
        <v>4</v>
      </c>
      <c r="BO662">
        <f t="shared" si="86"/>
        <v>4</v>
      </c>
      <c r="BP662">
        <v>0</v>
      </c>
      <c r="BQ662">
        <f>SUM(BP662,BB662,BK662)</f>
        <v>0</v>
      </c>
      <c r="BR662">
        <f t="shared" si="90"/>
        <v>0</v>
      </c>
    </row>
    <row r="663" spans="1:70" hidden="1">
      <c r="A663" s="16" t="str">
        <f t="shared" si="91"/>
        <v>WC_2026_NPZ_1_2</v>
      </c>
      <c r="B663" t="s">
        <v>65</v>
      </c>
      <c r="C663">
        <v>42.222900000000003</v>
      </c>
      <c r="D663">
        <v>-124.383</v>
      </c>
      <c r="E663" s="8">
        <v>46191</v>
      </c>
      <c r="F663">
        <v>2026</v>
      </c>
      <c r="G663" t="s">
        <v>66</v>
      </c>
      <c r="H663" t="s">
        <v>48</v>
      </c>
      <c r="I663">
        <v>1</v>
      </c>
      <c r="J663">
        <v>2</v>
      </c>
      <c r="K663" t="s">
        <v>47</v>
      </c>
      <c r="L663" s="23">
        <v>25</v>
      </c>
      <c r="M663" s="23">
        <v>0</v>
      </c>
      <c r="N663" s="23">
        <v>6</v>
      </c>
      <c r="O663" s="23">
        <v>9</v>
      </c>
      <c r="P663" s="23">
        <v>0</v>
      </c>
      <c r="Q663" s="23" t="s">
        <v>44</v>
      </c>
      <c r="R663" s="23">
        <v>0</v>
      </c>
      <c r="S663" s="23">
        <v>0</v>
      </c>
      <c r="T663" s="23">
        <v>0</v>
      </c>
      <c r="U663" s="23">
        <v>0</v>
      </c>
      <c r="AG663" s="34">
        <v>26</v>
      </c>
      <c r="AH663">
        <v>0</v>
      </c>
      <c r="AI663">
        <v>4</v>
      </c>
      <c r="AJ663">
        <v>0</v>
      </c>
      <c r="AK663">
        <v>0</v>
      </c>
      <c r="AL663">
        <v>15</v>
      </c>
      <c r="AM663">
        <v>0.1</v>
      </c>
      <c r="AN663">
        <v>0</v>
      </c>
      <c r="AO663">
        <v>77</v>
      </c>
      <c r="AP663">
        <v>4</v>
      </c>
      <c r="AQ663" s="21">
        <f t="shared" si="93"/>
        <v>-22</v>
      </c>
      <c r="AR663" s="12">
        <f t="shared" si="89"/>
        <v>100.1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 s="6">
        <f t="shared" si="92"/>
        <v>0</v>
      </c>
      <c r="BM663" s="6">
        <f t="shared" si="88"/>
        <v>0</v>
      </c>
      <c r="BN663">
        <v>4</v>
      </c>
      <c r="BO663">
        <f t="shared" si="86"/>
        <v>4</v>
      </c>
      <c r="BP663">
        <v>0</v>
      </c>
      <c r="BQ663">
        <f>SUM(BP663,BB663,BK663)</f>
        <v>0</v>
      </c>
      <c r="BR663">
        <f t="shared" si="90"/>
        <v>0</v>
      </c>
    </row>
    <row r="664" spans="1:70" hidden="1">
      <c r="A664" s="16" t="str">
        <f t="shared" si="91"/>
        <v>WC_2026_NPZ_1_3</v>
      </c>
      <c r="B664" t="s">
        <v>65</v>
      </c>
      <c r="C664">
        <v>42.222900000000003</v>
      </c>
      <c r="D664">
        <v>-124.383</v>
      </c>
      <c r="E664" s="8">
        <v>46191</v>
      </c>
      <c r="F664">
        <v>2026</v>
      </c>
      <c r="G664" t="s">
        <v>66</v>
      </c>
      <c r="H664" t="s">
        <v>48</v>
      </c>
      <c r="I664">
        <v>1</v>
      </c>
      <c r="J664">
        <v>3</v>
      </c>
      <c r="K664" t="s">
        <v>57</v>
      </c>
      <c r="L664" s="23">
        <v>27</v>
      </c>
      <c r="M664" s="23">
        <v>1</v>
      </c>
      <c r="N664" s="23">
        <v>6</v>
      </c>
      <c r="O664" s="23">
        <v>20</v>
      </c>
      <c r="P664" s="23">
        <v>0</v>
      </c>
      <c r="Q664" s="23" t="s">
        <v>44</v>
      </c>
      <c r="R664" s="23">
        <v>0</v>
      </c>
      <c r="S664" s="23">
        <v>0</v>
      </c>
      <c r="T664" s="23">
        <v>0</v>
      </c>
      <c r="U664" s="23">
        <v>1</v>
      </c>
      <c r="AG664" s="34">
        <v>24</v>
      </c>
      <c r="AH664">
        <v>0</v>
      </c>
      <c r="AI664">
        <v>1</v>
      </c>
      <c r="AJ664">
        <v>0</v>
      </c>
      <c r="AK664">
        <v>0</v>
      </c>
      <c r="AL664">
        <v>11</v>
      </c>
      <c r="AM664">
        <v>0.1</v>
      </c>
      <c r="AN664">
        <v>0</v>
      </c>
      <c r="AO664">
        <v>15</v>
      </c>
      <c r="AP664">
        <v>73</v>
      </c>
      <c r="AQ664" s="21">
        <f t="shared" si="93"/>
        <v>49</v>
      </c>
      <c r="AR664" s="12">
        <f t="shared" si="89"/>
        <v>100.1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 s="6">
        <f t="shared" si="92"/>
        <v>0</v>
      </c>
      <c r="BM664" s="6">
        <f t="shared" si="88"/>
        <v>0</v>
      </c>
      <c r="BN664">
        <v>1</v>
      </c>
      <c r="BO664">
        <f t="shared" si="86"/>
        <v>1</v>
      </c>
      <c r="BP664">
        <v>0</v>
      </c>
      <c r="BQ664">
        <f>SUM(BP664,BB664,BK664)</f>
        <v>0</v>
      </c>
      <c r="BR664">
        <f t="shared" si="90"/>
        <v>0</v>
      </c>
    </row>
    <row r="665" spans="1:70" hidden="1">
      <c r="A665" s="16" t="str">
        <f t="shared" si="91"/>
        <v>WC_2026_NPZ_1_4</v>
      </c>
      <c r="B665" t="s">
        <v>65</v>
      </c>
      <c r="C665">
        <v>42.222900000000003</v>
      </c>
      <c r="D665">
        <v>-124.383</v>
      </c>
      <c r="E665" s="8">
        <v>46191</v>
      </c>
      <c r="F665">
        <v>2026</v>
      </c>
      <c r="G665" t="s">
        <v>66</v>
      </c>
      <c r="H665" t="s">
        <v>48</v>
      </c>
      <c r="I665">
        <v>1</v>
      </c>
      <c r="J665">
        <v>4</v>
      </c>
      <c r="K665" t="s">
        <v>57</v>
      </c>
      <c r="L665" s="23">
        <v>20</v>
      </c>
      <c r="M665" s="23">
        <v>0</v>
      </c>
      <c r="N665" s="23">
        <v>9</v>
      </c>
      <c r="O665" s="23">
        <v>11</v>
      </c>
      <c r="P665" s="23">
        <v>0</v>
      </c>
      <c r="Q665" s="23" t="s">
        <v>44</v>
      </c>
      <c r="R665" s="23">
        <v>0</v>
      </c>
      <c r="S665" s="23">
        <v>0</v>
      </c>
      <c r="T665" s="23">
        <v>0</v>
      </c>
      <c r="U665" s="23">
        <v>0</v>
      </c>
      <c r="AG665" s="34">
        <v>20</v>
      </c>
      <c r="AH665">
        <v>0</v>
      </c>
      <c r="AI665">
        <v>1</v>
      </c>
      <c r="AJ665">
        <v>0</v>
      </c>
      <c r="AK665">
        <v>0</v>
      </c>
      <c r="AL665">
        <v>8</v>
      </c>
      <c r="AM665">
        <v>0.1</v>
      </c>
      <c r="AN665">
        <v>1</v>
      </c>
      <c r="AO665">
        <v>86</v>
      </c>
      <c r="AP665">
        <v>4</v>
      </c>
      <c r="AQ665" s="21">
        <f t="shared" si="93"/>
        <v>-16</v>
      </c>
      <c r="AR665" s="12">
        <f t="shared" si="89"/>
        <v>100.1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 s="6">
        <f t="shared" si="92"/>
        <v>0</v>
      </c>
      <c r="BM665" s="6">
        <f t="shared" si="88"/>
        <v>0</v>
      </c>
      <c r="BN665">
        <v>1</v>
      </c>
      <c r="BO665">
        <f t="shared" si="86"/>
        <v>1</v>
      </c>
      <c r="BP665">
        <v>0</v>
      </c>
      <c r="BQ665">
        <f>SUM(BP665,BB665,BK665)</f>
        <v>0</v>
      </c>
      <c r="BR665">
        <f t="shared" si="90"/>
        <v>0</v>
      </c>
    </row>
    <row r="666" spans="1:70" hidden="1">
      <c r="A666" s="16" t="str">
        <f t="shared" si="91"/>
        <v>WC_2026_NPZ_1_5</v>
      </c>
      <c r="B666" t="s">
        <v>65</v>
      </c>
      <c r="C666">
        <v>42.222900000000003</v>
      </c>
      <c r="D666">
        <v>-124.383</v>
      </c>
      <c r="E666" s="8">
        <v>46191</v>
      </c>
      <c r="F666">
        <v>2026</v>
      </c>
      <c r="G666" t="s">
        <v>66</v>
      </c>
      <c r="H666" t="s">
        <v>48</v>
      </c>
      <c r="I666">
        <v>1</v>
      </c>
      <c r="J666">
        <v>5</v>
      </c>
      <c r="K666" t="s">
        <v>57</v>
      </c>
      <c r="L666" s="23">
        <v>21</v>
      </c>
      <c r="M666" s="23">
        <v>0</v>
      </c>
      <c r="N666" s="23">
        <v>4</v>
      </c>
      <c r="O666" s="23">
        <v>17</v>
      </c>
      <c r="P666" s="23">
        <v>0</v>
      </c>
      <c r="Q666" s="23" t="s">
        <v>44</v>
      </c>
      <c r="R666" s="23">
        <v>0</v>
      </c>
      <c r="S666" s="23">
        <v>0</v>
      </c>
      <c r="T666" s="23">
        <v>0</v>
      </c>
      <c r="U666" s="23">
        <v>0</v>
      </c>
      <c r="AG666" s="34">
        <v>25</v>
      </c>
      <c r="AH666">
        <v>0</v>
      </c>
      <c r="AI666">
        <v>0.1</v>
      </c>
      <c r="AJ666">
        <v>0</v>
      </c>
      <c r="AK666">
        <v>0</v>
      </c>
      <c r="AL666">
        <v>10</v>
      </c>
      <c r="AM666">
        <v>0.1</v>
      </c>
      <c r="AN666">
        <v>0</v>
      </c>
      <c r="AO666">
        <v>79</v>
      </c>
      <c r="AP666">
        <v>11</v>
      </c>
      <c r="AQ666" s="21">
        <f t="shared" si="93"/>
        <v>-14</v>
      </c>
      <c r="AR666" s="12">
        <f t="shared" si="89"/>
        <v>100.2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 s="6">
        <f t="shared" si="92"/>
        <v>0</v>
      </c>
      <c r="BM666" s="6">
        <f t="shared" si="88"/>
        <v>0</v>
      </c>
      <c r="BN666">
        <v>0.1</v>
      </c>
      <c r="BO666">
        <f t="shared" si="86"/>
        <v>0.1</v>
      </c>
      <c r="BP666">
        <v>0</v>
      </c>
      <c r="BQ666">
        <f>SUM(BP666,BB666,BK666)</f>
        <v>0</v>
      </c>
      <c r="BR666">
        <f t="shared" si="90"/>
        <v>0</v>
      </c>
    </row>
    <row r="667" spans="1:70" hidden="1">
      <c r="A667" s="16" t="str">
        <f t="shared" si="91"/>
        <v>WC_2026_NPZ_2_1</v>
      </c>
      <c r="B667" t="s">
        <v>65</v>
      </c>
      <c r="C667">
        <v>42.222900000000003</v>
      </c>
      <c r="D667">
        <v>-124.383</v>
      </c>
      <c r="E667" s="8">
        <v>46191</v>
      </c>
      <c r="F667">
        <v>2026</v>
      </c>
      <c r="G667" t="s">
        <v>66</v>
      </c>
      <c r="H667" t="s">
        <v>48</v>
      </c>
      <c r="I667">
        <v>2</v>
      </c>
      <c r="J667">
        <v>1</v>
      </c>
      <c r="K667" t="s">
        <v>47</v>
      </c>
      <c r="L667" s="23">
        <v>30</v>
      </c>
      <c r="M667" s="23">
        <v>0</v>
      </c>
      <c r="N667" s="23">
        <v>21</v>
      </c>
      <c r="O667" s="23">
        <v>9</v>
      </c>
      <c r="P667" s="23">
        <v>0</v>
      </c>
      <c r="Q667" s="23" t="s">
        <v>44</v>
      </c>
      <c r="R667" s="23">
        <v>0</v>
      </c>
      <c r="S667" s="23">
        <v>0</v>
      </c>
      <c r="T667" s="23">
        <v>1</v>
      </c>
      <c r="U667" s="23">
        <v>3</v>
      </c>
      <c r="AH667">
        <v>0</v>
      </c>
      <c r="AI667">
        <v>3</v>
      </c>
      <c r="AJ667">
        <v>0</v>
      </c>
      <c r="AK667">
        <v>0</v>
      </c>
      <c r="AL667">
        <v>7</v>
      </c>
      <c r="AM667">
        <v>14</v>
      </c>
      <c r="AN667">
        <v>2</v>
      </c>
      <c r="AO667">
        <v>8</v>
      </c>
      <c r="AP667">
        <v>66</v>
      </c>
      <c r="AQ667" s="21">
        <f t="shared" si="93"/>
        <v>66</v>
      </c>
      <c r="AR667" s="12">
        <f t="shared" si="89"/>
        <v>100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 s="6">
        <f t="shared" si="92"/>
        <v>0</v>
      </c>
      <c r="BM667" s="6">
        <f t="shared" si="88"/>
        <v>0</v>
      </c>
      <c r="BN667">
        <v>3</v>
      </c>
      <c r="BO667">
        <f t="shared" si="86"/>
        <v>3</v>
      </c>
      <c r="BP667">
        <v>0</v>
      </c>
      <c r="BQ667">
        <f>SUM(BP667,BB667,BK667)</f>
        <v>0</v>
      </c>
      <c r="BR667">
        <f t="shared" si="90"/>
        <v>0</v>
      </c>
    </row>
    <row r="668" spans="1:70" hidden="1">
      <c r="A668" s="16" t="str">
        <f t="shared" si="91"/>
        <v>WC_2026_NPZ_2_2</v>
      </c>
      <c r="B668" t="s">
        <v>65</v>
      </c>
      <c r="C668">
        <v>42.222900000000003</v>
      </c>
      <c r="D668">
        <v>-124.383</v>
      </c>
      <c r="E668" s="8">
        <v>46191</v>
      </c>
      <c r="F668">
        <v>2026</v>
      </c>
      <c r="G668" t="s">
        <v>66</v>
      </c>
      <c r="H668" t="s">
        <v>48</v>
      </c>
      <c r="I668">
        <v>2</v>
      </c>
      <c r="J668">
        <v>2</v>
      </c>
      <c r="K668" t="s">
        <v>57</v>
      </c>
      <c r="L668" s="23">
        <v>31</v>
      </c>
      <c r="M668" s="23">
        <v>0</v>
      </c>
      <c r="N668" s="23">
        <v>15</v>
      </c>
      <c r="O668" s="23">
        <v>16</v>
      </c>
      <c r="P668" s="23">
        <v>0</v>
      </c>
      <c r="Q668" s="23" t="s">
        <v>44</v>
      </c>
      <c r="R668" s="23">
        <v>0</v>
      </c>
      <c r="S668" s="23">
        <v>0</v>
      </c>
      <c r="T668" s="23">
        <v>0</v>
      </c>
      <c r="U668" s="23">
        <v>1</v>
      </c>
      <c r="AH668">
        <v>1</v>
      </c>
      <c r="AI668">
        <v>5</v>
      </c>
      <c r="AJ668">
        <v>0</v>
      </c>
      <c r="AK668">
        <v>0</v>
      </c>
      <c r="AL668">
        <v>10</v>
      </c>
      <c r="AM668">
        <v>4</v>
      </c>
      <c r="AN668">
        <v>0</v>
      </c>
      <c r="AO668">
        <v>4</v>
      </c>
      <c r="AP668">
        <v>76</v>
      </c>
      <c r="AQ668" s="21">
        <f t="shared" si="93"/>
        <v>76</v>
      </c>
      <c r="AR668" s="12">
        <f t="shared" si="89"/>
        <v>100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 s="6">
        <f t="shared" si="92"/>
        <v>0</v>
      </c>
      <c r="BM668" s="6">
        <f t="shared" si="88"/>
        <v>0</v>
      </c>
      <c r="BN668">
        <v>5</v>
      </c>
      <c r="BO668">
        <f t="shared" si="86"/>
        <v>5</v>
      </c>
      <c r="BP668">
        <v>0</v>
      </c>
      <c r="BQ668">
        <f>SUM(BP668,BB668,BK668)</f>
        <v>0</v>
      </c>
      <c r="BR668">
        <f t="shared" si="90"/>
        <v>0</v>
      </c>
    </row>
    <row r="669" spans="1:70" hidden="1">
      <c r="A669" s="16" t="str">
        <f t="shared" si="91"/>
        <v>WC_2026_NPZ_2_3</v>
      </c>
      <c r="B669" t="s">
        <v>65</v>
      </c>
      <c r="C669">
        <v>42.222900000000003</v>
      </c>
      <c r="D669">
        <v>-124.383</v>
      </c>
      <c r="E669" s="8">
        <v>46191</v>
      </c>
      <c r="F669">
        <v>2026</v>
      </c>
      <c r="G669" t="s">
        <v>66</v>
      </c>
      <c r="H669" t="s">
        <v>48</v>
      </c>
      <c r="I669">
        <v>2</v>
      </c>
      <c r="J669">
        <v>3</v>
      </c>
      <c r="K669" t="s">
        <v>51</v>
      </c>
      <c r="L669" s="23">
        <v>35</v>
      </c>
      <c r="M669" s="23">
        <v>0</v>
      </c>
      <c r="N669" s="23">
        <v>0</v>
      </c>
      <c r="O669" s="23">
        <v>35</v>
      </c>
      <c r="P669" s="23">
        <v>0</v>
      </c>
      <c r="Q669" s="23" t="s">
        <v>44</v>
      </c>
      <c r="R669" s="23">
        <v>0</v>
      </c>
      <c r="S669" s="23">
        <v>0</v>
      </c>
      <c r="T669" s="23">
        <v>0</v>
      </c>
      <c r="U669" s="23">
        <v>0</v>
      </c>
      <c r="AH669">
        <v>0</v>
      </c>
      <c r="AI669">
        <v>0</v>
      </c>
      <c r="AJ669">
        <v>0</v>
      </c>
      <c r="AK669">
        <v>0</v>
      </c>
      <c r="AL669">
        <v>9</v>
      </c>
      <c r="AM669">
        <v>2</v>
      </c>
      <c r="AN669">
        <v>0</v>
      </c>
      <c r="AO669">
        <v>4</v>
      </c>
      <c r="AP669">
        <v>85</v>
      </c>
      <c r="AQ669" s="21">
        <f t="shared" si="93"/>
        <v>85</v>
      </c>
      <c r="AR669" s="12">
        <f t="shared" si="89"/>
        <v>100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 s="6">
        <f t="shared" si="92"/>
        <v>0</v>
      </c>
      <c r="BM669" s="6">
        <f t="shared" si="88"/>
        <v>0</v>
      </c>
      <c r="BN669">
        <v>0</v>
      </c>
      <c r="BO669">
        <f t="shared" si="86"/>
        <v>0</v>
      </c>
      <c r="BP669">
        <v>0</v>
      </c>
      <c r="BQ669">
        <f>SUM(BP669,BB669,BK669)</f>
        <v>0</v>
      </c>
      <c r="BR669">
        <f t="shared" si="90"/>
        <v>0</v>
      </c>
    </row>
    <row r="670" spans="1:70" hidden="1">
      <c r="A670" s="16" t="str">
        <f t="shared" si="91"/>
        <v>WC_2026_NPZ_2_4</v>
      </c>
      <c r="B670" t="s">
        <v>65</v>
      </c>
      <c r="C670">
        <v>42.222900000000003</v>
      </c>
      <c r="D670">
        <v>-124.383</v>
      </c>
      <c r="E670" s="8">
        <v>46191</v>
      </c>
      <c r="F670">
        <v>2026</v>
      </c>
      <c r="G670" t="s">
        <v>66</v>
      </c>
      <c r="H670" t="s">
        <v>48</v>
      </c>
      <c r="I670">
        <v>2</v>
      </c>
      <c r="J670">
        <v>4</v>
      </c>
      <c r="K670" t="s">
        <v>58</v>
      </c>
      <c r="L670" s="23">
        <v>3</v>
      </c>
      <c r="M670" s="23">
        <v>1</v>
      </c>
      <c r="N670" s="23">
        <v>2</v>
      </c>
      <c r="O670" s="23">
        <v>0</v>
      </c>
      <c r="P670" s="23">
        <v>0</v>
      </c>
      <c r="Q670" s="23" t="s">
        <v>44</v>
      </c>
      <c r="R670" s="23">
        <v>0</v>
      </c>
      <c r="S670" s="23">
        <v>0</v>
      </c>
      <c r="T670" s="23">
        <v>0</v>
      </c>
      <c r="U670" s="23">
        <v>1</v>
      </c>
      <c r="AH670">
        <v>2</v>
      </c>
      <c r="AI670">
        <v>14</v>
      </c>
      <c r="AJ670">
        <v>0</v>
      </c>
      <c r="AK670">
        <v>0</v>
      </c>
      <c r="AL670">
        <v>28</v>
      </c>
      <c r="AM670">
        <v>4</v>
      </c>
      <c r="AN670">
        <v>1</v>
      </c>
      <c r="AO670">
        <v>16</v>
      </c>
      <c r="AP670">
        <v>35</v>
      </c>
      <c r="AQ670" s="21">
        <f t="shared" si="93"/>
        <v>35</v>
      </c>
      <c r="AR670" s="12">
        <f t="shared" si="89"/>
        <v>100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4</v>
      </c>
      <c r="BJ670">
        <v>0</v>
      </c>
      <c r="BK670">
        <v>0</v>
      </c>
      <c r="BL670" s="6">
        <f t="shared" si="92"/>
        <v>3</v>
      </c>
      <c r="BM670" s="6">
        <f t="shared" si="88"/>
        <v>7</v>
      </c>
    </row>
    <row r="671" spans="1:70" hidden="1">
      <c r="A671" s="16" t="str">
        <f t="shared" si="91"/>
        <v>WC_2026_NPZ_2_5</v>
      </c>
      <c r="B671" t="s">
        <v>65</v>
      </c>
      <c r="C671">
        <v>42.222900000000003</v>
      </c>
      <c r="D671">
        <v>-124.383</v>
      </c>
      <c r="E671" s="8">
        <v>46191</v>
      </c>
      <c r="F671">
        <v>2026</v>
      </c>
      <c r="G671" t="s">
        <v>66</v>
      </c>
      <c r="H671" t="s">
        <v>48</v>
      </c>
      <c r="I671">
        <v>2</v>
      </c>
      <c r="J671">
        <v>5</v>
      </c>
      <c r="K671" t="s">
        <v>51</v>
      </c>
      <c r="L671" s="23">
        <v>45</v>
      </c>
      <c r="M671" s="23">
        <v>0</v>
      </c>
      <c r="N671" s="23">
        <v>19</v>
      </c>
      <c r="O671" s="23">
        <v>26</v>
      </c>
      <c r="P671" s="23">
        <v>1</v>
      </c>
      <c r="Q671" s="23" t="s">
        <v>44</v>
      </c>
      <c r="R671" s="23">
        <v>0</v>
      </c>
      <c r="S671" s="23">
        <v>0</v>
      </c>
      <c r="T671" s="23">
        <v>0</v>
      </c>
      <c r="U671" s="23">
        <v>0</v>
      </c>
      <c r="AH671">
        <v>0</v>
      </c>
      <c r="AI671">
        <v>0</v>
      </c>
      <c r="AJ671">
        <v>0.1</v>
      </c>
      <c r="AK671">
        <v>0</v>
      </c>
      <c r="AL671">
        <v>12</v>
      </c>
      <c r="AM671">
        <v>5</v>
      </c>
      <c r="AN671">
        <v>0</v>
      </c>
      <c r="AO671">
        <v>6</v>
      </c>
      <c r="AP671">
        <v>77</v>
      </c>
      <c r="AQ671" s="21">
        <f t="shared" si="93"/>
        <v>77</v>
      </c>
      <c r="AR671" s="12">
        <f t="shared" si="89"/>
        <v>100.1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 s="6">
        <f t="shared" si="92"/>
        <v>0</v>
      </c>
      <c r="BM671" s="6">
        <f t="shared" si="88"/>
        <v>0</v>
      </c>
      <c r="BN671">
        <v>0</v>
      </c>
      <c r="BO671">
        <f t="shared" si="86"/>
        <v>0</v>
      </c>
      <c r="BP671">
        <v>0.1</v>
      </c>
      <c r="BQ671">
        <f>SUM(BP671,BB671,BK671)</f>
        <v>0.1</v>
      </c>
      <c r="BR671">
        <f t="shared" si="90"/>
        <v>0</v>
      </c>
    </row>
    <row r="672" spans="1:70" hidden="1">
      <c r="A672" s="16" t="str">
        <f t="shared" si="91"/>
        <v>SB_2026_AZ_1_1</v>
      </c>
      <c r="B672" t="s">
        <v>40</v>
      </c>
      <c r="C672">
        <v>43.3339</v>
      </c>
      <c r="D672">
        <v>-124.3767</v>
      </c>
      <c r="E672" s="8">
        <v>46192</v>
      </c>
      <c r="F672">
        <v>2026</v>
      </c>
      <c r="G672" t="s">
        <v>41</v>
      </c>
      <c r="H672" t="s">
        <v>42</v>
      </c>
      <c r="I672">
        <v>1</v>
      </c>
      <c r="J672">
        <v>1</v>
      </c>
      <c r="K672" t="s">
        <v>43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 t="s">
        <v>44</v>
      </c>
      <c r="R672" s="23">
        <v>0</v>
      </c>
      <c r="S672" s="23">
        <v>0</v>
      </c>
      <c r="T672" s="23">
        <v>0</v>
      </c>
      <c r="U672" s="23">
        <v>0</v>
      </c>
      <c r="V672" s="18" t="s">
        <v>44</v>
      </c>
      <c r="W672" s="18" t="s">
        <v>44</v>
      </c>
      <c r="X672" s="18" t="s">
        <v>44</v>
      </c>
      <c r="Y672" s="18" t="s">
        <v>44</v>
      </c>
      <c r="Z672" s="18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s="34">
        <v>0</v>
      </c>
      <c r="AH672">
        <v>7</v>
      </c>
      <c r="AI672">
        <v>50</v>
      </c>
      <c r="AJ672">
        <v>0.1</v>
      </c>
      <c r="AK672">
        <v>0</v>
      </c>
      <c r="AL672">
        <v>17</v>
      </c>
      <c r="AM672">
        <v>7</v>
      </c>
      <c r="AN672">
        <v>1</v>
      </c>
      <c r="AO672">
        <v>8</v>
      </c>
      <c r="AP672">
        <v>10</v>
      </c>
      <c r="AQ672" s="21">
        <f t="shared" ref="AQ672:AQ735" si="94">AP672-AG672</f>
        <v>10</v>
      </c>
      <c r="AR672" s="12">
        <f t="shared" ref="AR672:AR735" si="95">SUM(AH672:AP672)</f>
        <v>100.1</v>
      </c>
      <c r="AS672">
        <v>50</v>
      </c>
      <c r="AT672">
        <v>20</v>
      </c>
      <c r="AU672">
        <v>12</v>
      </c>
      <c r="AV672">
        <v>0</v>
      </c>
      <c r="AW672">
        <v>0</v>
      </c>
      <c r="AX672">
        <v>20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M672" s="6">
        <f t="shared" si="88"/>
        <v>102</v>
      </c>
    </row>
    <row r="673" spans="1:70" hidden="1">
      <c r="A673" s="16" t="str">
        <f t="shared" si="91"/>
        <v>SB_2026_AZ_1_2</v>
      </c>
      <c r="B673" t="s">
        <v>40</v>
      </c>
      <c r="C673">
        <v>43.3339</v>
      </c>
      <c r="D673">
        <v>-124.3767</v>
      </c>
      <c r="E673" s="8">
        <v>46192</v>
      </c>
      <c r="F673">
        <v>2026</v>
      </c>
      <c r="G673" t="s">
        <v>41</v>
      </c>
      <c r="H673" t="s">
        <v>42</v>
      </c>
      <c r="I673">
        <v>1</v>
      </c>
      <c r="J673">
        <v>2</v>
      </c>
      <c r="K673" t="s">
        <v>43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 t="s">
        <v>44</v>
      </c>
      <c r="R673" s="23">
        <v>0</v>
      </c>
      <c r="S673" s="23">
        <v>0</v>
      </c>
      <c r="T673" s="23">
        <v>0</v>
      </c>
      <c r="U673" s="23">
        <v>0</v>
      </c>
      <c r="V673" s="18" t="s">
        <v>44</v>
      </c>
      <c r="W673" s="18" t="s">
        <v>44</v>
      </c>
      <c r="X673" s="18" t="s">
        <v>44</v>
      </c>
      <c r="Y673" s="18" t="s">
        <v>44</v>
      </c>
      <c r="Z673" s="18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s="34">
        <v>0</v>
      </c>
      <c r="AH673">
        <v>8</v>
      </c>
      <c r="AI673">
        <v>73</v>
      </c>
      <c r="AJ673">
        <v>0</v>
      </c>
      <c r="AK673">
        <v>0</v>
      </c>
      <c r="AL673">
        <v>7</v>
      </c>
      <c r="AM673">
        <v>3</v>
      </c>
      <c r="AN673">
        <v>0.1</v>
      </c>
      <c r="AO673">
        <v>9</v>
      </c>
      <c r="AP673">
        <v>0</v>
      </c>
      <c r="AQ673" s="21">
        <f t="shared" si="94"/>
        <v>0</v>
      </c>
      <c r="AR673" s="12">
        <f t="shared" si="95"/>
        <v>100.1</v>
      </c>
      <c r="AS673">
        <v>30</v>
      </c>
      <c r="AT673">
        <v>20</v>
      </c>
      <c r="AU673">
        <v>0</v>
      </c>
      <c r="AV673">
        <v>0</v>
      </c>
      <c r="AW673">
        <v>0</v>
      </c>
      <c r="AX673">
        <v>32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</v>
      </c>
      <c r="BH673">
        <v>0</v>
      </c>
      <c r="BI673">
        <v>0</v>
      </c>
      <c r="BJ673">
        <v>0</v>
      </c>
      <c r="BK673">
        <v>0</v>
      </c>
      <c r="BM673" s="6">
        <f t="shared" si="88"/>
        <v>84</v>
      </c>
    </row>
    <row r="674" spans="1:70" hidden="1">
      <c r="A674" s="16" t="str">
        <f t="shared" si="91"/>
        <v>SB_2026_AZ_1_3</v>
      </c>
      <c r="B674" t="s">
        <v>40</v>
      </c>
      <c r="C674">
        <v>43.3339</v>
      </c>
      <c r="D674">
        <v>-124.3767</v>
      </c>
      <c r="E674" s="8">
        <v>46192</v>
      </c>
      <c r="F674">
        <v>2026</v>
      </c>
      <c r="G674" t="s">
        <v>41</v>
      </c>
      <c r="H674" t="s">
        <v>42</v>
      </c>
      <c r="I674">
        <v>1</v>
      </c>
      <c r="J674">
        <v>3</v>
      </c>
      <c r="K674" t="s">
        <v>43</v>
      </c>
      <c r="L674" s="23">
        <v>2</v>
      </c>
      <c r="M674" s="23">
        <v>0</v>
      </c>
      <c r="N674" s="23">
        <v>2</v>
      </c>
      <c r="O674" s="23">
        <v>0</v>
      </c>
      <c r="P674" s="23">
        <v>0</v>
      </c>
      <c r="Q674" s="23" t="s">
        <v>44</v>
      </c>
      <c r="R674" s="23">
        <v>0</v>
      </c>
      <c r="S674" s="23">
        <v>0</v>
      </c>
      <c r="T674" s="23">
        <v>0</v>
      </c>
      <c r="U674" s="23">
        <v>0</v>
      </c>
      <c r="V674" s="18" t="s">
        <v>44</v>
      </c>
      <c r="W674" s="18" t="s">
        <v>44</v>
      </c>
      <c r="X674" s="18" t="s">
        <v>44</v>
      </c>
      <c r="Y674" s="18" t="s">
        <v>44</v>
      </c>
      <c r="Z674" s="18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s="34">
        <v>0.1</v>
      </c>
      <c r="AH674">
        <v>0</v>
      </c>
      <c r="AI674">
        <v>70</v>
      </c>
      <c r="AJ674">
        <v>1</v>
      </c>
      <c r="AK674">
        <v>0</v>
      </c>
      <c r="AL674">
        <v>9</v>
      </c>
      <c r="AM674">
        <v>1</v>
      </c>
      <c r="AN674">
        <v>0.1</v>
      </c>
      <c r="AO674">
        <v>14</v>
      </c>
      <c r="AP674">
        <v>5</v>
      </c>
      <c r="AQ674" s="21">
        <f t="shared" si="94"/>
        <v>4.9000000000000004</v>
      </c>
      <c r="AR674" s="12">
        <f t="shared" si="95"/>
        <v>100.1</v>
      </c>
      <c r="AS674">
        <v>100</v>
      </c>
      <c r="AT674">
        <v>0</v>
      </c>
      <c r="AU674">
        <v>3</v>
      </c>
      <c r="AV674">
        <v>0</v>
      </c>
      <c r="AW674">
        <v>0</v>
      </c>
      <c r="AX674">
        <v>25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4</v>
      </c>
      <c r="BH674">
        <v>0</v>
      </c>
      <c r="BI674">
        <v>0</v>
      </c>
      <c r="BJ674">
        <v>0</v>
      </c>
      <c r="BK674">
        <v>0</v>
      </c>
      <c r="BM674" s="6">
        <f t="shared" si="88"/>
        <v>132</v>
      </c>
    </row>
    <row r="675" spans="1:70" hidden="1">
      <c r="A675" s="16" t="str">
        <f t="shared" si="91"/>
        <v>SB_2026_AZ_1_4</v>
      </c>
      <c r="B675" t="s">
        <v>40</v>
      </c>
      <c r="C675">
        <v>43.3339</v>
      </c>
      <c r="D675">
        <v>-124.3767</v>
      </c>
      <c r="E675" s="8">
        <v>46192</v>
      </c>
      <c r="F675">
        <v>2026</v>
      </c>
      <c r="G675" t="s">
        <v>41</v>
      </c>
      <c r="H675" t="s">
        <v>42</v>
      </c>
      <c r="I675">
        <v>1</v>
      </c>
      <c r="J675">
        <v>4</v>
      </c>
      <c r="K675" t="s">
        <v>46</v>
      </c>
      <c r="L675" s="23">
        <v>3</v>
      </c>
      <c r="M675" s="23">
        <v>0</v>
      </c>
      <c r="N675" s="23">
        <v>3</v>
      </c>
      <c r="O675" s="23">
        <v>0</v>
      </c>
      <c r="P675" s="23">
        <v>0</v>
      </c>
      <c r="Q675" s="23" t="s">
        <v>44</v>
      </c>
      <c r="R675" s="23">
        <v>0</v>
      </c>
      <c r="S675" s="23">
        <v>0</v>
      </c>
      <c r="T675" s="23">
        <v>0</v>
      </c>
      <c r="U675" s="23">
        <v>0</v>
      </c>
      <c r="V675" s="18" t="s">
        <v>44</v>
      </c>
      <c r="W675" s="18" t="s">
        <v>44</v>
      </c>
      <c r="X675" s="18" t="s">
        <v>44</v>
      </c>
      <c r="Y675" s="18" t="s">
        <v>44</v>
      </c>
      <c r="Z675" s="18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s="34">
        <v>0.1</v>
      </c>
      <c r="AH675">
        <v>0</v>
      </c>
      <c r="AI675">
        <v>77</v>
      </c>
      <c r="AJ675">
        <v>0</v>
      </c>
      <c r="AK675">
        <v>0</v>
      </c>
      <c r="AL675">
        <v>4</v>
      </c>
      <c r="AM675">
        <v>0</v>
      </c>
      <c r="AN675">
        <v>0.1</v>
      </c>
      <c r="AO675">
        <v>14</v>
      </c>
      <c r="AP675">
        <v>5</v>
      </c>
      <c r="AQ675" s="21">
        <f t="shared" si="94"/>
        <v>4.9000000000000004</v>
      </c>
      <c r="AR675" s="12">
        <f t="shared" si="95"/>
        <v>100.1</v>
      </c>
      <c r="AS675">
        <v>100</v>
      </c>
      <c r="AT675">
        <v>0</v>
      </c>
      <c r="AU675">
        <v>13</v>
      </c>
      <c r="AV675">
        <v>0</v>
      </c>
      <c r="AW675">
        <v>2</v>
      </c>
      <c r="AX675">
        <v>17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5</v>
      </c>
      <c r="BE675">
        <v>0</v>
      </c>
      <c r="BF675">
        <v>0</v>
      </c>
      <c r="BG675">
        <v>6</v>
      </c>
      <c r="BH675">
        <v>0</v>
      </c>
      <c r="BI675">
        <v>0</v>
      </c>
      <c r="BJ675">
        <v>0</v>
      </c>
      <c r="BK675">
        <v>0</v>
      </c>
      <c r="BM675" s="6">
        <f t="shared" si="88"/>
        <v>143</v>
      </c>
    </row>
    <row r="676" spans="1:70" hidden="1">
      <c r="A676" s="16" t="str">
        <f t="shared" si="91"/>
        <v>SB_2026_AZ_1_5</v>
      </c>
      <c r="B676" t="s">
        <v>40</v>
      </c>
      <c r="C676">
        <v>43.3339</v>
      </c>
      <c r="D676">
        <v>-124.3767</v>
      </c>
      <c r="E676" s="8">
        <v>46192</v>
      </c>
      <c r="F676">
        <v>2026</v>
      </c>
      <c r="G676" t="s">
        <v>41</v>
      </c>
      <c r="H676" t="s">
        <v>42</v>
      </c>
      <c r="I676">
        <v>1</v>
      </c>
      <c r="J676">
        <v>5</v>
      </c>
      <c r="K676" t="s">
        <v>46</v>
      </c>
      <c r="L676" s="23">
        <v>1</v>
      </c>
      <c r="M676" s="23">
        <v>0</v>
      </c>
      <c r="N676" s="23">
        <v>1</v>
      </c>
      <c r="O676" s="23">
        <v>0</v>
      </c>
      <c r="P676" s="23">
        <v>0</v>
      </c>
      <c r="Q676" s="23" t="s">
        <v>44</v>
      </c>
      <c r="R676" s="23">
        <v>0</v>
      </c>
      <c r="S676" s="23">
        <v>0</v>
      </c>
      <c r="T676" s="23">
        <v>0</v>
      </c>
      <c r="U676" s="23">
        <v>0</v>
      </c>
      <c r="V676" s="18" t="s">
        <v>44</v>
      </c>
      <c r="W676" s="18" t="s">
        <v>44</v>
      </c>
      <c r="X676" s="18" t="s">
        <v>44</v>
      </c>
      <c r="Y676" s="18" t="s">
        <v>44</v>
      </c>
      <c r="Z676" s="18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s="34">
        <v>0.1</v>
      </c>
      <c r="AH676">
        <v>0</v>
      </c>
      <c r="AI676">
        <v>84</v>
      </c>
      <c r="AJ676">
        <v>0</v>
      </c>
      <c r="AK676">
        <v>0</v>
      </c>
      <c r="AL676">
        <v>6</v>
      </c>
      <c r="AM676">
        <v>1</v>
      </c>
      <c r="AN676">
        <v>0</v>
      </c>
      <c r="AO676">
        <v>7</v>
      </c>
      <c r="AP676">
        <v>2</v>
      </c>
      <c r="AQ676" s="21">
        <f t="shared" si="94"/>
        <v>1.9</v>
      </c>
      <c r="AR676" s="12">
        <f t="shared" si="95"/>
        <v>100</v>
      </c>
      <c r="AS676">
        <v>12</v>
      </c>
      <c r="AT676">
        <v>0</v>
      </c>
      <c r="AU676">
        <v>18</v>
      </c>
      <c r="AV676">
        <v>0</v>
      </c>
      <c r="AW676">
        <v>0</v>
      </c>
      <c r="AX676">
        <v>22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7</v>
      </c>
      <c r="BH676">
        <v>0</v>
      </c>
      <c r="BI676">
        <v>0</v>
      </c>
      <c r="BJ676">
        <v>0</v>
      </c>
      <c r="BK676">
        <v>0</v>
      </c>
      <c r="BM676" s="6">
        <f t="shared" si="88"/>
        <v>59</v>
      </c>
    </row>
    <row r="677" spans="1:70" hidden="1">
      <c r="A677" s="16" t="str">
        <f t="shared" si="91"/>
        <v>SB_2026_AZ_2_1</v>
      </c>
      <c r="B677" t="s">
        <v>40</v>
      </c>
      <c r="C677">
        <v>43.3339</v>
      </c>
      <c r="D677">
        <v>-124.3767</v>
      </c>
      <c r="E677" s="8">
        <v>46192</v>
      </c>
      <c r="F677">
        <v>2026</v>
      </c>
      <c r="G677" t="s">
        <v>41</v>
      </c>
      <c r="H677" t="s">
        <v>42</v>
      </c>
      <c r="I677">
        <v>2</v>
      </c>
      <c r="J677">
        <v>1</v>
      </c>
      <c r="K677" t="s">
        <v>43</v>
      </c>
      <c r="L677" s="23">
        <v>0</v>
      </c>
      <c r="M677" s="23">
        <v>0</v>
      </c>
      <c r="N677" s="23">
        <v>0</v>
      </c>
      <c r="O677" s="23">
        <v>0</v>
      </c>
      <c r="P677" s="23">
        <v>0</v>
      </c>
      <c r="Q677" s="23" t="s">
        <v>44</v>
      </c>
      <c r="R677" s="23">
        <v>0</v>
      </c>
      <c r="S677" s="23">
        <v>0</v>
      </c>
      <c r="T677" s="23">
        <v>0</v>
      </c>
      <c r="U677" s="23">
        <v>0</v>
      </c>
      <c r="V677" s="18" t="s">
        <v>44</v>
      </c>
      <c r="W677" s="18" t="s">
        <v>44</v>
      </c>
      <c r="X677" s="18" t="s">
        <v>44</v>
      </c>
      <c r="Y677" s="18" t="s">
        <v>44</v>
      </c>
      <c r="Z677" s="18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s="34">
        <v>0</v>
      </c>
      <c r="AH677">
        <v>0</v>
      </c>
      <c r="AI677">
        <v>84</v>
      </c>
      <c r="AJ677">
        <v>0</v>
      </c>
      <c r="AK677">
        <v>0</v>
      </c>
      <c r="AL677">
        <v>6</v>
      </c>
      <c r="AM677">
        <v>1</v>
      </c>
      <c r="AN677">
        <v>0</v>
      </c>
      <c r="AO677">
        <v>7</v>
      </c>
      <c r="AP677">
        <v>2</v>
      </c>
      <c r="AQ677" s="21">
        <f t="shared" si="94"/>
        <v>2</v>
      </c>
      <c r="AR677" s="12">
        <f t="shared" si="95"/>
        <v>100</v>
      </c>
      <c r="AS677">
        <v>80</v>
      </c>
      <c r="AT677">
        <v>8</v>
      </c>
      <c r="AU677">
        <v>9</v>
      </c>
      <c r="AV677">
        <v>0</v>
      </c>
      <c r="AW677">
        <v>0</v>
      </c>
      <c r="AX677">
        <v>24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M677" s="6">
        <f t="shared" si="88"/>
        <v>121</v>
      </c>
    </row>
    <row r="678" spans="1:70" hidden="1">
      <c r="A678" s="16" t="str">
        <f t="shared" si="91"/>
        <v>SB_2026_AZ_2_2</v>
      </c>
      <c r="B678" t="s">
        <v>40</v>
      </c>
      <c r="C678">
        <v>43.3339</v>
      </c>
      <c r="D678">
        <v>-124.3767</v>
      </c>
      <c r="E678" s="8">
        <v>46192</v>
      </c>
      <c r="F678">
        <v>2026</v>
      </c>
      <c r="G678" t="s">
        <v>41</v>
      </c>
      <c r="H678" t="s">
        <v>42</v>
      </c>
      <c r="I678">
        <v>2</v>
      </c>
      <c r="J678">
        <v>2</v>
      </c>
      <c r="K678" t="s">
        <v>44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 t="s">
        <v>44</v>
      </c>
      <c r="R678" s="23">
        <v>0</v>
      </c>
      <c r="S678" s="23">
        <v>0</v>
      </c>
      <c r="T678" s="23">
        <v>0</v>
      </c>
      <c r="U678" s="23">
        <v>0</v>
      </c>
      <c r="V678" s="18" t="s">
        <v>44</v>
      </c>
      <c r="W678" s="18" t="s">
        <v>44</v>
      </c>
      <c r="X678" s="18" t="s">
        <v>44</v>
      </c>
      <c r="Y678" s="18" t="s">
        <v>44</v>
      </c>
      <c r="Z678" s="1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s="34">
        <v>0</v>
      </c>
      <c r="AH678">
        <v>9</v>
      </c>
      <c r="AI678">
        <v>68</v>
      </c>
      <c r="AJ678">
        <v>4</v>
      </c>
      <c r="AK678">
        <v>1</v>
      </c>
      <c r="AL678">
        <v>4</v>
      </c>
      <c r="AM678">
        <v>4</v>
      </c>
      <c r="AN678">
        <v>0.1</v>
      </c>
      <c r="AO678">
        <v>5</v>
      </c>
      <c r="AP678">
        <v>5</v>
      </c>
      <c r="AQ678" s="21">
        <f t="shared" si="94"/>
        <v>5</v>
      </c>
      <c r="AR678" s="12">
        <f t="shared" si="95"/>
        <v>100.1</v>
      </c>
      <c r="AS678">
        <v>92</v>
      </c>
      <c r="AT678">
        <v>7</v>
      </c>
      <c r="AU678">
        <v>0</v>
      </c>
      <c r="AV678">
        <v>0</v>
      </c>
      <c r="AW678">
        <v>0</v>
      </c>
      <c r="AX678">
        <v>34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6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M678" s="6">
        <f t="shared" si="88"/>
        <v>139</v>
      </c>
      <c r="BN678">
        <v>68</v>
      </c>
      <c r="BO678">
        <f t="shared" ref="BO678:BO734" si="96">SUM(BN678,AU678,BG678,BH678,BI678)</f>
        <v>68</v>
      </c>
      <c r="BP678">
        <v>4</v>
      </c>
      <c r="BQ678">
        <f>SUM(BP678,BB678,BK678)</f>
        <v>4</v>
      </c>
      <c r="BR678">
        <f t="shared" si="90"/>
        <v>0</v>
      </c>
    </row>
    <row r="679" spans="1:70" hidden="1">
      <c r="A679" s="16" t="str">
        <f t="shared" si="91"/>
        <v>SB_2026_AZ_2_3</v>
      </c>
      <c r="B679" t="s">
        <v>40</v>
      </c>
      <c r="C679">
        <v>43.3339</v>
      </c>
      <c r="D679">
        <v>-124.3767</v>
      </c>
      <c r="E679" s="8">
        <v>46192</v>
      </c>
      <c r="F679">
        <v>2026</v>
      </c>
      <c r="G679" t="s">
        <v>41</v>
      </c>
      <c r="H679" t="s">
        <v>42</v>
      </c>
      <c r="I679">
        <v>2</v>
      </c>
      <c r="J679">
        <v>3</v>
      </c>
      <c r="K679" t="s">
        <v>43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 t="s">
        <v>44</v>
      </c>
      <c r="R679" s="23">
        <v>0</v>
      </c>
      <c r="S679" s="23">
        <v>0</v>
      </c>
      <c r="T679" s="23">
        <v>0</v>
      </c>
      <c r="U679" s="23">
        <v>0</v>
      </c>
      <c r="V679" s="18" t="s">
        <v>44</v>
      </c>
      <c r="W679" s="18" t="s">
        <v>44</v>
      </c>
      <c r="X679" s="18" t="s">
        <v>44</v>
      </c>
      <c r="Y679" s="18" t="s">
        <v>44</v>
      </c>
      <c r="Z679" s="18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s="34">
        <v>0</v>
      </c>
      <c r="AH679">
        <v>16</v>
      </c>
      <c r="AI679">
        <v>68</v>
      </c>
      <c r="AJ679">
        <v>7</v>
      </c>
      <c r="AK679">
        <v>0.1</v>
      </c>
      <c r="AL679">
        <v>0.1</v>
      </c>
      <c r="AM679">
        <v>0</v>
      </c>
      <c r="AN679">
        <v>0</v>
      </c>
      <c r="AO679">
        <v>9</v>
      </c>
      <c r="AP679">
        <v>0</v>
      </c>
      <c r="AQ679" s="21">
        <f t="shared" si="94"/>
        <v>0</v>
      </c>
      <c r="AR679" s="12">
        <f t="shared" si="95"/>
        <v>100.19999999999999</v>
      </c>
      <c r="AS679">
        <v>0</v>
      </c>
      <c r="AT679">
        <v>26</v>
      </c>
      <c r="AU679">
        <v>0</v>
      </c>
      <c r="AV679">
        <v>0</v>
      </c>
      <c r="AW679">
        <v>0</v>
      </c>
      <c r="AX679">
        <v>30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M679" s="6">
        <f t="shared" si="88"/>
        <v>56</v>
      </c>
      <c r="BN679">
        <v>68</v>
      </c>
      <c r="BO679">
        <f t="shared" si="96"/>
        <v>68</v>
      </c>
      <c r="BP679">
        <v>7</v>
      </c>
      <c r="BQ679">
        <f>SUM(BP679,BB679,BK679)</f>
        <v>7</v>
      </c>
      <c r="BR679">
        <f t="shared" si="90"/>
        <v>0</v>
      </c>
    </row>
    <row r="680" spans="1:70" hidden="1">
      <c r="A680" s="16" t="str">
        <f t="shared" si="91"/>
        <v>SB_2026_AZ_2_4</v>
      </c>
      <c r="B680" t="s">
        <v>40</v>
      </c>
      <c r="C680">
        <v>43.3339</v>
      </c>
      <c r="D680">
        <v>-124.3767</v>
      </c>
      <c r="E680" s="8">
        <v>46192</v>
      </c>
      <c r="F680">
        <v>2026</v>
      </c>
      <c r="G680" t="s">
        <v>41</v>
      </c>
      <c r="H680" t="s">
        <v>42</v>
      </c>
      <c r="I680">
        <v>2</v>
      </c>
      <c r="J680">
        <v>4</v>
      </c>
      <c r="K680" t="s">
        <v>46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 t="s">
        <v>44</v>
      </c>
      <c r="R680" s="23">
        <v>0</v>
      </c>
      <c r="S680" s="23">
        <v>0</v>
      </c>
      <c r="T680" s="23">
        <v>0</v>
      </c>
      <c r="U680" s="23">
        <v>0</v>
      </c>
      <c r="V680" s="18" t="s">
        <v>44</v>
      </c>
      <c r="W680" s="18" t="s">
        <v>44</v>
      </c>
      <c r="X680" s="18" t="s">
        <v>44</v>
      </c>
      <c r="Y680" s="18" t="s">
        <v>44</v>
      </c>
      <c r="Z680" s="18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s="34">
        <v>0</v>
      </c>
      <c r="AH680" s="47">
        <v>0</v>
      </c>
      <c r="AI680">
        <v>90</v>
      </c>
      <c r="AJ680">
        <v>4</v>
      </c>
      <c r="AK680">
        <v>0</v>
      </c>
      <c r="AL680">
        <v>2</v>
      </c>
      <c r="AM680">
        <v>1</v>
      </c>
      <c r="AN680">
        <v>1</v>
      </c>
      <c r="AO680">
        <v>1</v>
      </c>
      <c r="AP680">
        <v>1</v>
      </c>
      <c r="AQ680" s="21">
        <f t="shared" si="94"/>
        <v>1</v>
      </c>
      <c r="AR680" s="12">
        <f t="shared" si="95"/>
        <v>100</v>
      </c>
      <c r="AS680">
        <v>22</v>
      </c>
      <c r="AT680">
        <v>10</v>
      </c>
      <c r="AU680">
        <v>9</v>
      </c>
      <c r="AV680">
        <v>0</v>
      </c>
      <c r="AW680">
        <v>0</v>
      </c>
      <c r="AX680">
        <v>20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M680" s="6">
        <f t="shared" si="88"/>
        <v>61</v>
      </c>
    </row>
    <row r="681" spans="1:70" hidden="1">
      <c r="A681" s="16" t="str">
        <f t="shared" si="91"/>
        <v>SB_2026_AZ_2_5</v>
      </c>
      <c r="B681" t="s">
        <v>40</v>
      </c>
      <c r="C681">
        <v>43.3339</v>
      </c>
      <c r="D681">
        <v>-124.3767</v>
      </c>
      <c r="E681" s="8">
        <v>46192</v>
      </c>
      <c r="F681">
        <v>2026</v>
      </c>
      <c r="G681" t="s">
        <v>41</v>
      </c>
      <c r="H681" t="s">
        <v>42</v>
      </c>
      <c r="I681">
        <v>2</v>
      </c>
      <c r="J681">
        <v>5</v>
      </c>
      <c r="K681" t="s">
        <v>44</v>
      </c>
      <c r="L681" s="23">
        <v>0</v>
      </c>
      <c r="M681" s="23">
        <v>0</v>
      </c>
      <c r="N681" s="23">
        <v>0</v>
      </c>
      <c r="O681" s="23">
        <v>0</v>
      </c>
      <c r="P681" s="23">
        <v>0</v>
      </c>
      <c r="Q681" s="23" t="s">
        <v>44</v>
      </c>
      <c r="R681" s="23">
        <v>0</v>
      </c>
      <c r="S681" s="23">
        <v>0</v>
      </c>
      <c r="T681" s="23">
        <v>0</v>
      </c>
      <c r="U681" s="23">
        <v>0</v>
      </c>
      <c r="V681" s="18" t="s">
        <v>44</v>
      </c>
      <c r="W681" s="18" t="s">
        <v>44</v>
      </c>
      <c r="X681" s="18" t="s">
        <v>44</v>
      </c>
      <c r="Y681" s="18" t="s">
        <v>44</v>
      </c>
      <c r="Z681" s="18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s="34">
        <v>0</v>
      </c>
      <c r="AH681">
        <v>0</v>
      </c>
      <c r="AI681">
        <v>58</v>
      </c>
      <c r="AJ681">
        <v>11</v>
      </c>
      <c r="AK681">
        <v>0</v>
      </c>
      <c r="AL681">
        <v>0</v>
      </c>
      <c r="AM681">
        <v>7</v>
      </c>
      <c r="AN681">
        <v>0</v>
      </c>
      <c r="AO681">
        <v>4</v>
      </c>
      <c r="AP681">
        <v>20</v>
      </c>
      <c r="AQ681" s="21">
        <f t="shared" si="94"/>
        <v>20</v>
      </c>
      <c r="AR681" s="12">
        <f t="shared" si="95"/>
        <v>100</v>
      </c>
      <c r="AS681">
        <v>0</v>
      </c>
      <c r="AT681">
        <v>0</v>
      </c>
      <c r="AU681">
        <v>12</v>
      </c>
      <c r="AV681">
        <v>0</v>
      </c>
      <c r="AW681">
        <v>0</v>
      </c>
      <c r="AX681" s="47">
        <v>38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M681" s="6">
        <f t="shared" si="88"/>
        <v>60</v>
      </c>
    </row>
    <row r="682" spans="1:70" hidden="1">
      <c r="A682" s="16" t="str">
        <f t="shared" si="91"/>
        <v>SB_2026_UPZ_1_1</v>
      </c>
      <c r="B682" t="s">
        <v>40</v>
      </c>
      <c r="C682">
        <v>43.3339</v>
      </c>
      <c r="D682">
        <v>-124.3767</v>
      </c>
      <c r="E682" s="8">
        <v>46192</v>
      </c>
      <c r="F682">
        <v>2026</v>
      </c>
      <c r="G682" t="s">
        <v>41</v>
      </c>
      <c r="H682" t="s">
        <v>45</v>
      </c>
      <c r="I682">
        <v>1</v>
      </c>
      <c r="J682">
        <v>1</v>
      </c>
      <c r="K682" t="s">
        <v>44</v>
      </c>
      <c r="L682" s="23">
        <v>63</v>
      </c>
      <c r="M682" s="23">
        <v>62</v>
      </c>
      <c r="N682" s="23">
        <v>0</v>
      </c>
      <c r="O682" s="23">
        <v>1</v>
      </c>
      <c r="P682" s="23">
        <v>1</v>
      </c>
      <c r="Q682" s="23" t="s">
        <v>44</v>
      </c>
      <c r="R682" s="23">
        <v>0</v>
      </c>
      <c r="S682" s="23">
        <v>0</v>
      </c>
      <c r="T682" s="23">
        <v>2</v>
      </c>
      <c r="U682" s="23">
        <v>65</v>
      </c>
      <c r="AH682">
        <v>0</v>
      </c>
      <c r="AI682">
        <v>14</v>
      </c>
      <c r="AJ682">
        <v>0</v>
      </c>
      <c r="AK682">
        <v>0</v>
      </c>
      <c r="AL682">
        <v>13</v>
      </c>
      <c r="AM682">
        <v>0</v>
      </c>
      <c r="AN682">
        <v>3</v>
      </c>
      <c r="AO682">
        <v>8</v>
      </c>
      <c r="AP682">
        <v>62</v>
      </c>
      <c r="AQ682" s="21">
        <f t="shared" si="94"/>
        <v>62</v>
      </c>
      <c r="AR682" s="12">
        <f t="shared" si="95"/>
        <v>100</v>
      </c>
      <c r="AS682">
        <v>0.1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M682" s="6">
        <f t="shared" si="88"/>
        <v>0.1</v>
      </c>
      <c r="BN682">
        <v>14</v>
      </c>
      <c r="BO682">
        <f t="shared" si="96"/>
        <v>14</v>
      </c>
      <c r="BP682">
        <v>0</v>
      </c>
      <c r="BQ682">
        <f>SUM(BP682,BB682,BK682)</f>
        <v>0</v>
      </c>
      <c r="BR682">
        <f t="shared" si="90"/>
        <v>0</v>
      </c>
    </row>
    <row r="683" spans="1:70" hidden="1">
      <c r="A683" s="16" t="str">
        <f t="shared" si="91"/>
        <v>SB_2026_UPZ_1_2</v>
      </c>
      <c r="B683" t="s">
        <v>40</v>
      </c>
      <c r="C683">
        <v>43.3339</v>
      </c>
      <c r="D683">
        <v>-124.3767</v>
      </c>
      <c r="E683" s="8">
        <v>46192</v>
      </c>
      <c r="F683">
        <v>2026</v>
      </c>
      <c r="G683" t="s">
        <v>41</v>
      </c>
      <c r="H683" t="s">
        <v>45</v>
      </c>
      <c r="I683">
        <v>1</v>
      </c>
      <c r="J683">
        <v>2</v>
      </c>
      <c r="K683" t="s">
        <v>44</v>
      </c>
      <c r="L683" s="23">
        <v>32</v>
      </c>
      <c r="M683" s="23">
        <v>32</v>
      </c>
      <c r="N683" s="23">
        <v>0</v>
      </c>
      <c r="O683" s="23">
        <v>0</v>
      </c>
      <c r="P683" s="23">
        <v>2</v>
      </c>
      <c r="Q683" s="23" t="s">
        <v>44</v>
      </c>
      <c r="R683" s="23">
        <v>0</v>
      </c>
      <c r="S683" s="23">
        <v>0</v>
      </c>
      <c r="T683" s="23">
        <v>11</v>
      </c>
      <c r="U683" s="23">
        <v>45</v>
      </c>
      <c r="AH683">
        <v>6</v>
      </c>
      <c r="AI683">
        <v>35</v>
      </c>
      <c r="AJ683">
        <v>7</v>
      </c>
      <c r="AK683">
        <v>0</v>
      </c>
      <c r="AL683">
        <v>6</v>
      </c>
      <c r="AM683">
        <v>1</v>
      </c>
      <c r="AN683">
        <v>4</v>
      </c>
      <c r="AO683">
        <v>20</v>
      </c>
      <c r="AP683">
        <v>21</v>
      </c>
      <c r="AQ683" s="21">
        <f t="shared" si="94"/>
        <v>21</v>
      </c>
      <c r="AR683" s="12">
        <f t="shared" si="95"/>
        <v>100</v>
      </c>
      <c r="AS683">
        <v>0</v>
      </c>
      <c r="AT683">
        <v>6</v>
      </c>
      <c r="AU683">
        <v>0</v>
      </c>
      <c r="AV683">
        <v>0</v>
      </c>
      <c r="AW683">
        <v>0</v>
      </c>
      <c r="AX683">
        <v>6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M683" s="6">
        <f t="shared" si="88"/>
        <v>23</v>
      </c>
      <c r="BN683">
        <v>35</v>
      </c>
      <c r="BO683">
        <f t="shared" si="96"/>
        <v>35</v>
      </c>
      <c r="BP683">
        <v>7</v>
      </c>
      <c r="BQ683">
        <f>SUM(BP683,BB683,BK683)</f>
        <v>7</v>
      </c>
      <c r="BR683">
        <f t="shared" si="90"/>
        <v>0</v>
      </c>
    </row>
    <row r="684" spans="1:70" hidden="1">
      <c r="A684" s="16" t="str">
        <f t="shared" si="91"/>
        <v>SB_2026_UPZ_1_3</v>
      </c>
      <c r="B684" t="s">
        <v>40</v>
      </c>
      <c r="C684">
        <v>43.3339</v>
      </c>
      <c r="D684">
        <v>-124.3767</v>
      </c>
      <c r="E684" s="8">
        <v>46192</v>
      </c>
      <c r="F684">
        <v>2026</v>
      </c>
      <c r="G684" t="s">
        <v>41</v>
      </c>
      <c r="H684" t="s">
        <v>45</v>
      </c>
      <c r="I684">
        <v>1</v>
      </c>
      <c r="J684">
        <v>3</v>
      </c>
      <c r="K684" t="s">
        <v>43</v>
      </c>
      <c r="L684" s="23">
        <v>56</v>
      </c>
      <c r="M684" s="23">
        <v>56</v>
      </c>
      <c r="N684" s="23">
        <v>0</v>
      </c>
      <c r="O684" s="23">
        <v>0</v>
      </c>
      <c r="P684" s="23">
        <v>13</v>
      </c>
      <c r="Q684" s="23" t="s">
        <v>44</v>
      </c>
      <c r="R684" s="23">
        <v>0</v>
      </c>
      <c r="S684" s="23">
        <v>0</v>
      </c>
      <c r="T684" s="23">
        <v>11</v>
      </c>
      <c r="U684" s="23">
        <v>67</v>
      </c>
      <c r="AH684">
        <v>2</v>
      </c>
      <c r="AI684">
        <v>24</v>
      </c>
      <c r="AJ684">
        <v>5</v>
      </c>
      <c r="AK684">
        <v>0</v>
      </c>
      <c r="AL684">
        <v>3</v>
      </c>
      <c r="AM684">
        <v>0</v>
      </c>
      <c r="AN684">
        <v>0</v>
      </c>
      <c r="AO684">
        <v>16</v>
      </c>
      <c r="AP684">
        <v>50</v>
      </c>
      <c r="AQ684" s="21">
        <f>AP684-AG684</f>
        <v>50</v>
      </c>
      <c r="AR684" s="12">
        <f>SUM(AH684:AP684)</f>
        <v>100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7</v>
      </c>
      <c r="BH684">
        <v>0</v>
      </c>
      <c r="BI684">
        <v>0</v>
      </c>
      <c r="BJ684">
        <v>0</v>
      </c>
      <c r="BK684">
        <v>0</v>
      </c>
      <c r="BM684" s="6">
        <f t="shared" si="88"/>
        <v>10</v>
      </c>
    </row>
    <row r="685" spans="1:70" hidden="1">
      <c r="A685" s="16" t="str">
        <f t="shared" si="91"/>
        <v>SB_2026_UPZ_1_4</v>
      </c>
      <c r="B685" t="s">
        <v>40</v>
      </c>
      <c r="C685">
        <v>43.3339</v>
      </c>
      <c r="D685">
        <v>-124.3767</v>
      </c>
      <c r="E685" s="8">
        <v>46192</v>
      </c>
      <c r="F685">
        <v>2026</v>
      </c>
      <c r="G685" t="s">
        <v>41</v>
      </c>
      <c r="H685" t="s">
        <v>45</v>
      </c>
      <c r="I685">
        <v>1</v>
      </c>
      <c r="J685">
        <v>4</v>
      </c>
      <c r="K685" t="s">
        <v>43</v>
      </c>
      <c r="L685" s="23">
        <v>39</v>
      </c>
      <c r="M685" s="23">
        <v>39</v>
      </c>
      <c r="N685" s="23">
        <v>0</v>
      </c>
      <c r="O685" s="23">
        <v>0</v>
      </c>
      <c r="P685" s="23">
        <v>9</v>
      </c>
      <c r="Q685" s="23" t="s">
        <v>44</v>
      </c>
      <c r="R685" s="23">
        <v>0</v>
      </c>
      <c r="S685" s="23">
        <v>0</v>
      </c>
      <c r="T685" s="23">
        <v>10</v>
      </c>
      <c r="U685" s="23">
        <v>50</v>
      </c>
      <c r="AG685" s="34">
        <v>26</v>
      </c>
      <c r="AH685">
        <v>1</v>
      </c>
      <c r="AI685">
        <v>30</v>
      </c>
      <c r="AJ685">
        <v>8</v>
      </c>
      <c r="AK685">
        <v>0</v>
      </c>
      <c r="AL685">
        <v>10</v>
      </c>
      <c r="AM685">
        <v>1</v>
      </c>
      <c r="AN685">
        <v>1</v>
      </c>
      <c r="AO685">
        <v>11</v>
      </c>
      <c r="AP685">
        <v>38</v>
      </c>
      <c r="AQ685" s="21">
        <f>AP685-AG685</f>
        <v>12</v>
      </c>
      <c r="AR685" s="12">
        <f>SUM(AH685:AP685)</f>
        <v>100</v>
      </c>
      <c r="AS685">
        <v>2</v>
      </c>
      <c r="AT685">
        <v>0</v>
      </c>
      <c r="AU685">
        <v>1</v>
      </c>
      <c r="AV685">
        <v>0</v>
      </c>
      <c r="AW685">
        <v>0</v>
      </c>
      <c r="AX685">
        <v>2</v>
      </c>
      <c r="AY685">
        <v>0.1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M685" s="6">
        <f t="shared" si="88"/>
        <v>5.0999999999999996</v>
      </c>
    </row>
    <row r="686" spans="1:70" hidden="1">
      <c r="A686" s="16" t="str">
        <f t="shared" si="91"/>
        <v>SB_2026_UPZ_1_5</v>
      </c>
      <c r="B686" t="s">
        <v>40</v>
      </c>
      <c r="C686">
        <v>43.3339</v>
      </c>
      <c r="D686">
        <v>-124.3767</v>
      </c>
      <c r="E686" s="8">
        <v>46192</v>
      </c>
      <c r="F686">
        <v>2026</v>
      </c>
      <c r="G686" t="s">
        <v>41</v>
      </c>
      <c r="H686" t="s">
        <v>45</v>
      </c>
      <c r="I686">
        <v>1</v>
      </c>
      <c r="J686">
        <v>5</v>
      </c>
      <c r="K686" t="s">
        <v>43</v>
      </c>
      <c r="L686" s="23">
        <v>40</v>
      </c>
      <c r="M686" s="23">
        <v>40</v>
      </c>
      <c r="N686" s="23">
        <v>0</v>
      </c>
      <c r="O686" s="23">
        <v>0</v>
      </c>
      <c r="P686" s="23">
        <v>2</v>
      </c>
      <c r="Q686" s="23" t="s">
        <v>44</v>
      </c>
      <c r="R686" s="23">
        <v>0</v>
      </c>
      <c r="S686" s="23">
        <v>0</v>
      </c>
      <c r="T686" s="23">
        <v>8</v>
      </c>
      <c r="U686" s="23">
        <v>49</v>
      </c>
      <c r="AH686">
        <v>20</v>
      </c>
      <c r="AI686">
        <v>37</v>
      </c>
      <c r="AJ686">
        <v>1</v>
      </c>
      <c r="AK686">
        <v>0</v>
      </c>
      <c r="AL686">
        <v>16</v>
      </c>
      <c r="AM686">
        <v>4</v>
      </c>
      <c r="AN686">
        <v>1</v>
      </c>
      <c r="AO686">
        <v>1</v>
      </c>
      <c r="AP686">
        <v>20</v>
      </c>
      <c r="AQ686" s="21">
        <f>AP686-AG686</f>
        <v>20</v>
      </c>
      <c r="AR686" s="12">
        <f>SUM(AH686:AP686)</f>
        <v>100</v>
      </c>
      <c r="AS686">
        <v>2</v>
      </c>
      <c r="AT686">
        <v>0</v>
      </c>
      <c r="AU686">
        <v>0</v>
      </c>
      <c r="AV686">
        <v>0</v>
      </c>
      <c r="AW686">
        <v>0</v>
      </c>
      <c r="AX686">
        <v>15</v>
      </c>
      <c r="AY686">
        <v>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M686" s="6">
        <f t="shared" si="88"/>
        <v>25</v>
      </c>
      <c r="BN686">
        <v>37</v>
      </c>
      <c r="BO686">
        <f t="shared" si="96"/>
        <v>37</v>
      </c>
      <c r="BP686">
        <v>1</v>
      </c>
      <c r="BQ686">
        <f>SUM(BP686,BB686,BK686)</f>
        <v>1</v>
      </c>
      <c r="BR686">
        <f t="shared" si="90"/>
        <v>0</v>
      </c>
    </row>
    <row r="687" spans="1:70" hidden="1">
      <c r="A687" s="16" t="str">
        <f t="shared" si="91"/>
        <v>SB_2026_UPZ_2_1</v>
      </c>
      <c r="B687" t="s">
        <v>40</v>
      </c>
      <c r="C687">
        <v>43.3339</v>
      </c>
      <c r="D687">
        <v>-124.3767</v>
      </c>
      <c r="E687" s="8">
        <v>46192</v>
      </c>
      <c r="F687">
        <v>2026</v>
      </c>
      <c r="G687" t="s">
        <v>41</v>
      </c>
      <c r="H687" t="s">
        <v>45</v>
      </c>
      <c r="I687">
        <v>2</v>
      </c>
      <c r="J687">
        <v>1</v>
      </c>
      <c r="K687" t="s">
        <v>46</v>
      </c>
      <c r="L687" s="23">
        <v>25</v>
      </c>
      <c r="M687" s="23">
        <v>25</v>
      </c>
      <c r="N687" s="23">
        <v>0</v>
      </c>
      <c r="O687" s="23">
        <v>0</v>
      </c>
      <c r="P687" s="23">
        <v>0</v>
      </c>
      <c r="Q687" s="23" t="s">
        <v>44</v>
      </c>
      <c r="R687" s="23">
        <v>0</v>
      </c>
      <c r="S687" s="23">
        <v>0</v>
      </c>
      <c r="T687" s="23">
        <v>2</v>
      </c>
      <c r="U687" s="23">
        <v>27</v>
      </c>
      <c r="AH687">
        <v>7</v>
      </c>
      <c r="AI687">
        <v>50</v>
      </c>
      <c r="AJ687">
        <v>0</v>
      </c>
      <c r="AK687">
        <v>0</v>
      </c>
      <c r="AL687">
        <v>8</v>
      </c>
      <c r="AM687">
        <v>1</v>
      </c>
      <c r="AN687">
        <v>0</v>
      </c>
      <c r="AO687">
        <v>1</v>
      </c>
      <c r="AP687">
        <v>33</v>
      </c>
      <c r="AQ687" s="21">
        <f t="shared" si="94"/>
        <v>33</v>
      </c>
      <c r="AR687" s="12">
        <f t="shared" si="95"/>
        <v>100</v>
      </c>
      <c r="AS687">
        <v>0</v>
      </c>
      <c r="AT687">
        <v>3</v>
      </c>
      <c r="AU687">
        <v>0</v>
      </c>
      <c r="AV687">
        <v>0</v>
      </c>
      <c r="AW687">
        <v>2</v>
      </c>
      <c r="AX687">
        <v>10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M687" s="6">
        <f t="shared" si="88"/>
        <v>16</v>
      </c>
      <c r="BN687">
        <v>50</v>
      </c>
      <c r="BO687">
        <f t="shared" si="96"/>
        <v>50</v>
      </c>
      <c r="BP687">
        <v>0</v>
      </c>
      <c r="BQ687">
        <f>SUM(BP687,BB687,BK687)</f>
        <v>0</v>
      </c>
      <c r="BR687">
        <f t="shared" si="90"/>
        <v>0</v>
      </c>
    </row>
    <row r="688" spans="1:70" hidden="1">
      <c r="A688" s="16" t="str">
        <f t="shared" si="91"/>
        <v>SB_2026_UPZ_2_2</v>
      </c>
      <c r="B688" t="s">
        <v>40</v>
      </c>
      <c r="C688">
        <v>43.3339</v>
      </c>
      <c r="D688">
        <v>-124.3767</v>
      </c>
      <c r="E688" s="8">
        <v>46192</v>
      </c>
      <c r="F688">
        <v>2026</v>
      </c>
      <c r="G688" t="s">
        <v>41</v>
      </c>
      <c r="H688" t="s">
        <v>45</v>
      </c>
      <c r="I688">
        <v>2</v>
      </c>
      <c r="J688">
        <v>2</v>
      </c>
      <c r="K688" t="s">
        <v>46</v>
      </c>
      <c r="L688" s="23">
        <v>35</v>
      </c>
      <c r="M688" s="23">
        <v>35</v>
      </c>
      <c r="N688" s="23">
        <v>0</v>
      </c>
      <c r="O688" s="23">
        <v>0</v>
      </c>
      <c r="P688" s="23">
        <v>1</v>
      </c>
      <c r="Q688" s="23" t="s">
        <v>44</v>
      </c>
      <c r="R688" s="23">
        <v>0</v>
      </c>
      <c r="S688" s="23">
        <v>0</v>
      </c>
      <c r="T688" s="31"/>
      <c r="U688" s="31"/>
      <c r="AH688">
        <v>9</v>
      </c>
      <c r="AI688">
        <v>17</v>
      </c>
      <c r="AJ688">
        <v>1</v>
      </c>
      <c r="AK688">
        <v>0</v>
      </c>
      <c r="AL688">
        <v>9</v>
      </c>
      <c r="AM688">
        <v>2</v>
      </c>
      <c r="AN688">
        <v>0</v>
      </c>
      <c r="AO688">
        <v>0.1</v>
      </c>
      <c r="AP688">
        <v>62</v>
      </c>
      <c r="AQ688" s="21">
        <f t="shared" si="94"/>
        <v>62</v>
      </c>
      <c r="AR688" s="12">
        <f t="shared" si="95"/>
        <v>100.1</v>
      </c>
      <c r="AS688">
        <v>0</v>
      </c>
      <c r="AT688">
        <v>3</v>
      </c>
      <c r="AU688">
        <v>0</v>
      </c>
      <c r="AV688">
        <v>0</v>
      </c>
      <c r="AW688">
        <v>0</v>
      </c>
      <c r="AX688">
        <v>8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M688" s="6">
        <f t="shared" si="88"/>
        <v>11</v>
      </c>
      <c r="BN688">
        <v>17</v>
      </c>
      <c r="BO688">
        <f t="shared" si="96"/>
        <v>17</v>
      </c>
      <c r="BP688">
        <v>1</v>
      </c>
      <c r="BQ688">
        <f>SUM(BP688,BB688,BK688)</f>
        <v>1</v>
      </c>
      <c r="BR688">
        <f t="shared" si="90"/>
        <v>0</v>
      </c>
    </row>
    <row r="689" spans="1:70" hidden="1">
      <c r="A689" s="16" t="str">
        <f t="shared" si="91"/>
        <v>SB_2026_UPZ_2_3</v>
      </c>
      <c r="B689" t="s">
        <v>40</v>
      </c>
      <c r="C689">
        <v>43.3339</v>
      </c>
      <c r="D689">
        <v>-124.3767</v>
      </c>
      <c r="E689" s="8">
        <v>46192</v>
      </c>
      <c r="F689">
        <v>2026</v>
      </c>
      <c r="G689" t="s">
        <v>41</v>
      </c>
      <c r="H689" t="s">
        <v>45</v>
      </c>
      <c r="I689">
        <v>2</v>
      </c>
      <c r="J689">
        <v>3</v>
      </c>
      <c r="K689" t="s">
        <v>46</v>
      </c>
      <c r="L689" s="23">
        <v>3</v>
      </c>
      <c r="M689" s="23">
        <v>3</v>
      </c>
      <c r="N689" s="23">
        <v>0</v>
      </c>
      <c r="O689" s="23">
        <v>0</v>
      </c>
      <c r="P689" s="23">
        <v>0</v>
      </c>
      <c r="Q689" s="23" t="s">
        <v>44</v>
      </c>
      <c r="R689" s="23">
        <v>0</v>
      </c>
      <c r="S689" s="23">
        <v>0</v>
      </c>
      <c r="T689" s="23">
        <v>3</v>
      </c>
      <c r="U689" s="23">
        <v>6</v>
      </c>
      <c r="AH689">
        <v>56</v>
      </c>
      <c r="AI689">
        <v>33</v>
      </c>
      <c r="AJ689">
        <v>0</v>
      </c>
      <c r="AK689">
        <v>0</v>
      </c>
      <c r="AL689">
        <v>4</v>
      </c>
      <c r="AM689">
        <v>2</v>
      </c>
      <c r="AN689">
        <v>0</v>
      </c>
      <c r="AO689">
        <v>0</v>
      </c>
      <c r="AP689">
        <v>5</v>
      </c>
      <c r="AQ689" s="21">
        <f t="shared" si="94"/>
        <v>5</v>
      </c>
      <c r="AR689" s="12">
        <f t="shared" si="95"/>
        <v>100</v>
      </c>
      <c r="AS689">
        <v>9</v>
      </c>
      <c r="AT689">
        <v>5</v>
      </c>
      <c r="AU689">
        <v>0</v>
      </c>
      <c r="AV689">
        <v>0</v>
      </c>
      <c r="AW689">
        <v>0</v>
      </c>
      <c r="AX689">
        <v>37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M689" s="6">
        <f t="shared" si="88"/>
        <v>51</v>
      </c>
      <c r="BN689">
        <v>33</v>
      </c>
      <c r="BO689">
        <f t="shared" si="96"/>
        <v>33</v>
      </c>
      <c r="BP689">
        <v>0</v>
      </c>
      <c r="BQ689">
        <f>SUM(BP689,BB689,BK689)</f>
        <v>0</v>
      </c>
      <c r="BR689">
        <f t="shared" si="90"/>
        <v>0</v>
      </c>
    </row>
    <row r="690" spans="1:70" hidden="1">
      <c r="A690" s="16" t="str">
        <f t="shared" si="91"/>
        <v>SB_2026_UPZ_2_4</v>
      </c>
      <c r="B690" t="s">
        <v>40</v>
      </c>
      <c r="C690">
        <v>43.3339</v>
      </c>
      <c r="D690">
        <v>-124.3767</v>
      </c>
      <c r="E690" s="8">
        <v>46192</v>
      </c>
      <c r="F690">
        <v>2026</v>
      </c>
      <c r="G690" t="s">
        <v>41</v>
      </c>
      <c r="H690" t="s">
        <v>45</v>
      </c>
      <c r="I690">
        <v>2</v>
      </c>
      <c r="J690">
        <v>4</v>
      </c>
      <c r="K690" t="s">
        <v>46</v>
      </c>
      <c r="L690" s="23">
        <v>13</v>
      </c>
      <c r="M690" s="23">
        <v>13</v>
      </c>
      <c r="N690" s="23">
        <v>0</v>
      </c>
      <c r="O690" s="23">
        <v>0</v>
      </c>
      <c r="P690" s="23">
        <v>1</v>
      </c>
      <c r="Q690" s="23" t="s">
        <v>44</v>
      </c>
      <c r="R690" s="23">
        <v>0</v>
      </c>
      <c r="S690" s="23">
        <v>0</v>
      </c>
      <c r="T690" s="23">
        <v>6</v>
      </c>
      <c r="U690" s="31">
        <v>19</v>
      </c>
      <c r="AH690">
        <v>16</v>
      </c>
      <c r="AI690">
        <v>50</v>
      </c>
      <c r="AJ690">
        <v>5</v>
      </c>
      <c r="AK690">
        <v>0</v>
      </c>
      <c r="AL690">
        <v>8</v>
      </c>
      <c r="AM690">
        <v>4</v>
      </c>
      <c r="AN690">
        <v>0</v>
      </c>
      <c r="AO690">
        <v>1</v>
      </c>
      <c r="AP690">
        <v>16</v>
      </c>
      <c r="AQ690" s="21">
        <f t="shared" si="94"/>
        <v>16</v>
      </c>
      <c r="AR690" s="12">
        <f t="shared" si="95"/>
        <v>100</v>
      </c>
      <c r="AS690">
        <v>0</v>
      </c>
      <c r="AT690">
        <v>2</v>
      </c>
      <c r="AU690">
        <v>0</v>
      </c>
      <c r="AV690">
        <v>0</v>
      </c>
      <c r="AW690">
        <v>9</v>
      </c>
      <c r="AX690">
        <v>18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M690" s="6">
        <f t="shared" si="88"/>
        <v>30</v>
      </c>
      <c r="BN690">
        <v>50</v>
      </c>
      <c r="BO690">
        <f t="shared" si="96"/>
        <v>50</v>
      </c>
      <c r="BP690">
        <v>5</v>
      </c>
      <c r="BQ690">
        <f>SUM(BP690,BB690,BK690)</f>
        <v>5</v>
      </c>
      <c r="BR690">
        <f t="shared" si="90"/>
        <v>0</v>
      </c>
    </row>
    <row r="691" spans="1:70" hidden="1">
      <c r="A691" s="16" t="str">
        <f t="shared" si="91"/>
        <v>SB_2026_UPZ_2_5</v>
      </c>
      <c r="B691" t="s">
        <v>40</v>
      </c>
      <c r="C691">
        <v>43.3339</v>
      </c>
      <c r="D691">
        <v>-124.3767</v>
      </c>
      <c r="E691" s="8">
        <v>46192</v>
      </c>
      <c r="F691">
        <v>2026</v>
      </c>
      <c r="G691" t="s">
        <v>41</v>
      </c>
      <c r="H691" t="s">
        <v>45</v>
      </c>
      <c r="I691">
        <v>2</v>
      </c>
      <c r="J691">
        <v>5</v>
      </c>
      <c r="K691" t="s">
        <v>83</v>
      </c>
      <c r="L691" s="23">
        <v>17</v>
      </c>
      <c r="M691" s="23">
        <v>17</v>
      </c>
      <c r="N691" s="23">
        <v>0</v>
      </c>
      <c r="O691" s="23">
        <v>0</v>
      </c>
      <c r="P691" s="23">
        <v>2</v>
      </c>
      <c r="Q691" s="23" t="s">
        <v>44</v>
      </c>
      <c r="R691" s="23">
        <v>0</v>
      </c>
      <c r="S691" s="23">
        <v>0</v>
      </c>
      <c r="T691" s="23">
        <v>7</v>
      </c>
      <c r="U691" s="31">
        <v>24</v>
      </c>
      <c r="AG691" s="34">
        <v>12</v>
      </c>
      <c r="AH691">
        <v>0</v>
      </c>
      <c r="AI691">
        <v>54</v>
      </c>
      <c r="AJ691">
        <v>0</v>
      </c>
      <c r="AK691">
        <v>0</v>
      </c>
      <c r="AL691">
        <v>10</v>
      </c>
      <c r="AM691">
        <v>10</v>
      </c>
      <c r="AN691">
        <v>0</v>
      </c>
      <c r="AO691">
        <v>0</v>
      </c>
      <c r="AP691">
        <v>26</v>
      </c>
      <c r="AQ691" s="21">
        <f t="shared" si="94"/>
        <v>14</v>
      </c>
      <c r="AR691" s="12">
        <f t="shared" si="95"/>
        <v>100</v>
      </c>
      <c r="AS691">
        <v>0</v>
      </c>
      <c r="AT691">
        <v>5</v>
      </c>
      <c r="AU691">
        <v>0</v>
      </c>
      <c r="AV691">
        <v>0</v>
      </c>
      <c r="AW691">
        <v>2</v>
      </c>
      <c r="AX691">
        <v>22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</v>
      </c>
      <c r="BH691">
        <v>0</v>
      </c>
      <c r="BI691">
        <v>0</v>
      </c>
      <c r="BJ691">
        <v>0</v>
      </c>
      <c r="BK691">
        <v>0</v>
      </c>
      <c r="BM691" s="6">
        <f t="shared" ref="BM691:BM754" si="97">SUM(AS691:BJ691)</f>
        <v>31</v>
      </c>
    </row>
    <row r="692" spans="1:70" hidden="1">
      <c r="A692" s="16" t="str">
        <f t="shared" si="91"/>
        <v>SB_2026_NPZ_1_1</v>
      </c>
      <c r="B692" t="s">
        <v>40</v>
      </c>
      <c r="C692">
        <v>43.3339</v>
      </c>
      <c r="D692">
        <v>-124.3767</v>
      </c>
      <c r="E692" s="8">
        <v>46192</v>
      </c>
      <c r="F692">
        <v>2026</v>
      </c>
      <c r="G692" t="s">
        <v>41</v>
      </c>
      <c r="H692" t="s">
        <v>48</v>
      </c>
      <c r="I692">
        <v>1</v>
      </c>
      <c r="J692">
        <v>1</v>
      </c>
      <c r="K692" t="s">
        <v>47</v>
      </c>
      <c r="L692" s="23">
        <v>18</v>
      </c>
      <c r="M692" s="23">
        <v>1</v>
      </c>
      <c r="N692" s="23">
        <v>17</v>
      </c>
      <c r="O692" s="23">
        <v>0</v>
      </c>
      <c r="P692" s="23">
        <v>1</v>
      </c>
      <c r="Q692" s="23" t="s">
        <v>44</v>
      </c>
      <c r="R692" s="23">
        <v>0</v>
      </c>
      <c r="S692" s="23">
        <v>0</v>
      </c>
      <c r="T692" s="23">
        <v>0</v>
      </c>
      <c r="U692" s="23">
        <v>1</v>
      </c>
      <c r="AH692">
        <v>2</v>
      </c>
      <c r="AI692">
        <v>10</v>
      </c>
      <c r="AJ692">
        <v>0</v>
      </c>
      <c r="AK692">
        <v>0</v>
      </c>
      <c r="AL692">
        <v>18</v>
      </c>
      <c r="AM692">
        <v>16</v>
      </c>
      <c r="AN692">
        <v>0</v>
      </c>
      <c r="AO692">
        <v>0</v>
      </c>
      <c r="AP692">
        <v>54</v>
      </c>
      <c r="AQ692" s="21">
        <f t="shared" si="94"/>
        <v>54</v>
      </c>
      <c r="AR692" s="12">
        <f t="shared" si="95"/>
        <v>100</v>
      </c>
      <c r="AS692">
        <v>2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M692" s="6">
        <f t="shared" si="97"/>
        <v>4</v>
      </c>
      <c r="BN692">
        <v>10</v>
      </c>
      <c r="BO692">
        <f t="shared" si="96"/>
        <v>10</v>
      </c>
      <c r="BP692">
        <v>0</v>
      </c>
      <c r="BQ692">
        <f>SUM(BP692,BB692,BK692)</f>
        <v>0</v>
      </c>
      <c r="BR692">
        <f t="shared" si="90"/>
        <v>0</v>
      </c>
    </row>
    <row r="693" spans="1:70" hidden="1">
      <c r="A693" s="16" t="str">
        <f t="shared" si="91"/>
        <v>SB_2026_NPZ_1_2</v>
      </c>
      <c r="B693" t="s">
        <v>40</v>
      </c>
      <c r="C693">
        <v>43.3339</v>
      </c>
      <c r="D693">
        <v>-124.3767</v>
      </c>
      <c r="E693" s="8">
        <v>46192</v>
      </c>
      <c r="F693">
        <v>2026</v>
      </c>
      <c r="G693" t="s">
        <v>41</v>
      </c>
      <c r="H693" t="s">
        <v>48</v>
      </c>
      <c r="I693">
        <v>1</v>
      </c>
      <c r="J693">
        <v>2</v>
      </c>
      <c r="K693" t="s">
        <v>47</v>
      </c>
      <c r="L693" s="23">
        <v>7</v>
      </c>
      <c r="M693" s="23">
        <v>2</v>
      </c>
      <c r="N693" s="23">
        <v>5</v>
      </c>
      <c r="O693" s="23">
        <v>0</v>
      </c>
      <c r="P693" s="23">
        <v>0</v>
      </c>
      <c r="Q693" s="23" t="s">
        <v>44</v>
      </c>
      <c r="R693" s="23">
        <v>0</v>
      </c>
      <c r="S693" s="23">
        <v>0</v>
      </c>
      <c r="T693" s="23">
        <v>0</v>
      </c>
      <c r="U693" s="23">
        <v>2</v>
      </c>
      <c r="AH693">
        <v>1</v>
      </c>
      <c r="AI693">
        <v>30</v>
      </c>
      <c r="AJ693">
        <v>0</v>
      </c>
      <c r="AK693">
        <v>0</v>
      </c>
      <c r="AL693">
        <v>11</v>
      </c>
      <c r="AM693">
        <v>10</v>
      </c>
      <c r="AN693">
        <v>0</v>
      </c>
      <c r="AO693">
        <v>0</v>
      </c>
      <c r="AP693">
        <v>48</v>
      </c>
      <c r="AQ693" s="21">
        <f t="shared" si="94"/>
        <v>48</v>
      </c>
      <c r="AR693" s="12">
        <f t="shared" si="95"/>
        <v>100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2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M693" s="6">
        <f t="shared" si="97"/>
        <v>3</v>
      </c>
      <c r="BN693">
        <v>30</v>
      </c>
      <c r="BO693">
        <f t="shared" si="96"/>
        <v>30</v>
      </c>
      <c r="BP693">
        <v>0</v>
      </c>
      <c r="BQ693">
        <f>SUM(BP693,BB693,BK693)</f>
        <v>0</v>
      </c>
      <c r="BR693">
        <f t="shared" si="90"/>
        <v>0</v>
      </c>
    </row>
    <row r="694" spans="1:70" hidden="1">
      <c r="A694" s="16" t="str">
        <f t="shared" si="91"/>
        <v>SB_2026_NPZ_1_3</v>
      </c>
      <c r="B694" t="s">
        <v>40</v>
      </c>
      <c r="C694">
        <v>43.3339</v>
      </c>
      <c r="D694">
        <v>-124.3767</v>
      </c>
      <c r="E694" s="8">
        <v>46192</v>
      </c>
      <c r="F694">
        <v>2026</v>
      </c>
      <c r="G694" t="s">
        <v>41</v>
      </c>
      <c r="H694" t="s">
        <v>48</v>
      </c>
      <c r="I694">
        <v>1</v>
      </c>
      <c r="J694">
        <v>3</v>
      </c>
      <c r="K694" t="s">
        <v>47</v>
      </c>
      <c r="L694" s="23">
        <v>4</v>
      </c>
      <c r="M694" s="23">
        <v>0</v>
      </c>
      <c r="N694" s="23">
        <v>4</v>
      </c>
      <c r="O694" s="23">
        <v>0</v>
      </c>
      <c r="P694" s="23">
        <v>0</v>
      </c>
      <c r="Q694" s="23" t="s">
        <v>44</v>
      </c>
      <c r="R694" s="23">
        <v>0</v>
      </c>
      <c r="S694" s="23">
        <v>0</v>
      </c>
      <c r="T694" s="23">
        <v>2</v>
      </c>
      <c r="U694" s="23">
        <v>2</v>
      </c>
      <c r="AH694">
        <v>0</v>
      </c>
      <c r="AI694">
        <v>5</v>
      </c>
      <c r="AJ694">
        <v>0</v>
      </c>
      <c r="AK694">
        <v>0</v>
      </c>
      <c r="AL694">
        <v>12</v>
      </c>
      <c r="AM694">
        <v>5</v>
      </c>
      <c r="AN694">
        <v>0</v>
      </c>
      <c r="AO694">
        <v>0</v>
      </c>
      <c r="AP694">
        <v>78</v>
      </c>
      <c r="AQ694" s="21">
        <f t="shared" si="94"/>
        <v>78</v>
      </c>
      <c r="AR694" s="12">
        <f t="shared" si="95"/>
        <v>100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M694" s="6">
        <f t="shared" si="97"/>
        <v>0</v>
      </c>
      <c r="BN694">
        <v>5</v>
      </c>
      <c r="BO694">
        <f t="shared" si="96"/>
        <v>5</v>
      </c>
      <c r="BP694">
        <v>0</v>
      </c>
      <c r="BQ694">
        <f>SUM(BP694,BB694,BK694)</f>
        <v>0</v>
      </c>
      <c r="BR694">
        <f t="shared" si="90"/>
        <v>0</v>
      </c>
    </row>
    <row r="695" spans="1:70" hidden="1">
      <c r="A695" s="16" t="str">
        <f t="shared" si="91"/>
        <v>SB_2026_NPZ_1_4</v>
      </c>
      <c r="B695" t="s">
        <v>40</v>
      </c>
      <c r="C695">
        <v>43.3339</v>
      </c>
      <c r="D695">
        <v>-124.3767</v>
      </c>
      <c r="E695" s="8">
        <v>46192</v>
      </c>
      <c r="F695">
        <v>2026</v>
      </c>
      <c r="G695" t="s">
        <v>41</v>
      </c>
      <c r="H695" t="s">
        <v>48</v>
      </c>
      <c r="I695">
        <v>1</v>
      </c>
      <c r="J695">
        <v>4</v>
      </c>
      <c r="K695" t="s">
        <v>47</v>
      </c>
      <c r="L695" s="23">
        <v>7</v>
      </c>
      <c r="M695" s="23">
        <v>0</v>
      </c>
      <c r="N695" s="23">
        <v>7</v>
      </c>
      <c r="O695" s="23">
        <v>0</v>
      </c>
      <c r="P695" s="23">
        <v>0</v>
      </c>
      <c r="Q695" s="23" t="s">
        <v>44</v>
      </c>
      <c r="R695" s="23">
        <v>0</v>
      </c>
      <c r="S695" s="23">
        <v>0</v>
      </c>
      <c r="T695" s="23">
        <v>0</v>
      </c>
      <c r="U695" s="23">
        <v>0</v>
      </c>
      <c r="AH695">
        <v>0</v>
      </c>
      <c r="AI695">
        <v>3</v>
      </c>
      <c r="AJ695">
        <v>0</v>
      </c>
      <c r="AK695">
        <v>0</v>
      </c>
      <c r="AL695">
        <v>13</v>
      </c>
      <c r="AM695">
        <v>7</v>
      </c>
      <c r="AN695">
        <v>0</v>
      </c>
      <c r="AO695">
        <v>0</v>
      </c>
      <c r="AP695">
        <v>77</v>
      </c>
      <c r="AQ695" s="21">
        <f t="shared" si="94"/>
        <v>77</v>
      </c>
      <c r="AR695" s="12">
        <f t="shared" si="95"/>
        <v>100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M695" s="6">
        <f t="shared" si="97"/>
        <v>0</v>
      </c>
      <c r="BN695">
        <v>3</v>
      </c>
      <c r="BO695">
        <f t="shared" si="96"/>
        <v>3</v>
      </c>
      <c r="BP695">
        <v>0</v>
      </c>
      <c r="BQ695">
        <f>SUM(BP695,BB695,BK695)</f>
        <v>0</v>
      </c>
      <c r="BR695">
        <f t="shared" si="90"/>
        <v>0</v>
      </c>
    </row>
    <row r="696" spans="1:70" hidden="1">
      <c r="A696" s="16" t="str">
        <f t="shared" si="91"/>
        <v>SB_2026_NPZ_1_5</v>
      </c>
      <c r="B696" t="s">
        <v>40</v>
      </c>
      <c r="C696">
        <v>43.3339</v>
      </c>
      <c r="D696">
        <v>-124.3767</v>
      </c>
      <c r="E696" s="8">
        <v>46192</v>
      </c>
      <c r="F696">
        <v>2026</v>
      </c>
      <c r="G696" t="s">
        <v>41</v>
      </c>
      <c r="H696" t="s">
        <v>48</v>
      </c>
      <c r="I696">
        <v>1</v>
      </c>
      <c r="J696">
        <v>5</v>
      </c>
      <c r="K696" t="s">
        <v>44</v>
      </c>
      <c r="L696" s="23">
        <v>7</v>
      </c>
      <c r="M696" s="23">
        <v>0</v>
      </c>
      <c r="N696" s="23">
        <v>7</v>
      </c>
      <c r="O696" s="23">
        <v>0</v>
      </c>
      <c r="P696" s="23">
        <v>0</v>
      </c>
      <c r="Q696" s="23" t="s">
        <v>44</v>
      </c>
      <c r="R696" s="23">
        <v>0</v>
      </c>
      <c r="S696" s="23">
        <v>0</v>
      </c>
      <c r="T696" s="23">
        <v>0</v>
      </c>
      <c r="U696" s="23">
        <v>0</v>
      </c>
      <c r="AH696">
        <v>0</v>
      </c>
      <c r="AI696">
        <v>0</v>
      </c>
      <c r="AJ696">
        <v>0</v>
      </c>
      <c r="AK696">
        <v>0</v>
      </c>
      <c r="AL696">
        <v>19</v>
      </c>
      <c r="AM696">
        <v>9</v>
      </c>
      <c r="AN696">
        <v>0</v>
      </c>
      <c r="AO696">
        <v>0</v>
      </c>
      <c r="AP696">
        <v>72</v>
      </c>
      <c r="AQ696" s="21">
        <f t="shared" si="94"/>
        <v>72</v>
      </c>
      <c r="AR696" s="12">
        <f t="shared" si="95"/>
        <v>100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M696" s="6">
        <f t="shared" si="97"/>
        <v>0</v>
      </c>
      <c r="BN696">
        <v>0</v>
      </c>
      <c r="BO696">
        <f t="shared" si="96"/>
        <v>0</v>
      </c>
      <c r="BP696">
        <v>0</v>
      </c>
      <c r="BQ696">
        <f>SUM(BP696,BB696,BK696)</f>
        <v>0</v>
      </c>
      <c r="BR696">
        <f t="shared" si="90"/>
        <v>0</v>
      </c>
    </row>
    <row r="697" spans="1:70" hidden="1">
      <c r="A697" s="16" t="str">
        <f t="shared" si="91"/>
        <v>SB_2026_NPZ_2_1</v>
      </c>
      <c r="B697" t="s">
        <v>40</v>
      </c>
      <c r="C697">
        <v>43.3339</v>
      </c>
      <c r="D697">
        <v>-124.3767</v>
      </c>
      <c r="E697" s="8">
        <v>46192</v>
      </c>
      <c r="F697">
        <v>2026</v>
      </c>
      <c r="G697" t="s">
        <v>41</v>
      </c>
      <c r="H697" t="s">
        <v>48</v>
      </c>
      <c r="I697">
        <v>2</v>
      </c>
      <c r="J697">
        <v>1</v>
      </c>
      <c r="K697" t="s">
        <v>47</v>
      </c>
      <c r="L697" s="23">
        <v>27</v>
      </c>
      <c r="M697" s="23">
        <v>0</v>
      </c>
      <c r="N697" s="23">
        <v>27</v>
      </c>
      <c r="O697" s="23">
        <v>0</v>
      </c>
      <c r="P697" s="23">
        <v>0</v>
      </c>
      <c r="Q697" s="23" t="s">
        <v>44</v>
      </c>
      <c r="R697" s="23">
        <v>0</v>
      </c>
      <c r="S697" s="23">
        <v>0</v>
      </c>
      <c r="T697" s="23">
        <v>0</v>
      </c>
      <c r="U697" s="23">
        <v>0</v>
      </c>
      <c r="AH697">
        <v>1</v>
      </c>
      <c r="AI697">
        <v>21</v>
      </c>
      <c r="AJ697">
        <v>0</v>
      </c>
      <c r="AK697">
        <v>0</v>
      </c>
      <c r="AL697">
        <v>18</v>
      </c>
      <c r="AM697">
        <v>12</v>
      </c>
      <c r="AN697">
        <v>0</v>
      </c>
      <c r="AO697">
        <v>0</v>
      </c>
      <c r="AP697">
        <v>48</v>
      </c>
      <c r="AQ697" s="21">
        <f t="shared" si="94"/>
        <v>48</v>
      </c>
      <c r="AR697" s="12">
        <f t="shared" si="95"/>
        <v>100</v>
      </c>
      <c r="AS697">
        <v>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M697" s="6">
        <f t="shared" si="97"/>
        <v>9</v>
      </c>
      <c r="BN697">
        <v>21</v>
      </c>
      <c r="BO697">
        <f t="shared" si="96"/>
        <v>21</v>
      </c>
      <c r="BP697">
        <v>0</v>
      </c>
      <c r="BQ697">
        <f>SUM(BP697,BB697,BK697)</f>
        <v>0</v>
      </c>
      <c r="BR697">
        <f t="shared" si="90"/>
        <v>0</v>
      </c>
    </row>
    <row r="698" spans="1:70" hidden="1">
      <c r="A698" s="16" t="str">
        <f t="shared" si="91"/>
        <v>SB_2026_NPZ_2_2</v>
      </c>
      <c r="B698" t="s">
        <v>40</v>
      </c>
      <c r="C698">
        <v>43.3339</v>
      </c>
      <c r="D698">
        <v>-124.3767</v>
      </c>
      <c r="E698" s="8">
        <v>46192</v>
      </c>
      <c r="F698">
        <v>2026</v>
      </c>
      <c r="G698" t="s">
        <v>41</v>
      </c>
      <c r="H698" t="s">
        <v>48</v>
      </c>
      <c r="I698">
        <v>2</v>
      </c>
      <c r="J698">
        <v>2</v>
      </c>
      <c r="K698" t="s">
        <v>47</v>
      </c>
      <c r="L698" s="23">
        <v>16</v>
      </c>
      <c r="M698" s="23">
        <v>2</v>
      </c>
      <c r="N698" s="23">
        <v>14</v>
      </c>
      <c r="O698" s="23">
        <v>0</v>
      </c>
      <c r="P698" s="23">
        <v>1</v>
      </c>
      <c r="Q698" s="23" t="s">
        <v>44</v>
      </c>
      <c r="R698" s="23">
        <v>0</v>
      </c>
      <c r="S698" s="23">
        <v>0</v>
      </c>
      <c r="T698" s="23">
        <v>0</v>
      </c>
      <c r="U698" s="23">
        <v>2</v>
      </c>
      <c r="AH698" s="31">
        <v>58</v>
      </c>
      <c r="AI698">
        <v>21</v>
      </c>
      <c r="AJ698">
        <v>0.1</v>
      </c>
      <c r="AK698">
        <v>0</v>
      </c>
      <c r="AL698">
        <v>6</v>
      </c>
      <c r="AM698">
        <v>2</v>
      </c>
      <c r="AN698">
        <v>0</v>
      </c>
      <c r="AO698">
        <v>3</v>
      </c>
      <c r="AP698">
        <v>10</v>
      </c>
      <c r="AQ698" s="21">
        <f t="shared" si="94"/>
        <v>10</v>
      </c>
      <c r="AR698" s="12">
        <f t="shared" si="95"/>
        <v>100.1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6</v>
      </c>
      <c r="AY698">
        <v>10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M698" s="6">
        <f t="shared" si="97"/>
        <v>16</v>
      </c>
      <c r="BN698">
        <v>21</v>
      </c>
      <c r="BO698">
        <f t="shared" si="96"/>
        <v>21</v>
      </c>
      <c r="BP698">
        <v>0.1</v>
      </c>
      <c r="BQ698">
        <f>SUM(BP698,BB698,BK698)</f>
        <v>0.1</v>
      </c>
      <c r="BR698">
        <f t="shared" si="90"/>
        <v>0</v>
      </c>
    </row>
    <row r="699" spans="1:70" hidden="1">
      <c r="A699" s="16" t="str">
        <f t="shared" si="91"/>
        <v>SB_2026_NPZ_2_3</v>
      </c>
      <c r="B699" t="s">
        <v>40</v>
      </c>
      <c r="C699">
        <v>43.3339</v>
      </c>
      <c r="D699">
        <v>-124.3767</v>
      </c>
      <c r="E699" s="8">
        <v>46192</v>
      </c>
      <c r="F699">
        <v>2026</v>
      </c>
      <c r="G699" t="s">
        <v>41</v>
      </c>
      <c r="H699" t="s">
        <v>48</v>
      </c>
      <c r="I699">
        <v>2</v>
      </c>
      <c r="J699">
        <v>3</v>
      </c>
      <c r="K699" t="s">
        <v>47</v>
      </c>
      <c r="L699" s="23">
        <v>20</v>
      </c>
      <c r="M699" s="23">
        <v>2</v>
      </c>
      <c r="N699" s="23">
        <v>18</v>
      </c>
      <c r="O699" s="23">
        <v>0</v>
      </c>
      <c r="P699" s="23">
        <v>1</v>
      </c>
      <c r="Q699" s="23" t="s">
        <v>44</v>
      </c>
      <c r="R699" s="23">
        <v>0</v>
      </c>
      <c r="S699" s="23">
        <v>0</v>
      </c>
      <c r="T699" s="23">
        <v>0</v>
      </c>
      <c r="U699" s="23">
        <v>2</v>
      </c>
      <c r="AH699">
        <v>5</v>
      </c>
      <c r="AI699">
        <v>19</v>
      </c>
      <c r="AJ699">
        <v>0</v>
      </c>
      <c r="AK699">
        <v>0</v>
      </c>
      <c r="AL699">
        <v>7</v>
      </c>
      <c r="AM699">
        <v>16</v>
      </c>
      <c r="AN699">
        <v>0</v>
      </c>
      <c r="AO699">
        <v>0</v>
      </c>
      <c r="AP699">
        <v>53</v>
      </c>
      <c r="AQ699" s="21">
        <f t="shared" si="94"/>
        <v>53</v>
      </c>
      <c r="AR699" s="12">
        <f t="shared" si="95"/>
        <v>100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12</v>
      </c>
      <c r="AY699">
        <v>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M699" s="6">
        <f t="shared" si="97"/>
        <v>14</v>
      </c>
      <c r="BN699">
        <v>19</v>
      </c>
      <c r="BO699">
        <f t="shared" si="96"/>
        <v>19</v>
      </c>
      <c r="BP699">
        <v>0</v>
      </c>
      <c r="BQ699">
        <f>SUM(BP699,BB699,BK699)</f>
        <v>0</v>
      </c>
      <c r="BR699">
        <f t="shared" si="90"/>
        <v>0</v>
      </c>
    </row>
    <row r="700" spans="1:70" hidden="1">
      <c r="A700" s="16" t="str">
        <f t="shared" si="91"/>
        <v>SB_2026_NPZ_2_4</v>
      </c>
      <c r="B700" t="s">
        <v>40</v>
      </c>
      <c r="C700">
        <v>43.3339</v>
      </c>
      <c r="D700">
        <v>-124.3767</v>
      </c>
      <c r="E700" s="8">
        <v>46192</v>
      </c>
      <c r="F700">
        <v>2026</v>
      </c>
      <c r="G700" t="s">
        <v>41</v>
      </c>
      <c r="H700" t="s">
        <v>48</v>
      </c>
      <c r="I700">
        <v>2</v>
      </c>
      <c r="J700">
        <v>4</v>
      </c>
      <c r="K700" t="s">
        <v>47</v>
      </c>
      <c r="L700" s="23">
        <v>21</v>
      </c>
      <c r="M700" s="23">
        <v>0</v>
      </c>
      <c r="N700" s="23">
        <v>21</v>
      </c>
      <c r="O700" s="23">
        <v>0</v>
      </c>
      <c r="P700" s="23">
        <v>0</v>
      </c>
      <c r="Q700" s="23" t="s">
        <v>44</v>
      </c>
      <c r="R700" s="23">
        <v>0</v>
      </c>
      <c r="S700" s="23">
        <v>0</v>
      </c>
      <c r="T700" s="23">
        <v>1</v>
      </c>
      <c r="U700" s="23">
        <v>1</v>
      </c>
      <c r="AG700" s="34">
        <v>6</v>
      </c>
      <c r="AH700">
        <v>1</v>
      </c>
      <c r="AI700">
        <v>33</v>
      </c>
      <c r="AJ700">
        <v>4</v>
      </c>
      <c r="AK700">
        <v>0</v>
      </c>
      <c r="AL700">
        <v>6</v>
      </c>
      <c r="AM700">
        <v>12</v>
      </c>
      <c r="AN700">
        <v>0</v>
      </c>
      <c r="AO700">
        <v>0</v>
      </c>
      <c r="AP700">
        <v>44</v>
      </c>
      <c r="AQ700" s="21">
        <f t="shared" si="94"/>
        <v>38</v>
      </c>
      <c r="AR700" s="12">
        <f t="shared" si="95"/>
        <v>100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16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2</v>
      </c>
      <c r="BI700">
        <v>0</v>
      </c>
      <c r="BJ700">
        <v>0</v>
      </c>
      <c r="BK700">
        <v>0</v>
      </c>
      <c r="BM700" s="6">
        <f t="shared" si="97"/>
        <v>21</v>
      </c>
    </row>
    <row r="701" spans="1:70" hidden="1">
      <c r="A701" s="16" t="str">
        <f t="shared" si="91"/>
        <v>SB_2026_NPZ_2_5</v>
      </c>
      <c r="B701" t="s">
        <v>40</v>
      </c>
      <c r="C701">
        <v>43.3339</v>
      </c>
      <c r="D701">
        <v>-124.3767</v>
      </c>
      <c r="E701" s="8">
        <v>46192</v>
      </c>
      <c r="F701">
        <v>2026</v>
      </c>
      <c r="G701" t="s">
        <v>41</v>
      </c>
      <c r="H701" t="s">
        <v>48</v>
      </c>
      <c r="I701">
        <v>2</v>
      </c>
      <c r="J701">
        <v>5</v>
      </c>
      <c r="K701" t="s">
        <v>47</v>
      </c>
      <c r="L701" s="23">
        <v>5</v>
      </c>
      <c r="M701" s="23">
        <v>0</v>
      </c>
      <c r="N701" s="23">
        <v>5</v>
      </c>
      <c r="O701" s="23">
        <v>0</v>
      </c>
      <c r="P701" s="23">
        <v>0</v>
      </c>
      <c r="Q701" s="23" t="s">
        <v>44</v>
      </c>
      <c r="R701" s="23">
        <v>0</v>
      </c>
      <c r="S701" s="23">
        <v>0</v>
      </c>
      <c r="T701" s="23">
        <v>0</v>
      </c>
      <c r="U701" s="23">
        <v>0</v>
      </c>
      <c r="AH701">
        <v>0</v>
      </c>
      <c r="AI701">
        <v>87</v>
      </c>
      <c r="AJ701">
        <v>0</v>
      </c>
      <c r="AK701">
        <v>0</v>
      </c>
      <c r="AL701">
        <v>3</v>
      </c>
      <c r="AM701">
        <v>5</v>
      </c>
      <c r="AN701">
        <v>0</v>
      </c>
      <c r="AO701">
        <v>0</v>
      </c>
      <c r="AP701">
        <v>5</v>
      </c>
      <c r="AQ701" s="21">
        <f t="shared" si="94"/>
        <v>5</v>
      </c>
      <c r="AR701" s="12">
        <f t="shared" si="95"/>
        <v>100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22</v>
      </c>
      <c r="BF701">
        <v>0</v>
      </c>
      <c r="BG701">
        <v>0</v>
      </c>
      <c r="BH701">
        <v>3</v>
      </c>
      <c r="BI701">
        <v>9</v>
      </c>
      <c r="BJ701">
        <v>0</v>
      </c>
      <c r="BK701">
        <v>0</v>
      </c>
      <c r="BM701" s="6">
        <f t="shared" si="97"/>
        <v>48</v>
      </c>
    </row>
    <row r="702" spans="1:70" hidden="1">
      <c r="A702" s="16" t="str">
        <f t="shared" si="91"/>
        <v>BB_2026_AZ_1_1</v>
      </c>
      <c r="B702" t="s">
        <v>67</v>
      </c>
      <c r="C702">
        <v>44.830300000000001</v>
      </c>
      <c r="D702">
        <v>-124.0607</v>
      </c>
      <c r="E702" s="8">
        <v>46202</v>
      </c>
      <c r="F702">
        <v>2026</v>
      </c>
      <c r="G702" t="s">
        <v>64</v>
      </c>
      <c r="H702" t="s">
        <v>42</v>
      </c>
      <c r="I702">
        <v>1</v>
      </c>
      <c r="J702">
        <v>1</v>
      </c>
      <c r="K702" t="s">
        <v>46</v>
      </c>
      <c r="L702" s="23">
        <v>0</v>
      </c>
      <c r="M702" s="23">
        <v>0</v>
      </c>
      <c r="N702" s="23">
        <v>0</v>
      </c>
      <c r="O702" s="23">
        <v>0</v>
      </c>
      <c r="P702" s="23">
        <v>0</v>
      </c>
      <c r="Q702" s="23" t="s">
        <v>44</v>
      </c>
      <c r="R702" s="23">
        <v>0</v>
      </c>
      <c r="S702" s="23">
        <v>0</v>
      </c>
      <c r="T702" s="23">
        <v>0</v>
      </c>
      <c r="U702" s="23">
        <v>0</v>
      </c>
      <c r="V702" s="18" t="s">
        <v>44</v>
      </c>
      <c r="W702" s="18" t="s">
        <v>44</v>
      </c>
      <c r="X702" s="18" t="s">
        <v>44</v>
      </c>
      <c r="Y702" s="18" t="s">
        <v>44</v>
      </c>
      <c r="Z702" s="18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s="34">
        <v>0</v>
      </c>
      <c r="AH702">
        <v>1</v>
      </c>
      <c r="AI702">
        <v>70</v>
      </c>
      <c r="AJ702">
        <v>0</v>
      </c>
      <c r="AK702">
        <v>22</v>
      </c>
      <c r="AL702">
        <v>2</v>
      </c>
      <c r="AM702">
        <v>2</v>
      </c>
      <c r="AN702">
        <v>0</v>
      </c>
      <c r="AO702">
        <v>1</v>
      </c>
      <c r="AP702">
        <v>2</v>
      </c>
      <c r="AQ702" s="21">
        <f t="shared" si="94"/>
        <v>2</v>
      </c>
      <c r="AR702" s="12">
        <f t="shared" si="95"/>
        <v>100</v>
      </c>
      <c r="AS702">
        <v>0</v>
      </c>
      <c r="AT702">
        <v>0</v>
      </c>
      <c r="AU702">
        <v>8</v>
      </c>
      <c r="AV702">
        <v>0</v>
      </c>
      <c r="AW702">
        <v>4</v>
      </c>
      <c r="AX702">
        <v>20</v>
      </c>
      <c r="AY702">
        <v>0</v>
      </c>
      <c r="AZ702">
        <v>32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s="6">
        <f t="shared" si="97"/>
        <v>64</v>
      </c>
    </row>
    <row r="703" spans="1:70" hidden="1">
      <c r="A703" s="16" t="str">
        <f t="shared" si="91"/>
        <v>BB_2026_AZ_1_2</v>
      </c>
      <c r="B703" t="s">
        <v>67</v>
      </c>
      <c r="C703">
        <v>44.830300000000001</v>
      </c>
      <c r="D703">
        <v>-124.0607</v>
      </c>
      <c r="E703" s="8">
        <v>46202</v>
      </c>
      <c r="F703">
        <v>2026</v>
      </c>
      <c r="G703" t="s">
        <v>64</v>
      </c>
      <c r="H703" t="s">
        <v>42</v>
      </c>
      <c r="I703">
        <v>1</v>
      </c>
      <c r="J703">
        <v>2</v>
      </c>
      <c r="K703" t="s">
        <v>46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 t="s">
        <v>44</v>
      </c>
      <c r="R703" s="23">
        <v>0</v>
      </c>
      <c r="S703" s="23">
        <v>0</v>
      </c>
      <c r="T703" s="23">
        <v>0</v>
      </c>
      <c r="U703" s="23">
        <v>0</v>
      </c>
      <c r="V703" s="18" t="s">
        <v>44</v>
      </c>
      <c r="W703" s="18" t="s">
        <v>44</v>
      </c>
      <c r="X703" s="18" t="s">
        <v>44</v>
      </c>
      <c r="Y703" s="18" t="s">
        <v>44</v>
      </c>
      <c r="Z703" s="18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s="34">
        <v>0</v>
      </c>
      <c r="AH703">
        <v>1</v>
      </c>
      <c r="AI703">
        <v>16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81</v>
      </c>
      <c r="AP703">
        <v>0</v>
      </c>
      <c r="AQ703" s="21">
        <f t="shared" si="94"/>
        <v>0</v>
      </c>
      <c r="AR703" s="12">
        <f t="shared" si="95"/>
        <v>100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4</v>
      </c>
      <c r="AY703">
        <v>0</v>
      </c>
      <c r="AZ703">
        <v>28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 s="6">
        <f t="shared" si="97"/>
        <v>32</v>
      </c>
      <c r="BN703">
        <v>16</v>
      </c>
      <c r="BO703">
        <f t="shared" si="96"/>
        <v>16</v>
      </c>
      <c r="BP703">
        <v>0</v>
      </c>
      <c r="BQ703">
        <f>SUM(BP703,BB703,BK703)</f>
        <v>0</v>
      </c>
      <c r="BR703">
        <f t="shared" ref="BR703:BR759" si="98">BQ703-BP703</f>
        <v>0</v>
      </c>
    </row>
    <row r="704" spans="1:70" hidden="1">
      <c r="A704" s="16" t="str">
        <f t="shared" si="91"/>
        <v>BB_2026_AZ_1_3</v>
      </c>
      <c r="B704" t="s">
        <v>67</v>
      </c>
      <c r="C704">
        <v>44.830300000000001</v>
      </c>
      <c r="D704">
        <v>-124.0607</v>
      </c>
      <c r="E704" s="8">
        <v>46202</v>
      </c>
      <c r="F704">
        <v>2026</v>
      </c>
      <c r="G704" t="s">
        <v>64</v>
      </c>
      <c r="H704" t="s">
        <v>42</v>
      </c>
      <c r="I704">
        <v>1</v>
      </c>
      <c r="J704">
        <v>3</v>
      </c>
      <c r="K704" t="s">
        <v>43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 t="s">
        <v>44</v>
      </c>
      <c r="R704" s="23">
        <v>0</v>
      </c>
      <c r="S704" s="23">
        <v>0</v>
      </c>
      <c r="T704" s="23">
        <v>0</v>
      </c>
      <c r="U704" s="23">
        <v>0</v>
      </c>
      <c r="V704" s="18" t="s">
        <v>44</v>
      </c>
      <c r="W704" s="18" t="s">
        <v>44</v>
      </c>
      <c r="X704" s="18" t="s">
        <v>44</v>
      </c>
      <c r="Y704" s="18" t="s">
        <v>44</v>
      </c>
      <c r="Z704" s="18" t="s">
        <v>44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s="34">
        <v>0</v>
      </c>
      <c r="AH704">
        <v>5</v>
      </c>
      <c r="AI704">
        <v>80</v>
      </c>
      <c r="AJ704">
        <v>0</v>
      </c>
      <c r="AK704">
        <v>12</v>
      </c>
      <c r="AL704">
        <v>0.1</v>
      </c>
      <c r="AM704">
        <v>0</v>
      </c>
      <c r="AN704">
        <v>1</v>
      </c>
      <c r="AO704">
        <v>2</v>
      </c>
      <c r="AP704">
        <v>0</v>
      </c>
      <c r="AQ704" s="21">
        <f t="shared" si="94"/>
        <v>0</v>
      </c>
      <c r="AR704" s="12">
        <f t="shared" si="95"/>
        <v>100.1</v>
      </c>
      <c r="AS704">
        <v>45</v>
      </c>
      <c r="AT704">
        <v>15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35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2</v>
      </c>
      <c r="BI704">
        <v>0</v>
      </c>
      <c r="BJ704">
        <v>0</v>
      </c>
      <c r="BK704">
        <v>0</v>
      </c>
      <c r="BL704">
        <v>0</v>
      </c>
      <c r="BM704" s="6">
        <f t="shared" si="97"/>
        <v>97</v>
      </c>
    </row>
    <row r="705" spans="1:70" hidden="1">
      <c r="A705" s="16" t="str">
        <f t="shared" si="91"/>
        <v>BB_2026_AZ_1_4</v>
      </c>
      <c r="B705" t="s">
        <v>67</v>
      </c>
      <c r="C705">
        <v>44.830300000000001</v>
      </c>
      <c r="D705">
        <v>-124.0607</v>
      </c>
      <c r="E705" s="8">
        <v>46202</v>
      </c>
      <c r="F705">
        <v>2026</v>
      </c>
      <c r="G705" t="s">
        <v>64</v>
      </c>
      <c r="H705" t="s">
        <v>42</v>
      </c>
      <c r="I705">
        <v>1</v>
      </c>
      <c r="J705">
        <v>4</v>
      </c>
      <c r="K705" t="s">
        <v>43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 t="s">
        <v>44</v>
      </c>
      <c r="R705" s="23">
        <v>0</v>
      </c>
      <c r="S705" s="23">
        <v>0</v>
      </c>
      <c r="T705" s="23">
        <v>1</v>
      </c>
      <c r="U705" s="23">
        <v>0</v>
      </c>
      <c r="V705" s="18" t="s">
        <v>44</v>
      </c>
      <c r="W705" s="18" t="s">
        <v>44</v>
      </c>
      <c r="X705" s="18" t="s">
        <v>44</v>
      </c>
      <c r="Y705" s="18" t="s">
        <v>44</v>
      </c>
      <c r="Z705" s="18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s="34">
        <v>0</v>
      </c>
      <c r="AH705">
        <v>7</v>
      </c>
      <c r="AI705">
        <v>54</v>
      </c>
      <c r="AJ705">
        <v>0</v>
      </c>
      <c r="AK705">
        <v>24</v>
      </c>
      <c r="AL705">
        <v>1</v>
      </c>
      <c r="AM705">
        <v>12</v>
      </c>
      <c r="AN705">
        <v>0</v>
      </c>
      <c r="AO705">
        <v>2</v>
      </c>
      <c r="AP705">
        <v>0</v>
      </c>
      <c r="AQ705" s="21">
        <f t="shared" si="94"/>
        <v>0</v>
      </c>
      <c r="AR705" s="12">
        <f t="shared" si="95"/>
        <v>100</v>
      </c>
      <c r="AS705">
        <v>5</v>
      </c>
      <c r="AT705">
        <v>21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63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3</v>
      </c>
      <c r="BI705">
        <v>0</v>
      </c>
      <c r="BJ705">
        <v>0</v>
      </c>
      <c r="BK705">
        <v>0</v>
      </c>
      <c r="BL705">
        <v>0</v>
      </c>
      <c r="BM705" s="6">
        <f t="shared" si="97"/>
        <v>92</v>
      </c>
    </row>
    <row r="706" spans="1:70" hidden="1">
      <c r="A706" s="16" t="str">
        <f t="shared" ref="A706:A760" si="99">_xlfn.CONCAT(B706,"_",F706, "_",H706, "_",I706,"_",J706)</f>
        <v>BB_2026_AZ_1_5</v>
      </c>
      <c r="B706" t="s">
        <v>67</v>
      </c>
      <c r="C706">
        <v>44.830300000000001</v>
      </c>
      <c r="D706">
        <v>-124.0607</v>
      </c>
      <c r="E706" s="8">
        <v>46202</v>
      </c>
      <c r="F706">
        <v>2026</v>
      </c>
      <c r="G706" t="s">
        <v>64</v>
      </c>
      <c r="H706" t="s">
        <v>42</v>
      </c>
      <c r="I706">
        <v>1</v>
      </c>
      <c r="J706">
        <v>5</v>
      </c>
      <c r="K706" t="s">
        <v>43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 t="s">
        <v>44</v>
      </c>
      <c r="R706" s="23">
        <v>0</v>
      </c>
      <c r="S706" s="23">
        <v>0</v>
      </c>
      <c r="T706" s="23">
        <v>2</v>
      </c>
      <c r="U706" s="23">
        <v>0</v>
      </c>
      <c r="V706" s="18" t="s">
        <v>44</v>
      </c>
      <c r="W706" s="18" t="s">
        <v>44</v>
      </c>
      <c r="X706" s="18" t="s">
        <v>44</v>
      </c>
      <c r="Y706" s="18" t="s">
        <v>44</v>
      </c>
      <c r="Z706" s="18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s="34">
        <v>0</v>
      </c>
      <c r="AH706">
        <v>1</v>
      </c>
      <c r="AI706">
        <v>4</v>
      </c>
      <c r="AJ706">
        <v>0</v>
      </c>
      <c r="AK706">
        <v>76</v>
      </c>
      <c r="AL706">
        <v>1</v>
      </c>
      <c r="AM706">
        <v>1</v>
      </c>
      <c r="AN706">
        <v>6</v>
      </c>
      <c r="AO706">
        <v>11</v>
      </c>
      <c r="AP706">
        <v>0</v>
      </c>
      <c r="AQ706" s="21">
        <f t="shared" si="94"/>
        <v>0</v>
      </c>
      <c r="AR706" s="12">
        <f t="shared" si="95"/>
        <v>100</v>
      </c>
      <c r="AS706">
        <v>17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100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s="6">
        <f t="shared" si="97"/>
        <v>118</v>
      </c>
      <c r="BN706">
        <v>4</v>
      </c>
      <c r="BO706">
        <f t="shared" si="96"/>
        <v>4</v>
      </c>
      <c r="BP706">
        <v>0</v>
      </c>
      <c r="BQ706">
        <f>SUM(BP706,BB706,BK706)</f>
        <v>0</v>
      </c>
      <c r="BR706">
        <f t="shared" si="98"/>
        <v>0</v>
      </c>
    </row>
    <row r="707" spans="1:70">
      <c r="A707" s="16" t="str">
        <f t="shared" si="99"/>
        <v>BB_2026_AZ_2_1</v>
      </c>
      <c r="B707" t="s">
        <v>67</v>
      </c>
      <c r="C707">
        <v>44.830300000000001</v>
      </c>
      <c r="D707">
        <v>-124.0607</v>
      </c>
      <c r="E707" s="8">
        <v>46202</v>
      </c>
      <c r="F707">
        <v>2026</v>
      </c>
      <c r="G707" t="s">
        <v>64</v>
      </c>
      <c r="H707" s="13" t="s">
        <v>42</v>
      </c>
      <c r="I707" s="13">
        <v>2</v>
      </c>
      <c r="J707" s="13">
        <v>1</v>
      </c>
      <c r="K707" t="s">
        <v>46</v>
      </c>
      <c r="L707" s="23">
        <v>0</v>
      </c>
      <c r="M707" s="23">
        <v>0</v>
      </c>
      <c r="N707" s="23">
        <v>0</v>
      </c>
      <c r="O707" s="23">
        <v>0</v>
      </c>
      <c r="P707" s="23">
        <v>0</v>
      </c>
      <c r="Q707" s="23" t="s">
        <v>44</v>
      </c>
      <c r="R707" s="23">
        <v>0</v>
      </c>
      <c r="S707" s="23">
        <v>0</v>
      </c>
      <c r="T707" s="23">
        <v>4</v>
      </c>
      <c r="U707" s="23">
        <v>4</v>
      </c>
      <c r="V707" s="18" t="s">
        <v>44</v>
      </c>
      <c r="W707" s="18" t="s">
        <v>44</v>
      </c>
      <c r="X707" s="18" t="s">
        <v>44</v>
      </c>
      <c r="Y707" s="18" t="s">
        <v>44</v>
      </c>
      <c r="Z707" s="18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s="34">
        <v>0</v>
      </c>
      <c r="AH707">
        <v>4</v>
      </c>
      <c r="AI707">
        <v>73</v>
      </c>
      <c r="AJ707">
        <v>13</v>
      </c>
      <c r="AK707">
        <v>0</v>
      </c>
      <c r="AL707">
        <v>6</v>
      </c>
      <c r="AM707">
        <v>2</v>
      </c>
      <c r="AN707">
        <v>0</v>
      </c>
      <c r="AO707">
        <v>0.1</v>
      </c>
      <c r="AP707">
        <v>2</v>
      </c>
      <c r="AQ707" s="21">
        <f t="shared" si="94"/>
        <v>2</v>
      </c>
      <c r="AR707" s="12">
        <f t="shared" si="95"/>
        <v>100.1</v>
      </c>
      <c r="AS707">
        <v>17</v>
      </c>
      <c r="AT707">
        <v>40</v>
      </c>
      <c r="AU707">
        <v>0</v>
      </c>
      <c r="AV707">
        <v>0</v>
      </c>
      <c r="AW707">
        <v>1</v>
      </c>
      <c r="AX707">
        <v>5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 s="6">
        <f t="shared" si="97"/>
        <v>64</v>
      </c>
    </row>
    <row r="708" spans="1:70" hidden="1">
      <c r="A708" s="16" t="str">
        <f t="shared" si="99"/>
        <v>BB_2026_AZ_2_2</v>
      </c>
      <c r="B708" t="s">
        <v>67</v>
      </c>
      <c r="C708">
        <v>44.830300000000001</v>
      </c>
      <c r="D708">
        <v>-124.0607</v>
      </c>
      <c r="E708" s="8">
        <v>46202</v>
      </c>
      <c r="F708">
        <v>2026</v>
      </c>
      <c r="G708" t="s">
        <v>64</v>
      </c>
      <c r="H708" s="13" t="s">
        <v>42</v>
      </c>
      <c r="I708" s="13">
        <v>2</v>
      </c>
      <c r="J708" s="13">
        <v>2</v>
      </c>
      <c r="K708" t="s">
        <v>43</v>
      </c>
      <c r="L708" s="23">
        <v>0</v>
      </c>
      <c r="M708" s="23">
        <v>0</v>
      </c>
      <c r="N708" s="23">
        <v>0</v>
      </c>
      <c r="O708" s="23">
        <v>0</v>
      </c>
      <c r="P708" s="23">
        <v>0</v>
      </c>
      <c r="Q708" s="23" t="s">
        <v>44</v>
      </c>
      <c r="R708" s="23">
        <v>0</v>
      </c>
      <c r="S708" s="23">
        <v>0</v>
      </c>
      <c r="T708" s="23">
        <v>5</v>
      </c>
      <c r="U708" s="23">
        <v>5</v>
      </c>
      <c r="V708" s="18" t="s">
        <v>44</v>
      </c>
      <c r="W708" s="18" t="s">
        <v>44</v>
      </c>
      <c r="X708" s="18" t="s">
        <v>44</v>
      </c>
      <c r="Y708" s="18" t="s">
        <v>44</v>
      </c>
      <c r="Z708" s="1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s="34">
        <v>0</v>
      </c>
      <c r="AH708">
        <v>5</v>
      </c>
      <c r="AI708">
        <v>72</v>
      </c>
      <c r="AJ708">
        <v>13</v>
      </c>
      <c r="AK708">
        <v>0</v>
      </c>
      <c r="AL708">
        <v>8</v>
      </c>
      <c r="AM708">
        <v>2</v>
      </c>
      <c r="AN708">
        <v>0</v>
      </c>
      <c r="AO708">
        <v>0</v>
      </c>
      <c r="AP708">
        <v>0</v>
      </c>
      <c r="AQ708" s="21">
        <f t="shared" si="94"/>
        <v>0</v>
      </c>
      <c r="AR708" s="12">
        <f t="shared" si="95"/>
        <v>100</v>
      </c>
      <c r="AS708">
        <v>56</v>
      </c>
      <c r="AT708">
        <v>52</v>
      </c>
      <c r="AU708">
        <v>0</v>
      </c>
      <c r="AV708">
        <v>0</v>
      </c>
      <c r="AW708">
        <v>2</v>
      </c>
      <c r="AX708">
        <v>10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 s="6">
        <f t="shared" si="97"/>
        <v>120</v>
      </c>
      <c r="BN708">
        <v>72</v>
      </c>
      <c r="BO708">
        <f t="shared" si="96"/>
        <v>72</v>
      </c>
      <c r="BP708">
        <v>13</v>
      </c>
      <c r="BQ708">
        <f>SUM(BP708,BB708,BK708)</f>
        <v>13</v>
      </c>
      <c r="BR708">
        <f t="shared" si="98"/>
        <v>0</v>
      </c>
    </row>
    <row r="709" spans="1:70" hidden="1">
      <c r="A709" s="16" t="str">
        <f t="shared" si="99"/>
        <v>BB_2026_AZ_2_3</v>
      </c>
      <c r="B709" t="s">
        <v>67</v>
      </c>
      <c r="C709">
        <v>44.830300000000001</v>
      </c>
      <c r="D709">
        <v>-124.0607</v>
      </c>
      <c r="E709" s="8">
        <v>46202</v>
      </c>
      <c r="F709">
        <v>2026</v>
      </c>
      <c r="G709" t="s">
        <v>64</v>
      </c>
      <c r="H709" t="s">
        <v>42</v>
      </c>
      <c r="I709">
        <v>2</v>
      </c>
      <c r="J709">
        <v>3</v>
      </c>
      <c r="K709" t="s">
        <v>43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 t="s">
        <v>44</v>
      </c>
      <c r="R709" s="23">
        <v>0</v>
      </c>
      <c r="S709" s="23">
        <v>0</v>
      </c>
      <c r="T709" s="23">
        <v>2</v>
      </c>
      <c r="U709" s="23">
        <v>2</v>
      </c>
      <c r="V709" s="18" t="s">
        <v>44</v>
      </c>
      <c r="W709" s="18" t="s">
        <v>44</v>
      </c>
      <c r="X709" s="18" t="s">
        <v>44</v>
      </c>
      <c r="Y709" s="18" t="s">
        <v>44</v>
      </c>
      <c r="Z709" s="18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s="34">
        <v>0</v>
      </c>
      <c r="AH709">
        <v>9</v>
      </c>
      <c r="AI709" s="31"/>
      <c r="AJ709">
        <v>8</v>
      </c>
      <c r="AK709">
        <v>0</v>
      </c>
      <c r="AL709" s="31"/>
      <c r="AM709">
        <v>0.1</v>
      </c>
      <c r="AN709">
        <v>0</v>
      </c>
      <c r="AO709">
        <v>0</v>
      </c>
      <c r="AP709">
        <v>4</v>
      </c>
      <c r="AQ709" s="21">
        <f t="shared" si="94"/>
        <v>4</v>
      </c>
      <c r="AR709" s="12">
        <f t="shared" si="95"/>
        <v>21.1</v>
      </c>
      <c r="AS709">
        <v>14</v>
      </c>
      <c r="AT709" s="31">
        <v>3</v>
      </c>
      <c r="AU709">
        <v>0</v>
      </c>
      <c r="AV709">
        <v>0</v>
      </c>
      <c r="AW709">
        <v>1</v>
      </c>
      <c r="AX709">
        <v>26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 s="6">
        <f t="shared" si="97"/>
        <v>44</v>
      </c>
      <c r="BN709" s="31"/>
      <c r="BO709">
        <f t="shared" si="96"/>
        <v>0</v>
      </c>
      <c r="BP709">
        <v>8</v>
      </c>
      <c r="BQ709">
        <f>SUM(BP709,BB709,BK709)</f>
        <v>8</v>
      </c>
      <c r="BR709">
        <f t="shared" si="98"/>
        <v>0</v>
      </c>
    </row>
    <row r="710" spans="1:70" hidden="1">
      <c r="A710" s="16" t="str">
        <f t="shared" si="99"/>
        <v>BB_2026_AZ_2_4</v>
      </c>
      <c r="B710" t="s">
        <v>67</v>
      </c>
      <c r="C710">
        <v>44.830300000000001</v>
      </c>
      <c r="D710">
        <v>-124.0607</v>
      </c>
      <c r="E710" s="8">
        <v>46202</v>
      </c>
      <c r="F710">
        <v>2026</v>
      </c>
      <c r="G710" t="s">
        <v>64</v>
      </c>
      <c r="H710" t="s">
        <v>42</v>
      </c>
      <c r="I710">
        <v>2</v>
      </c>
      <c r="J710">
        <v>4</v>
      </c>
      <c r="K710" t="s">
        <v>46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 t="s">
        <v>44</v>
      </c>
      <c r="R710" s="23">
        <v>0</v>
      </c>
      <c r="S710" s="23">
        <v>0</v>
      </c>
      <c r="T710" s="23">
        <v>0</v>
      </c>
      <c r="U710" s="23">
        <v>0</v>
      </c>
      <c r="V710" s="18" t="s">
        <v>44</v>
      </c>
      <c r="W710" s="18" t="s">
        <v>44</v>
      </c>
      <c r="X710" s="18" t="s">
        <v>44</v>
      </c>
      <c r="Y710" s="18" t="s">
        <v>44</v>
      </c>
      <c r="Z710" s="18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s="34">
        <v>0</v>
      </c>
      <c r="AH710">
        <v>17</v>
      </c>
      <c r="AI710">
        <v>61</v>
      </c>
      <c r="AJ710">
        <v>5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15</v>
      </c>
      <c r="AQ710" s="21">
        <f t="shared" si="94"/>
        <v>15</v>
      </c>
      <c r="AR710" s="12">
        <f t="shared" si="95"/>
        <v>100</v>
      </c>
      <c r="AS710">
        <v>35</v>
      </c>
      <c r="AT710">
        <v>5</v>
      </c>
      <c r="AU710">
        <v>0</v>
      </c>
      <c r="AV710">
        <v>0</v>
      </c>
      <c r="AW710">
        <v>0</v>
      </c>
      <c r="AX710">
        <v>30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 s="6">
        <f t="shared" si="97"/>
        <v>70</v>
      </c>
      <c r="BN710">
        <v>61</v>
      </c>
      <c r="BO710">
        <f t="shared" si="96"/>
        <v>61</v>
      </c>
      <c r="BP710">
        <v>5</v>
      </c>
      <c r="BQ710">
        <f>SUM(BP710,BB710,BK710)</f>
        <v>5</v>
      </c>
      <c r="BR710">
        <f t="shared" si="98"/>
        <v>0</v>
      </c>
    </row>
    <row r="711" spans="1:70" hidden="1">
      <c r="A711" s="16" t="str">
        <f t="shared" si="99"/>
        <v>BB_2026_AZ_2_5</v>
      </c>
      <c r="B711" t="s">
        <v>67</v>
      </c>
      <c r="C711">
        <v>44.830300000000001</v>
      </c>
      <c r="D711">
        <v>-124.0607</v>
      </c>
      <c r="E711" s="8">
        <v>46202</v>
      </c>
      <c r="F711">
        <v>2026</v>
      </c>
      <c r="G711" t="s">
        <v>64</v>
      </c>
      <c r="H711" t="s">
        <v>42</v>
      </c>
      <c r="I711">
        <v>2</v>
      </c>
      <c r="J711">
        <v>5</v>
      </c>
      <c r="K711" t="s">
        <v>43</v>
      </c>
      <c r="L711" s="23">
        <v>2</v>
      </c>
      <c r="M711" s="23">
        <v>2</v>
      </c>
      <c r="N711" s="23">
        <v>0</v>
      </c>
      <c r="O711" s="23">
        <v>0</v>
      </c>
      <c r="P711" s="23">
        <v>0</v>
      </c>
      <c r="Q711" s="23" t="s">
        <v>44</v>
      </c>
      <c r="R711" s="23">
        <v>0</v>
      </c>
      <c r="S711" s="23">
        <v>0</v>
      </c>
      <c r="T711" s="23">
        <v>3</v>
      </c>
      <c r="U711" s="23">
        <v>3</v>
      </c>
      <c r="V711" s="18" t="s">
        <v>44</v>
      </c>
      <c r="W711" s="18" t="s">
        <v>44</v>
      </c>
      <c r="X711" s="18" t="s">
        <v>44</v>
      </c>
      <c r="Y711" s="18" t="s">
        <v>44</v>
      </c>
      <c r="Z711" s="18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s="34">
        <v>2</v>
      </c>
      <c r="AH711">
        <v>14</v>
      </c>
      <c r="AI711">
        <v>69</v>
      </c>
      <c r="AJ711">
        <v>2</v>
      </c>
      <c r="AK711">
        <v>0</v>
      </c>
      <c r="AL711">
        <v>3</v>
      </c>
      <c r="AM711">
        <v>0</v>
      </c>
      <c r="AN711">
        <v>0</v>
      </c>
      <c r="AO711">
        <v>0</v>
      </c>
      <c r="AP711">
        <v>12</v>
      </c>
      <c r="AQ711" s="21">
        <f t="shared" si="94"/>
        <v>10</v>
      </c>
      <c r="AR711" s="12">
        <f t="shared" si="95"/>
        <v>100</v>
      </c>
      <c r="AS711">
        <v>20</v>
      </c>
      <c r="AT711" s="31">
        <v>37</v>
      </c>
      <c r="AU711">
        <v>0</v>
      </c>
      <c r="AV711">
        <v>0</v>
      </c>
      <c r="AW711">
        <v>5</v>
      </c>
      <c r="AX711">
        <v>8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 s="6">
        <f t="shared" si="97"/>
        <v>70</v>
      </c>
      <c r="BN711">
        <v>69</v>
      </c>
      <c r="BO711">
        <f t="shared" si="96"/>
        <v>69</v>
      </c>
      <c r="BP711">
        <v>2</v>
      </c>
      <c r="BQ711">
        <f>SUM(BP711,BB711,BK711)</f>
        <v>2</v>
      </c>
      <c r="BR711">
        <f t="shared" si="98"/>
        <v>0</v>
      </c>
    </row>
    <row r="712" spans="1:70" hidden="1">
      <c r="A712" s="16" t="str">
        <f t="shared" si="99"/>
        <v>BB_2026_UPZ_1_1</v>
      </c>
      <c r="B712" t="s">
        <v>67</v>
      </c>
      <c r="C712">
        <v>44.830300000000001</v>
      </c>
      <c r="D712">
        <v>-124.0607</v>
      </c>
      <c r="E712" s="8">
        <v>46202</v>
      </c>
      <c r="F712">
        <v>2026</v>
      </c>
      <c r="G712" t="s">
        <v>64</v>
      </c>
      <c r="H712" t="s">
        <v>45</v>
      </c>
      <c r="I712">
        <v>1</v>
      </c>
      <c r="J712">
        <v>1</v>
      </c>
      <c r="K712" t="s">
        <v>46</v>
      </c>
      <c r="L712" s="23">
        <v>10</v>
      </c>
      <c r="M712" s="23">
        <v>10</v>
      </c>
      <c r="N712" s="23">
        <v>0</v>
      </c>
      <c r="O712" s="23">
        <v>0</v>
      </c>
      <c r="P712" s="23">
        <v>2</v>
      </c>
      <c r="Q712" s="23" t="s">
        <v>44</v>
      </c>
      <c r="R712" s="23">
        <v>0</v>
      </c>
      <c r="S712" s="23">
        <v>0</v>
      </c>
      <c r="T712" s="23">
        <v>12</v>
      </c>
      <c r="U712" s="23">
        <v>22</v>
      </c>
      <c r="AG712" s="34">
        <v>7</v>
      </c>
      <c r="AH712">
        <v>0</v>
      </c>
      <c r="AI712">
        <v>80</v>
      </c>
      <c r="AJ712">
        <v>0</v>
      </c>
      <c r="AK712">
        <v>0</v>
      </c>
      <c r="AL712">
        <v>7</v>
      </c>
      <c r="AM712">
        <v>4</v>
      </c>
      <c r="AN712">
        <v>2</v>
      </c>
      <c r="AO712">
        <v>3</v>
      </c>
      <c r="AP712">
        <v>4</v>
      </c>
      <c r="AQ712" s="21">
        <f t="shared" si="94"/>
        <v>-3</v>
      </c>
      <c r="AR712" s="12">
        <f t="shared" si="95"/>
        <v>100</v>
      </c>
      <c r="AS712">
        <v>0</v>
      </c>
      <c r="AT712">
        <v>32</v>
      </c>
      <c r="AU712">
        <v>6</v>
      </c>
      <c r="AV712">
        <v>0</v>
      </c>
      <c r="AW712">
        <v>0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 s="6">
        <f t="shared" si="97"/>
        <v>44</v>
      </c>
    </row>
    <row r="713" spans="1:70" hidden="1">
      <c r="A713" s="16" t="str">
        <f t="shared" si="99"/>
        <v>BB_2026_UPZ_1_2</v>
      </c>
      <c r="B713" t="s">
        <v>67</v>
      </c>
      <c r="C713">
        <v>44.830300000000001</v>
      </c>
      <c r="D713">
        <v>-124.0607</v>
      </c>
      <c r="E713" s="8">
        <v>46202</v>
      </c>
      <c r="F713">
        <v>2026</v>
      </c>
      <c r="G713" t="s">
        <v>64</v>
      </c>
      <c r="H713" t="s">
        <v>45</v>
      </c>
      <c r="I713">
        <v>1</v>
      </c>
      <c r="J713">
        <v>2</v>
      </c>
      <c r="K713" t="s">
        <v>46</v>
      </c>
      <c r="L713" s="23">
        <v>1</v>
      </c>
      <c r="M713" s="23">
        <v>1</v>
      </c>
      <c r="N713" s="23">
        <v>0</v>
      </c>
      <c r="O713" s="23">
        <v>0</v>
      </c>
      <c r="P713" s="23">
        <v>0</v>
      </c>
      <c r="Q713" s="23" t="s">
        <v>44</v>
      </c>
      <c r="R713" s="23">
        <v>0</v>
      </c>
      <c r="S713" s="23">
        <v>0</v>
      </c>
      <c r="T713" s="23">
        <v>9</v>
      </c>
      <c r="U713" s="23">
        <v>10</v>
      </c>
      <c r="V713" s="18">
        <v>4.2</v>
      </c>
      <c r="AG713" s="34">
        <v>1</v>
      </c>
      <c r="AH713">
        <v>1</v>
      </c>
      <c r="AI713">
        <v>96</v>
      </c>
      <c r="AJ713">
        <v>0</v>
      </c>
      <c r="AK713">
        <v>0.1</v>
      </c>
      <c r="AL713">
        <v>1</v>
      </c>
      <c r="AM713">
        <v>0.1</v>
      </c>
      <c r="AN713">
        <v>0</v>
      </c>
      <c r="AO713">
        <v>0</v>
      </c>
      <c r="AP713">
        <v>2</v>
      </c>
      <c r="AQ713" s="21">
        <f t="shared" si="94"/>
        <v>1</v>
      </c>
      <c r="AR713" s="12">
        <f t="shared" si="95"/>
        <v>100.19999999999999</v>
      </c>
      <c r="AS713">
        <v>0</v>
      </c>
      <c r="AT713">
        <v>0</v>
      </c>
      <c r="AU713">
        <v>16</v>
      </c>
      <c r="AV713">
        <v>0</v>
      </c>
      <c r="AW713">
        <v>0</v>
      </c>
      <c r="AX713">
        <v>32</v>
      </c>
      <c r="AY713">
        <v>0</v>
      </c>
      <c r="AZ713">
        <v>0.1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 s="6">
        <f t="shared" si="97"/>
        <v>48.1</v>
      </c>
    </row>
    <row r="714" spans="1:70" hidden="1">
      <c r="A714" s="16" t="str">
        <f t="shared" si="99"/>
        <v>BB_2026_UPZ_1_3</v>
      </c>
      <c r="B714" t="s">
        <v>67</v>
      </c>
      <c r="C714">
        <v>44.830300000000001</v>
      </c>
      <c r="D714">
        <v>-124.0607</v>
      </c>
      <c r="E714" s="8">
        <v>46202</v>
      </c>
      <c r="F714">
        <v>2026</v>
      </c>
      <c r="G714" t="s">
        <v>64</v>
      </c>
      <c r="H714" t="s">
        <v>45</v>
      </c>
      <c r="I714">
        <v>1</v>
      </c>
      <c r="J714">
        <v>3</v>
      </c>
      <c r="K714" t="s">
        <v>46</v>
      </c>
      <c r="L714" s="23">
        <v>7</v>
      </c>
      <c r="M714" s="23">
        <v>7</v>
      </c>
      <c r="N714" s="23">
        <v>0</v>
      </c>
      <c r="O714" s="23">
        <v>0</v>
      </c>
      <c r="P714" s="23">
        <v>2</v>
      </c>
      <c r="Q714" s="23" t="s">
        <v>44</v>
      </c>
      <c r="R714" s="23">
        <v>0</v>
      </c>
      <c r="S714" s="23">
        <v>0</v>
      </c>
      <c r="T714" s="23">
        <v>2</v>
      </c>
      <c r="U714" s="23">
        <v>11</v>
      </c>
      <c r="V714" s="18">
        <v>4.2</v>
      </c>
      <c r="W714" s="18">
        <v>4.5</v>
      </c>
      <c r="X714" s="18">
        <v>4.8</v>
      </c>
      <c r="Y714" s="18">
        <v>3</v>
      </c>
      <c r="Z714" s="18">
        <v>5</v>
      </c>
      <c r="AG714" s="34">
        <v>5</v>
      </c>
      <c r="AH714">
        <v>1</v>
      </c>
      <c r="AI714">
        <v>65</v>
      </c>
      <c r="AJ714">
        <v>0</v>
      </c>
      <c r="AK714">
        <v>10</v>
      </c>
      <c r="AL714">
        <v>9</v>
      </c>
      <c r="AM714">
        <v>2</v>
      </c>
      <c r="AN714">
        <v>6</v>
      </c>
      <c r="AO714">
        <v>0</v>
      </c>
      <c r="AP714">
        <v>7</v>
      </c>
      <c r="AQ714" s="21">
        <f t="shared" si="94"/>
        <v>2</v>
      </c>
      <c r="AR714" s="12">
        <f t="shared" si="95"/>
        <v>100</v>
      </c>
      <c r="AS714">
        <v>0</v>
      </c>
      <c r="AT714">
        <v>5</v>
      </c>
      <c r="AU714">
        <v>0</v>
      </c>
      <c r="AV714">
        <v>0</v>
      </c>
      <c r="AW714">
        <v>0</v>
      </c>
      <c r="AX714">
        <v>5</v>
      </c>
      <c r="AY714">
        <v>0</v>
      </c>
      <c r="AZ714">
        <v>38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 s="6">
        <f t="shared" si="97"/>
        <v>48</v>
      </c>
      <c r="BN714">
        <v>65</v>
      </c>
      <c r="BO714">
        <f t="shared" si="96"/>
        <v>65</v>
      </c>
      <c r="BP714">
        <v>0</v>
      </c>
      <c r="BQ714">
        <f>SUM(BP714,BB714,BK714)</f>
        <v>0</v>
      </c>
      <c r="BR714">
        <f t="shared" si="98"/>
        <v>0</v>
      </c>
    </row>
    <row r="715" spans="1:70" hidden="1">
      <c r="A715" s="16" t="str">
        <f t="shared" si="99"/>
        <v>BB_2026_UPZ_1_4</v>
      </c>
      <c r="B715" t="s">
        <v>67</v>
      </c>
      <c r="C715">
        <v>44.830300000000001</v>
      </c>
      <c r="D715">
        <v>-124.0607</v>
      </c>
      <c r="E715" s="8">
        <v>46202</v>
      </c>
      <c r="F715">
        <v>2026</v>
      </c>
      <c r="G715" t="s">
        <v>64</v>
      </c>
      <c r="H715" t="s">
        <v>45</v>
      </c>
      <c r="I715">
        <v>1</v>
      </c>
      <c r="J715">
        <v>4</v>
      </c>
      <c r="K715" t="s">
        <v>46</v>
      </c>
      <c r="L715" s="23">
        <v>30</v>
      </c>
      <c r="M715" s="23">
        <v>30</v>
      </c>
      <c r="N715" s="23">
        <v>0</v>
      </c>
      <c r="O715" s="23">
        <v>0</v>
      </c>
      <c r="P715" s="23">
        <v>9</v>
      </c>
      <c r="Q715" s="23" t="s">
        <v>44</v>
      </c>
      <c r="R715" s="23">
        <v>0</v>
      </c>
      <c r="S715" s="23">
        <v>0</v>
      </c>
      <c r="T715" s="23">
        <v>2</v>
      </c>
      <c r="U715" s="23">
        <v>32</v>
      </c>
      <c r="V715" s="18">
        <v>1.1000000000000001</v>
      </c>
      <c r="W715" s="18">
        <v>4.2</v>
      </c>
      <c r="X715" s="18">
        <v>1.5</v>
      </c>
      <c r="Y715" s="18">
        <v>5.6</v>
      </c>
      <c r="Z715" s="18">
        <v>3</v>
      </c>
      <c r="AG715" s="34">
        <v>17</v>
      </c>
      <c r="AH715">
        <v>2</v>
      </c>
      <c r="AI715">
        <v>57</v>
      </c>
      <c r="AJ715">
        <v>0</v>
      </c>
      <c r="AK715">
        <v>2</v>
      </c>
      <c r="AL715">
        <v>15</v>
      </c>
      <c r="AM715">
        <v>2</v>
      </c>
      <c r="AN715">
        <v>2</v>
      </c>
      <c r="AO715">
        <v>0</v>
      </c>
      <c r="AP715">
        <v>20</v>
      </c>
      <c r="AQ715" s="21">
        <f t="shared" si="94"/>
        <v>3</v>
      </c>
      <c r="AR715" s="12">
        <f t="shared" si="95"/>
        <v>100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10</v>
      </c>
      <c r="AY715">
        <v>0</v>
      </c>
      <c r="AZ715">
        <v>2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 s="6">
        <f t="shared" si="97"/>
        <v>12</v>
      </c>
      <c r="BN715">
        <v>57</v>
      </c>
      <c r="BO715">
        <f t="shared" si="96"/>
        <v>57</v>
      </c>
      <c r="BP715">
        <v>0</v>
      </c>
      <c r="BQ715">
        <f>SUM(BP715,BB715,BK715)</f>
        <v>0</v>
      </c>
      <c r="BR715">
        <f t="shared" si="98"/>
        <v>0</v>
      </c>
    </row>
    <row r="716" spans="1:70" hidden="1">
      <c r="A716" s="16" t="str">
        <f t="shared" si="99"/>
        <v>BB_2026_UPZ_1_5</v>
      </c>
      <c r="B716" t="s">
        <v>67</v>
      </c>
      <c r="C716">
        <v>44.830300000000001</v>
      </c>
      <c r="D716">
        <v>-124.0607</v>
      </c>
      <c r="E716" s="8">
        <v>46202</v>
      </c>
      <c r="F716">
        <v>2026</v>
      </c>
      <c r="G716" t="s">
        <v>64</v>
      </c>
      <c r="H716" t="s">
        <v>45</v>
      </c>
      <c r="I716">
        <v>1</v>
      </c>
      <c r="J716">
        <v>5</v>
      </c>
      <c r="K716" t="s">
        <v>46</v>
      </c>
      <c r="L716" s="23">
        <v>25</v>
      </c>
      <c r="M716" s="23">
        <v>24</v>
      </c>
      <c r="N716" s="23">
        <v>0</v>
      </c>
      <c r="O716" s="23">
        <v>1</v>
      </c>
      <c r="P716" s="23">
        <v>5</v>
      </c>
      <c r="Q716" s="23" t="s">
        <v>44</v>
      </c>
      <c r="R716" s="23">
        <v>0</v>
      </c>
      <c r="S716" s="23">
        <v>0</v>
      </c>
      <c r="T716" s="23">
        <v>2</v>
      </c>
      <c r="U716" s="23">
        <v>26</v>
      </c>
      <c r="V716" s="18">
        <v>5</v>
      </c>
      <c r="W716" s="18">
        <v>1.8</v>
      </c>
      <c r="X716" s="18">
        <v>5.0999999999999996</v>
      </c>
      <c r="Y716" s="18">
        <v>5.7</v>
      </c>
      <c r="Z716" s="18">
        <v>7.7</v>
      </c>
      <c r="AG716" s="34">
        <v>20</v>
      </c>
      <c r="AH716">
        <v>0.1</v>
      </c>
      <c r="AI716">
        <v>10</v>
      </c>
      <c r="AJ716">
        <v>0</v>
      </c>
      <c r="AK716">
        <v>12</v>
      </c>
      <c r="AL716">
        <v>42</v>
      </c>
      <c r="AM716">
        <v>4</v>
      </c>
      <c r="AN716">
        <v>2</v>
      </c>
      <c r="AO716">
        <v>7</v>
      </c>
      <c r="AP716">
        <v>23</v>
      </c>
      <c r="AQ716" s="21">
        <f t="shared" si="94"/>
        <v>3</v>
      </c>
      <c r="AR716" s="12">
        <f t="shared" si="95"/>
        <v>100.1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20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 s="6">
        <f t="shared" si="97"/>
        <v>20</v>
      </c>
      <c r="BN716">
        <v>10</v>
      </c>
      <c r="BO716">
        <f t="shared" si="96"/>
        <v>10</v>
      </c>
      <c r="BP716">
        <v>0</v>
      </c>
      <c r="BQ716">
        <f>SUM(BP716,BB716,BK716)</f>
        <v>0</v>
      </c>
      <c r="BR716">
        <f t="shared" si="98"/>
        <v>0</v>
      </c>
    </row>
    <row r="717" spans="1:70" hidden="1">
      <c r="A717" s="16" t="str">
        <f t="shared" si="99"/>
        <v>BB_2026_UPZ_2_1</v>
      </c>
      <c r="B717" t="s">
        <v>67</v>
      </c>
      <c r="C717">
        <v>44.830300000000001</v>
      </c>
      <c r="D717">
        <v>-124.0607</v>
      </c>
      <c r="E717" s="8">
        <v>46202</v>
      </c>
      <c r="F717">
        <v>2026</v>
      </c>
      <c r="G717" t="s">
        <v>64</v>
      </c>
      <c r="H717" t="s">
        <v>45</v>
      </c>
      <c r="I717">
        <v>2</v>
      </c>
      <c r="J717">
        <v>1</v>
      </c>
      <c r="K717" t="s">
        <v>46</v>
      </c>
      <c r="L717" s="23">
        <v>13</v>
      </c>
      <c r="M717" s="23">
        <v>13</v>
      </c>
      <c r="N717" s="23">
        <v>0</v>
      </c>
      <c r="O717" s="23">
        <v>0</v>
      </c>
      <c r="P717" s="23">
        <v>1</v>
      </c>
      <c r="Q717" s="23" t="s">
        <v>44</v>
      </c>
      <c r="R717" s="23">
        <v>0</v>
      </c>
      <c r="S717" s="23">
        <v>0</v>
      </c>
      <c r="T717" s="23">
        <v>15</v>
      </c>
      <c r="U717" s="23">
        <v>28</v>
      </c>
      <c r="V717" s="18">
        <v>6.4</v>
      </c>
      <c r="W717" s="18">
        <v>4.5999999999999996</v>
      </c>
      <c r="X717" s="18">
        <v>6.5</v>
      </c>
      <c r="Y717" s="18">
        <v>5</v>
      </c>
      <c r="Z717" s="18">
        <v>6.5</v>
      </c>
      <c r="AG717" s="34">
        <v>8</v>
      </c>
      <c r="AH717">
        <v>0</v>
      </c>
      <c r="AI717">
        <v>77</v>
      </c>
      <c r="AJ717">
        <v>6</v>
      </c>
      <c r="AK717">
        <v>0</v>
      </c>
      <c r="AL717">
        <v>9</v>
      </c>
      <c r="AM717">
        <v>2</v>
      </c>
      <c r="AN717">
        <v>1</v>
      </c>
      <c r="AO717">
        <v>1</v>
      </c>
      <c r="AP717">
        <v>4</v>
      </c>
      <c r="AQ717" s="21">
        <f t="shared" si="94"/>
        <v>-4</v>
      </c>
      <c r="AR717" s="12">
        <f t="shared" si="95"/>
        <v>100</v>
      </c>
      <c r="AS717">
        <v>0.1</v>
      </c>
      <c r="AT717">
        <v>6</v>
      </c>
      <c r="AU717">
        <v>0</v>
      </c>
      <c r="AV717">
        <v>0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 s="6">
        <f t="shared" si="97"/>
        <v>8.1</v>
      </c>
      <c r="BN717">
        <v>77</v>
      </c>
      <c r="BO717">
        <f t="shared" si="96"/>
        <v>77</v>
      </c>
      <c r="BP717">
        <v>6</v>
      </c>
      <c r="BQ717">
        <f>SUM(BP717,BB717,BK717)</f>
        <v>6</v>
      </c>
      <c r="BR717">
        <f t="shared" si="98"/>
        <v>0</v>
      </c>
    </row>
    <row r="718" spans="1:70" hidden="1">
      <c r="A718" s="16" t="str">
        <f t="shared" si="99"/>
        <v>BB_2026_UPZ_2_2</v>
      </c>
      <c r="B718" t="s">
        <v>67</v>
      </c>
      <c r="C718">
        <v>44.830300000000001</v>
      </c>
      <c r="D718">
        <v>-124.0607</v>
      </c>
      <c r="E718" s="8">
        <v>46202</v>
      </c>
      <c r="F718">
        <v>2026</v>
      </c>
      <c r="G718" t="s">
        <v>64</v>
      </c>
      <c r="H718" t="s">
        <v>45</v>
      </c>
      <c r="I718">
        <v>2</v>
      </c>
      <c r="J718">
        <v>2</v>
      </c>
      <c r="K718" t="s">
        <v>46</v>
      </c>
      <c r="L718" s="23">
        <v>5</v>
      </c>
      <c r="M718" s="23">
        <v>5</v>
      </c>
      <c r="N718" s="23">
        <v>0</v>
      </c>
      <c r="O718" s="23">
        <v>0</v>
      </c>
      <c r="P718" s="23">
        <v>0</v>
      </c>
      <c r="Q718" s="23" t="s">
        <v>44</v>
      </c>
      <c r="R718" s="23">
        <v>0</v>
      </c>
      <c r="S718" s="23">
        <v>0</v>
      </c>
      <c r="T718" s="23">
        <v>5</v>
      </c>
      <c r="U718" s="23">
        <v>10</v>
      </c>
      <c r="V718" s="18">
        <v>5.7</v>
      </c>
      <c r="W718" s="18">
        <v>4</v>
      </c>
      <c r="X718" s="18">
        <v>6.5</v>
      </c>
      <c r="Y718" s="18">
        <v>7.5</v>
      </c>
      <c r="Z718" s="18">
        <v>5.2</v>
      </c>
      <c r="AG718" s="34">
        <v>3</v>
      </c>
      <c r="AH718">
        <v>1</v>
      </c>
      <c r="AI718">
        <v>76</v>
      </c>
      <c r="AJ718">
        <v>5</v>
      </c>
      <c r="AK718">
        <v>0</v>
      </c>
      <c r="AL718">
        <v>1</v>
      </c>
      <c r="AM718">
        <v>1</v>
      </c>
      <c r="AN718">
        <v>0</v>
      </c>
      <c r="AO718">
        <v>16</v>
      </c>
      <c r="AP718">
        <v>0.1</v>
      </c>
      <c r="AQ718" s="21">
        <f t="shared" si="94"/>
        <v>-2.9</v>
      </c>
      <c r="AR718" s="12">
        <f t="shared" si="95"/>
        <v>100.1</v>
      </c>
      <c r="AS718">
        <v>2</v>
      </c>
      <c r="AT718">
        <v>6</v>
      </c>
      <c r="AU718">
        <v>0</v>
      </c>
      <c r="AV718">
        <v>0</v>
      </c>
      <c r="AW718">
        <v>5</v>
      </c>
      <c r="AX718">
        <v>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 s="6">
        <f t="shared" si="97"/>
        <v>17</v>
      </c>
      <c r="BN718">
        <v>76</v>
      </c>
      <c r="BO718">
        <f t="shared" si="96"/>
        <v>76</v>
      </c>
      <c r="BP718">
        <v>5</v>
      </c>
      <c r="BQ718">
        <f>SUM(BP718,BB718,BK718)</f>
        <v>5</v>
      </c>
      <c r="BR718">
        <f t="shared" si="98"/>
        <v>0</v>
      </c>
    </row>
    <row r="719" spans="1:70" hidden="1">
      <c r="A719" s="16" t="str">
        <f t="shared" si="99"/>
        <v>BB_2026_UPZ_2_3</v>
      </c>
      <c r="B719" t="s">
        <v>67</v>
      </c>
      <c r="C719">
        <v>44.830300000000001</v>
      </c>
      <c r="D719">
        <v>-124.0607</v>
      </c>
      <c r="E719" s="8">
        <v>46202</v>
      </c>
      <c r="F719">
        <v>2026</v>
      </c>
      <c r="G719" t="s">
        <v>64</v>
      </c>
      <c r="H719" t="s">
        <v>45</v>
      </c>
      <c r="I719">
        <v>2</v>
      </c>
      <c r="J719">
        <v>3</v>
      </c>
      <c r="K719" t="s">
        <v>46</v>
      </c>
      <c r="L719" s="23">
        <v>14</v>
      </c>
      <c r="M719" s="23">
        <v>5</v>
      </c>
      <c r="N719" s="23">
        <v>8</v>
      </c>
      <c r="O719" s="23">
        <v>1</v>
      </c>
      <c r="P719" s="23">
        <v>1</v>
      </c>
      <c r="Q719" s="23" t="s">
        <v>44</v>
      </c>
      <c r="R719" s="23">
        <v>0</v>
      </c>
      <c r="S719" s="23">
        <v>0</v>
      </c>
      <c r="T719" s="23">
        <v>3</v>
      </c>
      <c r="U719" s="23">
        <v>8</v>
      </c>
      <c r="V719" s="18">
        <v>7</v>
      </c>
      <c r="W719" s="18">
        <v>6.5</v>
      </c>
      <c r="X719" s="18">
        <v>6.2</v>
      </c>
      <c r="Y719" s="18">
        <v>5.5</v>
      </c>
      <c r="Z719" s="18">
        <v>7.2</v>
      </c>
      <c r="AG719" s="34">
        <v>10</v>
      </c>
      <c r="AH719">
        <v>4</v>
      </c>
      <c r="AI719">
        <v>27</v>
      </c>
      <c r="AJ719">
        <v>8</v>
      </c>
      <c r="AK719">
        <v>0</v>
      </c>
      <c r="AL719">
        <v>11</v>
      </c>
      <c r="AM719">
        <v>1</v>
      </c>
      <c r="AN719">
        <v>1</v>
      </c>
      <c r="AO719">
        <v>8</v>
      </c>
      <c r="AP719">
        <v>40</v>
      </c>
      <c r="AQ719" s="21">
        <f t="shared" si="94"/>
        <v>30</v>
      </c>
      <c r="AR719" s="12">
        <f t="shared" si="95"/>
        <v>100</v>
      </c>
      <c r="AS719">
        <v>1</v>
      </c>
      <c r="AT719">
        <v>5</v>
      </c>
      <c r="AU719">
        <v>0</v>
      </c>
      <c r="AV719">
        <v>6</v>
      </c>
      <c r="AW719">
        <v>0</v>
      </c>
      <c r="AX719">
        <v>0</v>
      </c>
      <c r="AY719">
        <v>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 s="6">
        <f t="shared" si="97"/>
        <v>20</v>
      </c>
      <c r="BN719">
        <v>27</v>
      </c>
      <c r="BO719">
        <f t="shared" si="96"/>
        <v>27</v>
      </c>
      <c r="BP719">
        <v>8</v>
      </c>
      <c r="BQ719">
        <f>SUM(BP719,BB719,BK719)</f>
        <v>8</v>
      </c>
      <c r="BR719">
        <f t="shared" si="98"/>
        <v>0</v>
      </c>
    </row>
    <row r="720" spans="1:70" hidden="1">
      <c r="A720" s="16" t="str">
        <f t="shared" si="99"/>
        <v>BB_2026_UPZ_2_4</v>
      </c>
      <c r="B720" t="s">
        <v>67</v>
      </c>
      <c r="C720">
        <v>44.830300000000001</v>
      </c>
      <c r="D720">
        <v>-124.0607</v>
      </c>
      <c r="E720" s="8">
        <v>46202</v>
      </c>
      <c r="F720">
        <v>2026</v>
      </c>
      <c r="G720" t="s">
        <v>64</v>
      </c>
      <c r="H720" t="s">
        <v>45</v>
      </c>
      <c r="I720">
        <v>2</v>
      </c>
      <c r="J720">
        <v>4</v>
      </c>
      <c r="K720" t="s">
        <v>46</v>
      </c>
      <c r="L720" s="23">
        <v>10</v>
      </c>
      <c r="M720" s="23">
        <v>4</v>
      </c>
      <c r="N720" s="23">
        <v>6</v>
      </c>
      <c r="O720" s="23">
        <v>0</v>
      </c>
      <c r="P720" s="23">
        <v>1</v>
      </c>
      <c r="Q720" s="23" t="s">
        <v>44</v>
      </c>
      <c r="R720" s="23">
        <v>0</v>
      </c>
      <c r="S720" s="23">
        <v>0</v>
      </c>
      <c r="T720" s="23">
        <v>8</v>
      </c>
      <c r="U720" s="23">
        <v>12</v>
      </c>
      <c r="V720" s="18">
        <v>5.6</v>
      </c>
      <c r="W720" s="18">
        <v>7</v>
      </c>
      <c r="X720" s="18">
        <v>6.6</v>
      </c>
      <c r="Y720" s="18">
        <v>6.3</v>
      </c>
      <c r="Z720" s="18">
        <v>6.4</v>
      </c>
      <c r="AG720" s="34">
        <v>7</v>
      </c>
      <c r="AH720">
        <v>12</v>
      </c>
      <c r="AI720">
        <v>5</v>
      </c>
      <c r="AJ720">
        <v>11</v>
      </c>
      <c r="AK720">
        <v>0</v>
      </c>
      <c r="AL720">
        <v>4</v>
      </c>
      <c r="AM720">
        <v>6</v>
      </c>
      <c r="AN720">
        <v>5</v>
      </c>
      <c r="AO720">
        <v>2</v>
      </c>
      <c r="AP720">
        <v>55</v>
      </c>
      <c r="AQ720" s="21">
        <f t="shared" si="94"/>
        <v>48</v>
      </c>
      <c r="AR720" s="12">
        <f t="shared" si="95"/>
        <v>100</v>
      </c>
      <c r="AS720">
        <v>3</v>
      </c>
      <c r="AT720">
        <v>0</v>
      </c>
      <c r="AU720">
        <v>0</v>
      </c>
      <c r="AV720">
        <v>0</v>
      </c>
      <c r="AW720" s="31">
        <v>42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 s="6">
        <f t="shared" si="97"/>
        <v>45</v>
      </c>
      <c r="BN720">
        <v>5</v>
      </c>
      <c r="BO720">
        <f t="shared" si="96"/>
        <v>5</v>
      </c>
      <c r="BP720">
        <v>11</v>
      </c>
      <c r="BQ720">
        <f>SUM(BP720,BB720,BK720)</f>
        <v>11</v>
      </c>
      <c r="BR720">
        <f t="shared" si="98"/>
        <v>0</v>
      </c>
    </row>
    <row r="721" spans="1:70">
      <c r="A721" s="16" t="str">
        <f t="shared" si="99"/>
        <v>BB_2026_UPZ_2_5</v>
      </c>
      <c r="B721" t="s">
        <v>67</v>
      </c>
      <c r="C721">
        <v>44.830300000000001</v>
      </c>
      <c r="D721">
        <v>-124.0607</v>
      </c>
      <c r="E721" s="8">
        <v>46202</v>
      </c>
      <c r="F721">
        <v>2026</v>
      </c>
      <c r="G721" t="s">
        <v>64</v>
      </c>
      <c r="H721" t="s">
        <v>45</v>
      </c>
      <c r="I721">
        <v>2</v>
      </c>
      <c r="J721">
        <v>5</v>
      </c>
      <c r="K721" t="s">
        <v>46</v>
      </c>
      <c r="L721" s="23">
        <v>12</v>
      </c>
      <c r="M721" s="23">
        <v>12</v>
      </c>
      <c r="N721" s="23">
        <v>0</v>
      </c>
      <c r="O721" s="23">
        <v>0</v>
      </c>
      <c r="P721" s="23">
        <v>0</v>
      </c>
      <c r="Q721" s="23" t="s">
        <v>44</v>
      </c>
      <c r="R721" s="23">
        <v>0</v>
      </c>
      <c r="S721" s="23">
        <v>0</v>
      </c>
      <c r="T721" s="23">
        <v>10</v>
      </c>
      <c r="U721" s="23">
        <v>22</v>
      </c>
      <c r="AG721" s="34">
        <v>6</v>
      </c>
      <c r="AH721">
        <v>0.1</v>
      </c>
      <c r="AI721">
        <v>72</v>
      </c>
      <c r="AJ721">
        <v>13</v>
      </c>
      <c r="AK721">
        <v>0</v>
      </c>
      <c r="AL721">
        <v>4</v>
      </c>
      <c r="AM721">
        <v>1</v>
      </c>
      <c r="AN721">
        <v>0</v>
      </c>
      <c r="AO721">
        <v>5</v>
      </c>
      <c r="AP721">
        <v>5</v>
      </c>
      <c r="AQ721" s="21">
        <f t="shared" si="94"/>
        <v>-1</v>
      </c>
      <c r="AR721" s="12">
        <f t="shared" si="95"/>
        <v>100.1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3</v>
      </c>
      <c r="AY721">
        <v>0</v>
      </c>
      <c r="AZ721">
        <v>0</v>
      </c>
      <c r="BA721">
        <v>0</v>
      </c>
      <c r="BB721">
        <v>2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0</v>
      </c>
      <c r="BM721" s="6">
        <f t="shared" si="97"/>
        <v>7</v>
      </c>
    </row>
    <row r="722" spans="1:70" hidden="1">
      <c r="A722" s="16" t="str">
        <f t="shared" si="99"/>
        <v>BB_2026_NPZ_1_1</v>
      </c>
      <c r="B722" t="s">
        <v>67</v>
      </c>
      <c r="C722">
        <v>44.830300000000001</v>
      </c>
      <c r="D722">
        <v>-124.0607</v>
      </c>
      <c r="E722" s="8">
        <v>46202</v>
      </c>
      <c r="F722">
        <v>2026</v>
      </c>
      <c r="G722" t="s">
        <v>64</v>
      </c>
      <c r="H722" t="s">
        <v>48</v>
      </c>
      <c r="I722">
        <v>1</v>
      </c>
      <c r="J722">
        <v>1</v>
      </c>
      <c r="K722" t="s">
        <v>57</v>
      </c>
      <c r="L722" s="23">
        <v>21</v>
      </c>
      <c r="M722" s="23">
        <v>4</v>
      </c>
      <c r="N722" s="23">
        <v>12</v>
      </c>
      <c r="O722" s="23">
        <v>5</v>
      </c>
      <c r="P722" s="23">
        <v>0</v>
      </c>
      <c r="Q722" s="23" t="s">
        <v>44</v>
      </c>
      <c r="R722" s="23">
        <v>0</v>
      </c>
      <c r="S722" s="23">
        <v>0</v>
      </c>
      <c r="T722" s="23">
        <v>2</v>
      </c>
      <c r="U722" s="23">
        <v>6</v>
      </c>
      <c r="AG722" s="34">
        <v>8</v>
      </c>
      <c r="AH722">
        <v>0.1</v>
      </c>
      <c r="AI722">
        <v>15</v>
      </c>
      <c r="AJ722">
        <v>7</v>
      </c>
      <c r="AK722">
        <v>0</v>
      </c>
      <c r="AL722">
        <v>58</v>
      </c>
      <c r="AM722">
        <v>6</v>
      </c>
      <c r="AN722">
        <v>7</v>
      </c>
      <c r="AO722">
        <v>0</v>
      </c>
      <c r="AP722">
        <v>7</v>
      </c>
      <c r="AQ722" s="21">
        <f t="shared" si="94"/>
        <v>-1</v>
      </c>
      <c r="AR722" s="12">
        <f t="shared" si="95"/>
        <v>100.1</v>
      </c>
      <c r="AS722">
        <v>0</v>
      </c>
      <c r="AT722">
        <v>0</v>
      </c>
      <c r="AU722">
        <v>3</v>
      </c>
      <c r="AV722">
        <v>0</v>
      </c>
      <c r="AW722">
        <v>0</v>
      </c>
      <c r="AX722">
        <v>4</v>
      </c>
      <c r="AY722">
        <v>0</v>
      </c>
      <c r="AZ722">
        <v>0</v>
      </c>
      <c r="BA722">
        <v>0</v>
      </c>
      <c r="BB722">
        <v>0.1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6</v>
      </c>
      <c r="BL722">
        <v>0</v>
      </c>
      <c r="BM722" s="6">
        <f t="shared" si="97"/>
        <v>7.1</v>
      </c>
    </row>
    <row r="723" spans="1:70" hidden="1">
      <c r="A723" s="16" t="str">
        <f t="shared" si="99"/>
        <v>BB_2026_NPZ_1_2</v>
      </c>
      <c r="B723" t="s">
        <v>67</v>
      </c>
      <c r="C723">
        <v>44.830300000000001</v>
      </c>
      <c r="D723">
        <v>-124.0607</v>
      </c>
      <c r="E723" s="8">
        <v>46202</v>
      </c>
      <c r="F723">
        <v>2026</v>
      </c>
      <c r="G723" t="s">
        <v>64</v>
      </c>
      <c r="H723" t="s">
        <v>48</v>
      </c>
      <c r="I723">
        <v>1</v>
      </c>
      <c r="J723">
        <v>2</v>
      </c>
      <c r="K723" t="s">
        <v>57</v>
      </c>
      <c r="L723" s="23">
        <v>28</v>
      </c>
      <c r="M723" s="23">
        <v>0</v>
      </c>
      <c r="N723" s="23">
        <v>19</v>
      </c>
      <c r="O723" s="23">
        <v>9</v>
      </c>
      <c r="P723" s="23">
        <v>1</v>
      </c>
      <c r="Q723" s="23" t="s">
        <v>44</v>
      </c>
      <c r="R723" s="23">
        <v>0</v>
      </c>
      <c r="S723" s="23">
        <v>0</v>
      </c>
      <c r="T723" s="23">
        <v>0</v>
      </c>
      <c r="U723" s="23">
        <v>0</v>
      </c>
      <c r="AG723" s="34">
        <v>27</v>
      </c>
      <c r="AH723">
        <v>0</v>
      </c>
      <c r="AI723">
        <v>0.1</v>
      </c>
      <c r="AJ723">
        <v>1</v>
      </c>
      <c r="AK723">
        <v>0</v>
      </c>
      <c r="AL723">
        <v>5</v>
      </c>
      <c r="AM723">
        <v>4</v>
      </c>
      <c r="AN723">
        <v>2</v>
      </c>
      <c r="AO723">
        <v>79</v>
      </c>
      <c r="AP723">
        <v>9</v>
      </c>
      <c r="AQ723" s="21">
        <f t="shared" si="94"/>
        <v>-18</v>
      </c>
      <c r="AR723" s="12">
        <f t="shared" si="95"/>
        <v>100.1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 s="6">
        <f t="shared" si="97"/>
        <v>0</v>
      </c>
      <c r="BN723">
        <v>0.1</v>
      </c>
      <c r="BO723">
        <f t="shared" si="96"/>
        <v>0.1</v>
      </c>
      <c r="BP723">
        <v>1</v>
      </c>
      <c r="BQ723">
        <f>SUM(BP723,BB723,BK723)</f>
        <v>1</v>
      </c>
      <c r="BR723">
        <f t="shared" si="98"/>
        <v>0</v>
      </c>
    </row>
    <row r="724" spans="1:70" hidden="1">
      <c r="A724" s="16" t="str">
        <f t="shared" si="99"/>
        <v>BB_2026_NPZ_1_3</v>
      </c>
      <c r="B724" t="s">
        <v>67</v>
      </c>
      <c r="C724">
        <v>44.830300000000001</v>
      </c>
      <c r="D724">
        <v>-124.0607</v>
      </c>
      <c r="E724" s="8">
        <v>46202</v>
      </c>
      <c r="F724">
        <v>2026</v>
      </c>
      <c r="G724" t="s">
        <v>64</v>
      </c>
      <c r="H724" t="s">
        <v>48</v>
      </c>
      <c r="I724">
        <v>1</v>
      </c>
      <c r="J724">
        <v>3</v>
      </c>
      <c r="K724" t="s">
        <v>47</v>
      </c>
      <c r="L724" s="23">
        <v>2</v>
      </c>
      <c r="M724" s="23">
        <v>0</v>
      </c>
      <c r="N724" s="23">
        <v>2</v>
      </c>
      <c r="O724" s="23">
        <v>0</v>
      </c>
      <c r="P724" s="23">
        <v>0</v>
      </c>
      <c r="Q724" s="23" t="s">
        <v>44</v>
      </c>
      <c r="R724" s="23">
        <v>0</v>
      </c>
      <c r="S724" s="23">
        <v>0</v>
      </c>
      <c r="T724" s="23">
        <v>0</v>
      </c>
      <c r="U724" s="23">
        <v>0</v>
      </c>
      <c r="V724" s="18">
        <v>3.5</v>
      </c>
      <c r="W724" s="18">
        <v>4.5</v>
      </c>
      <c r="AG724" s="34">
        <v>2</v>
      </c>
      <c r="AH724">
        <v>2</v>
      </c>
      <c r="AI724">
        <v>88</v>
      </c>
      <c r="AJ724">
        <v>1</v>
      </c>
      <c r="AK724">
        <v>1</v>
      </c>
      <c r="AL724">
        <v>0.1</v>
      </c>
      <c r="AM724">
        <v>8</v>
      </c>
      <c r="AN724">
        <v>0</v>
      </c>
      <c r="AO724">
        <v>0.1</v>
      </c>
      <c r="AP724">
        <v>0</v>
      </c>
      <c r="AQ724" s="21">
        <f t="shared" si="94"/>
        <v>-2</v>
      </c>
      <c r="AR724" s="12">
        <f t="shared" si="95"/>
        <v>100.19999999999999</v>
      </c>
      <c r="AS724">
        <v>0</v>
      </c>
      <c r="AT724">
        <v>12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 s="6">
        <f t="shared" si="97"/>
        <v>14</v>
      </c>
      <c r="BN724">
        <v>88</v>
      </c>
      <c r="BO724">
        <f t="shared" si="96"/>
        <v>88</v>
      </c>
      <c r="BP724">
        <v>1</v>
      </c>
      <c r="BQ724">
        <f>SUM(BP724,BB724,BK724)</f>
        <v>1</v>
      </c>
      <c r="BR724">
        <f t="shared" si="98"/>
        <v>0</v>
      </c>
    </row>
    <row r="725" spans="1:70" hidden="1">
      <c r="A725" s="16" t="str">
        <f t="shared" si="99"/>
        <v>BB_2026_NPZ_1_4</v>
      </c>
      <c r="B725" t="s">
        <v>67</v>
      </c>
      <c r="C725">
        <v>44.830300000000001</v>
      </c>
      <c r="D725">
        <v>-124.0607</v>
      </c>
      <c r="E725" s="8">
        <v>46202</v>
      </c>
      <c r="F725">
        <v>2026</v>
      </c>
      <c r="G725" t="s">
        <v>64</v>
      </c>
      <c r="H725" t="s">
        <v>48</v>
      </c>
      <c r="I725">
        <v>1</v>
      </c>
      <c r="J725">
        <v>4</v>
      </c>
      <c r="K725" t="s">
        <v>47</v>
      </c>
      <c r="L725" s="23">
        <v>1</v>
      </c>
      <c r="M725" s="23">
        <v>0</v>
      </c>
      <c r="N725" s="23">
        <v>1</v>
      </c>
      <c r="O725" s="23">
        <v>0</v>
      </c>
      <c r="P725" s="23">
        <v>0</v>
      </c>
      <c r="Q725" s="23" t="s">
        <v>44</v>
      </c>
      <c r="R725" s="23">
        <v>0</v>
      </c>
      <c r="S725" s="23">
        <v>0</v>
      </c>
      <c r="T725" s="23">
        <v>2</v>
      </c>
      <c r="U725" s="23">
        <v>2</v>
      </c>
      <c r="V725" s="18">
        <v>6.7</v>
      </c>
      <c r="AG725" s="34">
        <v>2</v>
      </c>
      <c r="AH725">
        <v>12</v>
      </c>
      <c r="AI725">
        <v>51</v>
      </c>
      <c r="AJ725">
        <v>0.1</v>
      </c>
      <c r="AK725">
        <v>11</v>
      </c>
      <c r="AL725">
        <v>3</v>
      </c>
      <c r="AM725">
        <v>16</v>
      </c>
      <c r="AN725">
        <v>5</v>
      </c>
      <c r="AO725">
        <v>0</v>
      </c>
      <c r="AP725">
        <v>2</v>
      </c>
      <c r="AQ725" s="21">
        <f t="shared" si="94"/>
        <v>0</v>
      </c>
      <c r="AR725" s="12">
        <f t="shared" si="95"/>
        <v>100.1</v>
      </c>
      <c r="AS725">
        <v>9</v>
      </c>
      <c r="AT725">
        <v>22</v>
      </c>
      <c r="AU725">
        <v>0</v>
      </c>
      <c r="AV725">
        <v>8</v>
      </c>
      <c r="AW725">
        <v>1</v>
      </c>
      <c r="AX725">
        <v>0</v>
      </c>
      <c r="AY725">
        <v>0</v>
      </c>
      <c r="AZ725">
        <v>32</v>
      </c>
      <c r="BA725">
        <v>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s="6">
        <f t="shared" si="97"/>
        <v>75</v>
      </c>
      <c r="BN725">
        <v>51</v>
      </c>
      <c r="BO725">
        <f t="shared" si="96"/>
        <v>51</v>
      </c>
      <c r="BP725">
        <v>0.1</v>
      </c>
      <c r="BQ725">
        <f>SUM(BP725,BB725,BK725)</f>
        <v>0.1</v>
      </c>
      <c r="BR725">
        <f t="shared" si="98"/>
        <v>0</v>
      </c>
    </row>
    <row r="726" spans="1:70" hidden="1">
      <c r="A726" s="16" t="str">
        <f t="shared" si="99"/>
        <v>BB_2026_NPZ_1_5</v>
      </c>
      <c r="B726" t="s">
        <v>67</v>
      </c>
      <c r="C726">
        <v>44.830300000000001</v>
      </c>
      <c r="D726">
        <v>-124.0607</v>
      </c>
      <c r="E726" s="8">
        <v>46202</v>
      </c>
      <c r="F726">
        <v>2026</v>
      </c>
      <c r="G726" t="s">
        <v>64</v>
      </c>
      <c r="H726" t="s">
        <v>48</v>
      </c>
      <c r="I726">
        <v>1</v>
      </c>
      <c r="J726">
        <v>5</v>
      </c>
      <c r="K726" t="s">
        <v>47</v>
      </c>
      <c r="L726" s="23">
        <v>4</v>
      </c>
      <c r="M726" s="23">
        <v>2</v>
      </c>
      <c r="N726" s="23">
        <v>1</v>
      </c>
      <c r="O726" s="23">
        <v>1</v>
      </c>
      <c r="P726" s="23">
        <v>0</v>
      </c>
      <c r="Q726" s="23" t="s">
        <v>44</v>
      </c>
      <c r="R726" s="23">
        <v>0</v>
      </c>
      <c r="S726" s="23">
        <v>0</v>
      </c>
      <c r="T726" s="23">
        <v>0</v>
      </c>
      <c r="U726" s="23">
        <v>2</v>
      </c>
      <c r="V726" s="18">
        <v>7.6</v>
      </c>
      <c r="W726" s="18">
        <v>4</v>
      </c>
      <c r="X726" s="18">
        <v>5.5</v>
      </c>
      <c r="Y726" s="18">
        <v>8</v>
      </c>
      <c r="AG726" s="34">
        <v>6</v>
      </c>
      <c r="AH726">
        <v>8</v>
      </c>
      <c r="AI726">
        <v>72</v>
      </c>
      <c r="AJ726">
        <v>6</v>
      </c>
      <c r="AK726">
        <v>0</v>
      </c>
      <c r="AL726">
        <v>0</v>
      </c>
      <c r="AM726">
        <v>4</v>
      </c>
      <c r="AN726">
        <v>10</v>
      </c>
      <c r="AO726">
        <v>0</v>
      </c>
      <c r="AP726">
        <v>0</v>
      </c>
      <c r="AQ726" s="21">
        <f t="shared" si="94"/>
        <v>-6</v>
      </c>
      <c r="AR726" s="12">
        <f t="shared" si="95"/>
        <v>100</v>
      </c>
      <c r="AS726">
        <v>30</v>
      </c>
      <c r="AT726">
        <v>14</v>
      </c>
      <c r="AU726">
        <v>0</v>
      </c>
      <c r="AV726">
        <v>8</v>
      </c>
      <c r="AW726">
        <v>4</v>
      </c>
      <c r="AX726">
        <v>0</v>
      </c>
      <c r="AY726">
        <v>0</v>
      </c>
      <c r="AZ726">
        <v>7</v>
      </c>
      <c r="BA726">
        <v>15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 s="6">
        <f t="shared" si="97"/>
        <v>78</v>
      </c>
      <c r="BN726">
        <v>72</v>
      </c>
      <c r="BO726">
        <f t="shared" si="96"/>
        <v>72</v>
      </c>
      <c r="BP726">
        <v>6</v>
      </c>
      <c r="BQ726">
        <f>SUM(BP726,BB726,BK726)</f>
        <v>6</v>
      </c>
      <c r="BR726">
        <f t="shared" si="98"/>
        <v>0</v>
      </c>
    </row>
    <row r="727" spans="1:70" hidden="1">
      <c r="A727" s="16" t="str">
        <f t="shared" si="99"/>
        <v>BB_2026_NPZ_2_1</v>
      </c>
      <c r="B727" t="s">
        <v>67</v>
      </c>
      <c r="C727">
        <v>44.830300000000001</v>
      </c>
      <c r="D727">
        <v>-124.0607</v>
      </c>
      <c r="E727" s="8">
        <v>46202</v>
      </c>
      <c r="F727">
        <v>2026</v>
      </c>
      <c r="G727" t="s">
        <v>64</v>
      </c>
      <c r="H727" t="s">
        <v>48</v>
      </c>
      <c r="I727">
        <v>2</v>
      </c>
      <c r="J727">
        <v>1</v>
      </c>
      <c r="K727" t="s">
        <v>57</v>
      </c>
      <c r="L727" s="23">
        <v>23</v>
      </c>
      <c r="M727" s="23">
        <v>0</v>
      </c>
      <c r="N727" s="23">
        <v>13</v>
      </c>
      <c r="O727" s="23">
        <v>10</v>
      </c>
      <c r="P727" s="23">
        <v>0</v>
      </c>
      <c r="Q727" s="23" t="s">
        <v>44</v>
      </c>
      <c r="R727" s="23">
        <v>0</v>
      </c>
      <c r="S727" s="23">
        <v>0</v>
      </c>
      <c r="T727" s="23">
        <v>0</v>
      </c>
      <c r="U727" s="23">
        <v>0</v>
      </c>
      <c r="V727" s="18">
        <v>6.5</v>
      </c>
      <c r="W727" s="18">
        <v>4.9000000000000004</v>
      </c>
      <c r="X727" s="18">
        <v>6.1</v>
      </c>
      <c r="Y727" s="18">
        <v>6.6</v>
      </c>
      <c r="Z727" s="18">
        <v>6.5</v>
      </c>
      <c r="AG727" s="34">
        <v>20</v>
      </c>
      <c r="AH727">
        <v>0</v>
      </c>
      <c r="AI727">
        <v>0.1</v>
      </c>
      <c r="AJ727">
        <v>1</v>
      </c>
      <c r="AK727">
        <v>0</v>
      </c>
      <c r="AL727">
        <v>2</v>
      </c>
      <c r="AM727">
        <v>2</v>
      </c>
      <c r="AN727">
        <v>0.1</v>
      </c>
      <c r="AO727">
        <v>0</v>
      </c>
      <c r="AP727">
        <v>95</v>
      </c>
      <c r="AQ727" s="21">
        <f t="shared" si="94"/>
        <v>75</v>
      </c>
      <c r="AR727" s="12">
        <f t="shared" si="95"/>
        <v>100.2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 s="6">
        <f t="shared" si="97"/>
        <v>0</v>
      </c>
      <c r="BN727">
        <v>0.1</v>
      </c>
      <c r="BO727">
        <f t="shared" si="96"/>
        <v>0.1</v>
      </c>
      <c r="BP727">
        <v>1</v>
      </c>
      <c r="BQ727">
        <f>SUM(BP727,BB727,BK727)</f>
        <v>1</v>
      </c>
      <c r="BR727">
        <f t="shared" si="98"/>
        <v>0</v>
      </c>
    </row>
    <row r="728" spans="1:70" hidden="1">
      <c r="A728" s="16" t="str">
        <f t="shared" si="99"/>
        <v>BB_2026_NPZ_2_2</v>
      </c>
      <c r="B728" t="s">
        <v>67</v>
      </c>
      <c r="C728">
        <v>44.830300000000001</v>
      </c>
      <c r="D728">
        <v>-124.0607</v>
      </c>
      <c r="E728" s="8">
        <v>46202</v>
      </c>
      <c r="F728">
        <v>2026</v>
      </c>
      <c r="G728" t="s">
        <v>64</v>
      </c>
      <c r="H728" t="s">
        <v>48</v>
      </c>
      <c r="I728">
        <v>2</v>
      </c>
      <c r="J728">
        <v>2</v>
      </c>
      <c r="K728" t="s">
        <v>57</v>
      </c>
      <c r="L728" s="23">
        <v>13</v>
      </c>
      <c r="M728" s="23">
        <v>0</v>
      </c>
      <c r="N728" s="23">
        <v>9</v>
      </c>
      <c r="O728" s="23">
        <v>4</v>
      </c>
      <c r="P728" s="23">
        <v>0</v>
      </c>
      <c r="Q728" s="23" t="s">
        <v>44</v>
      </c>
      <c r="R728" s="23">
        <v>0</v>
      </c>
      <c r="S728" s="23">
        <v>0</v>
      </c>
      <c r="T728" s="23">
        <v>0</v>
      </c>
      <c r="U728" s="23">
        <v>0</v>
      </c>
      <c r="V728" s="18">
        <v>6.6</v>
      </c>
      <c r="W728" s="18">
        <v>5</v>
      </c>
      <c r="X728" s="18">
        <v>5.2</v>
      </c>
      <c r="Y728" s="18">
        <v>8.3000000000000007</v>
      </c>
      <c r="Z728" s="18">
        <v>6.2</v>
      </c>
      <c r="AG728" s="34">
        <v>6</v>
      </c>
      <c r="AH728">
        <v>0</v>
      </c>
      <c r="AI728">
        <v>68</v>
      </c>
      <c r="AJ728">
        <v>0.1</v>
      </c>
      <c r="AK728">
        <v>0</v>
      </c>
      <c r="AL728">
        <v>17</v>
      </c>
      <c r="AM728">
        <v>10</v>
      </c>
      <c r="AN728">
        <v>1</v>
      </c>
      <c r="AO728">
        <v>1</v>
      </c>
      <c r="AP728">
        <v>3</v>
      </c>
      <c r="AQ728" s="21">
        <f t="shared" si="94"/>
        <v>-3</v>
      </c>
      <c r="AR728" s="12">
        <f t="shared" si="95"/>
        <v>100.1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0.1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 s="6">
        <f t="shared" si="97"/>
        <v>1.1000000000000001</v>
      </c>
      <c r="BN728">
        <v>68</v>
      </c>
      <c r="BO728">
        <f t="shared" si="96"/>
        <v>68</v>
      </c>
      <c r="BP728">
        <v>0.1</v>
      </c>
      <c r="BQ728">
        <f>SUM(BP728,BB728,BK728)</f>
        <v>0.1</v>
      </c>
      <c r="BR728">
        <f t="shared" si="98"/>
        <v>0</v>
      </c>
    </row>
    <row r="729" spans="1:70" hidden="1">
      <c r="A729" s="16" t="str">
        <f t="shared" si="99"/>
        <v>BB_2026_NPZ_2_3</v>
      </c>
      <c r="B729" t="s">
        <v>67</v>
      </c>
      <c r="C729">
        <v>44.830300000000001</v>
      </c>
      <c r="D729">
        <v>-124.0607</v>
      </c>
      <c r="E729" s="8">
        <v>46202</v>
      </c>
      <c r="F729">
        <v>2026</v>
      </c>
      <c r="G729" t="s">
        <v>64</v>
      </c>
      <c r="H729" t="s">
        <v>48</v>
      </c>
      <c r="I729">
        <v>2</v>
      </c>
      <c r="J729">
        <v>3</v>
      </c>
      <c r="K729" t="s">
        <v>51</v>
      </c>
      <c r="L729" s="23">
        <v>28</v>
      </c>
      <c r="M729" s="23">
        <v>0</v>
      </c>
      <c r="N729" s="23">
        <v>6</v>
      </c>
      <c r="O729" s="23">
        <v>6</v>
      </c>
      <c r="P729" s="23">
        <v>0</v>
      </c>
      <c r="Q729" s="23" t="s">
        <v>44</v>
      </c>
      <c r="R729" s="23">
        <v>0</v>
      </c>
      <c r="S729" s="23">
        <v>0</v>
      </c>
      <c r="T729" s="23">
        <v>0</v>
      </c>
      <c r="U729" s="23">
        <v>0</v>
      </c>
      <c r="V729" s="18">
        <v>3.6</v>
      </c>
      <c r="W729" s="18">
        <v>6</v>
      </c>
      <c r="X729" s="18">
        <v>4.9000000000000004</v>
      </c>
      <c r="Y729" s="18">
        <v>6.3</v>
      </c>
      <c r="Z729" s="18">
        <v>7.4</v>
      </c>
      <c r="AG729" s="34">
        <v>29</v>
      </c>
      <c r="AH729">
        <v>0</v>
      </c>
      <c r="AI729">
        <v>1</v>
      </c>
      <c r="AJ729">
        <v>3</v>
      </c>
      <c r="AK729">
        <v>0</v>
      </c>
      <c r="AL729">
        <v>24</v>
      </c>
      <c r="AM729">
        <v>4</v>
      </c>
      <c r="AN729">
        <v>4</v>
      </c>
      <c r="AO729">
        <v>2</v>
      </c>
      <c r="AP729">
        <v>62</v>
      </c>
      <c r="AQ729" s="21">
        <f t="shared" si="94"/>
        <v>33</v>
      </c>
      <c r="AR729" s="12">
        <f t="shared" si="95"/>
        <v>100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 s="6">
        <f t="shared" si="97"/>
        <v>0</v>
      </c>
      <c r="BN729">
        <v>1</v>
      </c>
      <c r="BO729">
        <f t="shared" si="96"/>
        <v>1</v>
      </c>
      <c r="BP729">
        <v>3</v>
      </c>
      <c r="BQ729">
        <f>SUM(BP729,BB729,BK729)</f>
        <v>3</v>
      </c>
      <c r="BR729">
        <f t="shared" si="98"/>
        <v>0</v>
      </c>
    </row>
    <row r="730" spans="1:70" hidden="1">
      <c r="A730" s="16" t="str">
        <f t="shared" si="99"/>
        <v>BB_2026_NPZ_2_4</v>
      </c>
      <c r="B730" t="s">
        <v>67</v>
      </c>
      <c r="C730">
        <v>44.830300000000001</v>
      </c>
      <c r="D730">
        <v>-124.0607</v>
      </c>
      <c r="E730" s="8">
        <v>46202</v>
      </c>
      <c r="F730">
        <v>2026</v>
      </c>
      <c r="G730" t="s">
        <v>64</v>
      </c>
      <c r="H730" t="s">
        <v>48</v>
      </c>
      <c r="I730">
        <v>2</v>
      </c>
      <c r="J730">
        <v>4</v>
      </c>
      <c r="K730" t="s">
        <v>84</v>
      </c>
      <c r="L730" s="23">
        <v>29</v>
      </c>
      <c r="M730" s="23">
        <v>0</v>
      </c>
      <c r="N730" s="23">
        <v>25</v>
      </c>
      <c r="O730" s="23">
        <v>4</v>
      </c>
      <c r="P730" s="23">
        <v>0</v>
      </c>
      <c r="Q730" s="23" t="s">
        <v>44</v>
      </c>
      <c r="R730" s="23">
        <v>0</v>
      </c>
      <c r="S730" s="23">
        <v>0</v>
      </c>
      <c r="T730" s="23">
        <v>0</v>
      </c>
      <c r="U730" s="23">
        <v>0</v>
      </c>
      <c r="V730" s="18">
        <v>6.3</v>
      </c>
      <c r="W730" s="18">
        <v>7</v>
      </c>
      <c r="X730" s="18">
        <v>6.9</v>
      </c>
      <c r="Y730" s="18">
        <v>5.0999999999999996</v>
      </c>
      <c r="Z730" s="18">
        <v>6.1</v>
      </c>
      <c r="AG730" s="34">
        <v>20</v>
      </c>
      <c r="AH730">
        <v>0</v>
      </c>
      <c r="AI730">
        <v>4</v>
      </c>
      <c r="AJ730">
        <v>0.1</v>
      </c>
      <c r="AK730">
        <v>0</v>
      </c>
      <c r="AL730">
        <v>62</v>
      </c>
      <c r="AM730">
        <v>17</v>
      </c>
      <c r="AN730">
        <v>8</v>
      </c>
      <c r="AO730">
        <v>0.1</v>
      </c>
      <c r="AP730" s="31">
        <v>9</v>
      </c>
      <c r="AQ730" s="21">
        <f t="shared" si="94"/>
        <v>-11</v>
      </c>
      <c r="AR730" s="12">
        <f t="shared" si="95"/>
        <v>100.19999999999999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s="6">
        <f t="shared" si="97"/>
        <v>0</v>
      </c>
      <c r="BN730">
        <v>4</v>
      </c>
      <c r="BO730">
        <f t="shared" si="96"/>
        <v>4</v>
      </c>
      <c r="BP730">
        <v>0.1</v>
      </c>
      <c r="BQ730">
        <f>SUM(BP730,BB730,BK730)</f>
        <v>0.1</v>
      </c>
      <c r="BR730">
        <f t="shared" si="98"/>
        <v>0</v>
      </c>
    </row>
    <row r="731" spans="1:70" hidden="1">
      <c r="A731" s="16" t="str">
        <f t="shared" si="99"/>
        <v>BB_2026_NPZ_2_5</v>
      </c>
      <c r="B731" t="s">
        <v>67</v>
      </c>
      <c r="C731">
        <v>44.830300000000001</v>
      </c>
      <c r="D731">
        <v>-124.0607</v>
      </c>
      <c r="E731" s="8">
        <v>46202</v>
      </c>
      <c r="F731">
        <v>2026</v>
      </c>
      <c r="G731" t="s">
        <v>64</v>
      </c>
      <c r="H731" t="s">
        <v>48</v>
      </c>
      <c r="I731">
        <v>2</v>
      </c>
      <c r="J731">
        <v>5</v>
      </c>
      <c r="K731" t="s">
        <v>84</v>
      </c>
      <c r="L731" s="23">
        <v>11</v>
      </c>
      <c r="M731" s="23">
        <v>11</v>
      </c>
      <c r="N731" s="23">
        <v>10</v>
      </c>
      <c r="O731" s="23">
        <v>0</v>
      </c>
      <c r="P731" s="23">
        <v>0</v>
      </c>
      <c r="Q731" s="23" t="s">
        <v>44</v>
      </c>
      <c r="R731" s="23">
        <v>0</v>
      </c>
      <c r="S731" s="23">
        <v>0</v>
      </c>
      <c r="T731" s="23">
        <v>1</v>
      </c>
      <c r="U731" s="23">
        <v>2</v>
      </c>
      <c r="AG731" s="34">
        <v>9</v>
      </c>
      <c r="AH731">
        <v>0</v>
      </c>
      <c r="AI731">
        <v>6</v>
      </c>
      <c r="AJ731">
        <v>0.1</v>
      </c>
      <c r="AK731">
        <v>0</v>
      </c>
      <c r="AL731">
        <v>60</v>
      </c>
      <c r="AM731">
        <v>16</v>
      </c>
      <c r="AN731">
        <v>4</v>
      </c>
      <c r="AO731">
        <v>0</v>
      </c>
      <c r="AP731">
        <v>14</v>
      </c>
      <c r="AQ731" s="21">
        <f t="shared" si="94"/>
        <v>5</v>
      </c>
      <c r="AR731" s="12">
        <f t="shared" si="95"/>
        <v>100.1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 s="6">
        <f t="shared" si="97"/>
        <v>0</v>
      </c>
      <c r="BN731">
        <v>6</v>
      </c>
      <c r="BO731">
        <f t="shared" si="96"/>
        <v>6</v>
      </c>
      <c r="BP731">
        <v>0.1</v>
      </c>
      <c r="BQ731">
        <f>SUM(BP731,BB731,BK731)</f>
        <v>0.1</v>
      </c>
      <c r="BR731">
        <f t="shared" si="98"/>
        <v>0</v>
      </c>
    </row>
    <row r="732" spans="1:70" hidden="1">
      <c r="A732" s="16" t="str">
        <f t="shared" si="99"/>
        <v>FC_2026_AZ_1_1</v>
      </c>
      <c r="B732" t="s">
        <v>63</v>
      </c>
      <c r="C732">
        <v>44.8386</v>
      </c>
      <c r="D732">
        <v>-124.05875</v>
      </c>
      <c r="E732" s="8">
        <v>46203</v>
      </c>
      <c r="F732">
        <v>2026</v>
      </c>
      <c r="G732" t="s">
        <v>64</v>
      </c>
      <c r="H732" t="s">
        <v>42</v>
      </c>
      <c r="I732">
        <v>1</v>
      </c>
      <c r="J732">
        <v>1</v>
      </c>
      <c r="K732" t="s">
        <v>43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 t="s">
        <v>44</v>
      </c>
      <c r="R732" s="23">
        <v>0</v>
      </c>
      <c r="S732" s="23">
        <v>0</v>
      </c>
      <c r="T732" s="23">
        <v>0</v>
      </c>
      <c r="U732" s="23">
        <v>0</v>
      </c>
      <c r="V732" s="18" t="s">
        <v>44</v>
      </c>
      <c r="W732" s="18" t="s">
        <v>44</v>
      </c>
      <c r="X732" s="18" t="s">
        <v>44</v>
      </c>
      <c r="Y732" s="18" t="s">
        <v>44</v>
      </c>
      <c r="Z732" s="18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s="34">
        <v>0</v>
      </c>
      <c r="AH732">
        <v>0</v>
      </c>
      <c r="AI732">
        <v>3</v>
      </c>
      <c r="AJ732">
        <v>0.1</v>
      </c>
      <c r="AK732">
        <v>1</v>
      </c>
      <c r="AL732">
        <v>0</v>
      </c>
      <c r="AM732">
        <v>0</v>
      </c>
      <c r="AN732">
        <v>0</v>
      </c>
      <c r="AO732">
        <v>96</v>
      </c>
      <c r="AP732">
        <v>0</v>
      </c>
      <c r="AQ732" s="21">
        <f t="shared" si="94"/>
        <v>0</v>
      </c>
      <c r="AR732" s="12">
        <f t="shared" si="95"/>
        <v>100.1</v>
      </c>
      <c r="AS732">
        <v>4</v>
      </c>
      <c r="AT732">
        <v>0</v>
      </c>
      <c r="AU732">
        <v>0</v>
      </c>
      <c r="AV732">
        <v>0</v>
      </c>
      <c r="AW732">
        <v>12</v>
      </c>
      <c r="AX732">
        <v>0</v>
      </c>
      <c r="AY732">
        <v>0</v>
      </c>
      <c r="AZ732">
        <v>92</v>
      </c>
      <c r="BA732">
        <v>0</v>
      </c>
      <c r="BB732">
        <v>0.1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 s="6">
        <f t="shared" si="97"/>
        <v>108.1</v>
      </c>
      <c r="BN732">
        <v>3</v>
      </c>
      <c r="BO732">
        <f t="shared" si="96"/>
        <v>3</v>
      </c>
    </row>
    <row r="733" spans="1:70" hidden="1">
      <c r="A733" s="16" t="str">
        <f t="shared" si="99"/>
        <v>FC_2026_AZ_1_2</v>
      </c>
      <c r="B733" t="s">
        <v>63</v>
      </c>
      <c r="C733">
        <v>44.8386</v>
      </c>
      <c r="D733">
        <v>-124.05875</v>
      </c>
      <c r="E733" s="8">
        <v>46203</v>
      </c>
      <c r="F733">
        <v>2026</v>
      </c>
      <c r="G733" t="s">
        <v>64</v>
      </c>
      <c r="H733" t="s">
        <v>42</v>
      </c>
      <c r="I733">
        <v>1</v>
      </c>
      <c r="J733">
        <v>2</v>
      </c>
      <c r="K733" t="s">
        <v>43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 t="s">
        <v>44</v>
      </c>
      <c r="R733" s="23">
        <v>0</v>
      </c>
      <c r="S733" s="23">
        <v>0</v>
      </c>
      <c r="T733" s="23">
        <v>2</v>
      </c>
      <c r="U733" s="23">
        <v>2</v>
      </c>
      <c r="V733" s="18" t="s">
        <v>44</v>
      </c>
      <c r="W733" s="18" t="s">
        <v>44</v>
      </c>
      <c r="X733" s="18" t="s">
        <v>44</v>
      </c>
      <c r="Y733" s="18" t="s">
        <v>44</v>
      </c>
      <c r="Z733" s="18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s="34">
        <v>0</v>
      </c>
      <c r="AH733">
        <v>0</v>
      </c>
      <c r="AI733">
        <v>2</v>
      </c>
      <c r="AJ733">
        <v>0.1</v>
      </c>
      <c r="AK733">
        <v>1</v>
      </c>
      <c r="AL733">
        <v>0</v>
      </c>
      <c r="AM733">
        <v>0</v>
      </c>
      <c r="AN733">
        <v>1</v>
      </c>
      <c r="AO733">
        <v>96</v>
      </c>
      <c r="AP733">
        <v>0</v>
      </c>
      <c r="AQ733" s="21">
        <f t="shared" si="94"/>
        <v>0</v>
      </c>
      <c r="AR733" s="12">
        <f t="shared" si="95"/>
        <v>100.1</v>
      </c>
      <c r="AS733">
        <v>36</v>
      </c>
      <c r="AT733">
        <v>24</v>
      </c>
      <c r="AU733">
        <v>0</v>
      </c>
      <c r="AV733">
        <v>0</v>
      </c>
      <c r="AW733">
        <v>15</v>
      </c>
      <c r="AX733">
        <v>2</v>
      </c>
      <c r="AY733">
        <v>0</v>
      </c>
      <c r="AZ733">
        <v>80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 s="6">
        <f t="shared" si="97"/>
        <v>157</v>
      </c>
      <c r="BN733">
        <v>2</v>
      </c>
      <c r="BO733">
        <f t="shared" si="96"/>
        <v>2</v>
      </c>
      <c r="BP733">
        <v>0.1</v>
      </c>
      <c r="BQ733">
        <f>SUM(BP733,BB733,BK733)</f>
        <v>0.1</v>
      </c>
      <c r="BR733">
        <f t="shared" si="98"/>
        <v>0</v>
      </c>
    </row>
    <row r="734" spans="1:70" hidden="1">
      <c r="A734" s="16" t="str">
        <f t="shared" si="99"/>
        <v>FC_2026_AZ_1_3</v>
      </c>
      <c r="B734" t="s">
        <v>63</v>
      </c>
      <c r="C734">
        <v>44.8386</v>
      </c>
      <c r="D734">
        <v>-124.05875</v>
      </c>
      <c r="E734" s="8">
        <v>46203</v>
      </c>
      <c r="F734">
        <v>2026</v>
      </c>
      <c r="G734" t="s">
        <v>64</v>
      </c>
      <c r="H734" t="s">
        <v>42</v>
      </c>
      <c r="I734">
        <v>1</v>
      </c>
      <c r="J734">
        <v>3</v>
      </c>
      <c r="K734" t="s">
        <v>43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 t="s">
        <v>44</v>
      </c>
      <c r="R734" s="23">
        <v>0</v>
      </c>
      <c r="S734" s="23">
        <v>0</v>
      </c>
      <c r="T734" s="23">
        <v>5</v>
      </c>
      <c r="U734" s="23">
        <v>5</v>
      </c>
      <c r="V734" s="18" t="s">
        <v>44</v>
      </c>
      <c r="W734" s="18" t="s">
        <v>44</v>
      </c>
      <c r="X734" s="18" t="s">
        <v>44</v>
      </c>
      <c r="Y734" s="18" t="s">
        <v>44</v>
      </c>
      <c r="Z734" s="18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s="34">
        <v>0</v>
      </c>
      <c r="AH734">
        <v>1</v>
      </c>
      <c r="AI734">
        <v>81</v>
      </c>
      <c r="AJ734">
        <v>0</v>
      </c>
      <c r="AK734">
        <v>2</v>
      </c>
      <c r="AL734">
        <v>4</v>
      </c>
      <c r="AM734">
        <v>2</v>
      </c>
      <c r="AN734">
        <v>0</v>
      </c>
      <c r="AO734">
        <v>9</v>
      </c>
      <c r="AP734">
        <v>1</v>
      </c>
      <c r="AQ734" s="21">
        <f t="shared" si="94"/>
        <v>1</v>
      </c>
      <c r="AR734" s="12">
        <f t="shared" si="95"/>
        <v>100</v>
      </c>
      <c r="AS734">
        <v>75</v>
      </c>
      <c r="AT734">
        <v>6</v>
      </c>
      <c r="AU734">
        <v>0</v>
      </c>
      <c r="AV734">
        <v>0</v>
      </c>
      <c r="AW734">
        <v>0</v>
      </c>
      <c r="AX734">
        <v>20</v>
      </c>
      <c r="AY734">
        <v>0</v>
      </c>
      <c r="AZ734">
        <v>6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 s="6">
        <f t="shared" si="97"/>
        <v>107</v>
      </c>
      <c r="BN734">
        <v>81</v>
      </c>
      <c r="BO734">
        <f t="shared" si="96"/>
        <v>81</v>
      </c>
      <c r="BP734">
        <v>0</v>
      </c>
      <c r="BQ734">
        <f>SUM(BP734,BB734,BK734)</f>
        <v>0</v>
      </c>
      <c r="BR734">
        <f t="shared" si="98"/>
        <v>0</v>
      </c>
    </row>
    <row r="735" spans="1:70" hidden="1">
      <c r="A735" s="16" t="str">
        <f t="shared" si="99"/>
        <v>FC_2026_AZ_1_4</v>
      </c>
      <c r="B735" t="s">
        <v>63</v>
      </c>
      <c r="C735">
        <v>44.8386</v>
      </c>
      <c r="D735">
        <v>-124.05875</v>
      </c>
      <c r="E735" s="8">
        <v>46203</v>
      </c>
      <c r="F735">
        <v>2026</v>
      </c>
      <c r="G735" t="s">
        <v>64</v>
      </c>
      <c r="H735" t="s">
        <v>42</v>
      </c>
      <c r="I735">
        <v>1</v>
      </c>
      <c r="J735">
        <v>4</v>
      </c>
      <c r="K735" t="s">
        <v>43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 t="s">
        <v>44</v>
      </c>
      <c r="R735" s="23">
        <v>0</v>
      </c>
      <c r="S735" s="23">
        <v>0</v>
      </c>
      <c r="T735" s="23">
        <v>0</v>
      </c>
      <c r="U735" s="23">
        <v>0</v>
      </c>
      <c r="V735" s="18" t="s">
        <v>44</v>
      </c>
      <c r="W735" s="18" t="s">
        <v>44</v>
      </c>
      <c r="X735" s="18" t="s">
        <v>44</v>
      </c>
      <c r="Y735" s="18" t="s">
        <v>44</v>
      </c>
      <c r="Z735" s="18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s="34">
        <v>0</v>
      </c>
      <c r="AH735">
        <v>2</v>
      </c>
      <c r="AI735">
        <v>60</v>
      </c>
      <c r="AJ735">
        <v>0.1</v>
      </c>
      <c r="AK735">
        <v>0</v>
      </c>
      <c r="AL735">
        <v>23</v>
      </c>
      <c r="AM735">
        <v>10</v>
      </c>
      <c r="AN735">
        <v>2</v>
      </c>
      <c r="AO735">
        <v>2</v>
      </c>
      <c r="AP735">
        <v>1</v>
      </c>
      <c r="AQ735" s="21">
        <f t="shared" si="94"/>
        <v>1</v>
      </c>
      <c r="AR735" s="12">
        <f t="shared" si="95"/>
        <v>100.1</v>
      </c>
      <c r="AS735">
        <v>14</v>
      </c>
      <c r="AT735">
        <v>0</v>
      </c>
      <c r="AU735">
        <v>4</v>
      </c>
      <c r="AV735">
        <v>0</v>
      </c>
      <c r="AW735">
        <v>4</v>
      </c>
      <c r="AX735">
        <v>66</v>
      </c>
      <c r="AY735">
        <v>0</v>
      </c>
      <c r="AZ735">
        <v>0.1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 s="31">
        <v>4</v>
      </c>
      <c r="BH735">
        <v>0</v>
      </c>
      <c r="BI735">
        <v>0</v>
      </c>
      <c r="BJ735">
        <v>0</v>
      </c>
      <c r="BK735">
        <v>0</v>
      </c>
      <c r="BL735">
        <v>0</v>
      </c>
      <c r="BM735" s="6">
        <f t="shared" si="97"/>
        <v>92.1</v>
      </c>
    </row>
    <row r="736" spans="1:70" hidden="1">
      <c r="A736" s="16" t="str">
        <f t="shared" si="99"/>
        <v>FC_2026_AZ_1_5</v>
      </c>
      <c r="B736" t="s">
        <v>63</v>
      </c>
      <c r="C736">
        <v>44.8386</v>
      </c>
      <c r="D736">
        <v>-124.05875</v>
      </c>
      <c r="E736" s="8">
        <v>46203</v>
      </c>
      <c r="F736">
        <v>2026</v>
      </c>
      <c r="G736" t="s">
        <v>64</v>
      </c>
      <c r="H736" t="s">
        <v>42</v>
      </c>
      <c r="I736">
        <v>1</v>
      </c>
      <c r="J736">
        <v>5</v>
      </c>
      <c r="K736" t="s">
        <v>43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 t="s">
        <v>44</v>
      </c>
      <c r="R736" s="23">
        <v>0</v>
      </c>
      <c r="S736" s="23">
        <v>0</v>
      </c>
      <c r="T736" s="23">
        <v>0</v>
      </c>
      <c r="U736" s="23">
        <v>0</v>
      </c>
      <c r="V736" s="18" t="s">
        <v>44</v>
      </c>
      <c r="W736" s="18" t="s">
        <v>44</v>
      </c>
      <c r="X736" s="18" t="s">
        <v>44</v>
      </c>
      <c r="Y736" s="18" t="s">
        <v>44</v>
      </c>
      <c r="Z736" s="18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s="34">
        <v>0</v>
      </c>
      <c r="AH736">
        <v>25</v>
      </c>
      <c r="AI736">
        <v>6</v>
      </c>
      <c r="AJ736">
        <v>0</v>
      </c>
      <c r="AK736">
        <v>0.1</v>
      </c>
      <c r="AL736">
        <v>0</v>
      </c>
      <c r="AM736">
        <v>0</v>
      </c>
      <c r="AN736">
        <v>1</v>
      </c>
      <c r="AO736">
        <v>68</v>
      </c>
      <c r="AP736">
        <v>0</v>
      </c>
      <c r="AQ736" s="21">
        <f t="shared" ref="AQ736:AQ760" si="100">AP736-AG736</f>
        <v>0</v>
      </c>
      <c r="AR736" s="12">
        <f t="shared" ref="AR736:AR760" si="101">SUM(AH736:AP736)</f>
        <v>100.1</v>
      </c>
      <c r="AS736">
        <v>65</v>
      </c>
      <c r="AT736">
        <v>12</v>
      </c>
      <c r="AU736">
        <v>0</v>
      </c>
      <c r="AV736">
        <v>0</v>
      </c>
      <c r="AW736">
        <v>0</v>
      </c>
      <c r="AX736">
        <v>24</v>
      </c>
      <c r="AY736">
        <v>0</v>
      </c>
      <c r="AZ736">
        <v>1</v>
      </c>
      <c r="BA736">
        <v>0</v>
      </c>
      <c r="BB736">
        <v>0</v>
      </c>
      <c r="BC736">
        <v>22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 s="6">
        <f t="shared" si="97"/>
        <v>124</v>
      </c>
      <c r="BN736">
        <v>6</v>
      </c>
      <c r="BO736">
        <f t="shared" ref="BO736:BO759" si="102">SUM(BN736,AU736,BG736,BH736,BI736)</f>
        <v>6</v>
      </c>
      <c r="BP736">
        <v>0</v>
      </c>
      <c r="BQ736">
        <f>SUM(BP736,BB736,BK736)</f>
        <v>0</v>
      </c>
      <c r="BR736">
        <f t="shared" si="98"/>
        <v>0</v>
      </c>
    </row>
    <row r="737" spans="1:70" hidden="1">
      <c r="A737" s="16" t="str">
        <f t="shared" si="99"/>
        <v>FC_2026_AZ_2_1</v>
      </c>
      <c r="B737" t="s">
        <v>63</v>
      </c>
      <c r="C737">
        <v>44.8386</v>
      </c>
      <c r="D737">
        <v>-124.05875</v>
      </c>
      <c r="E737" s="8">
        <v>46203</v>
      </c>
      <c r="F737">
        <v>2026</v>
      </c>
      <c r="G737" t="s">
        <v>64</v>
      </c>
      <c r="H737" t="s">
        <v>42</v>
      </c>
      <c r="I737">
        <v>2</v>
      </c>
      <c r="J737">
        <v>1</v>
      </c>
      <c r="K737" t="s">
        <v>43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 t="s">
        <v>44</v>
      </c>
      <c r="R737" s="23">
        <v>0</v>
      </c>
      <c r="S737" s="23">
        <v>0</v>
      </c>
      <c r="T737" s="23">
        <v>0</v>
      </c>
      <c r="U737" s="23">
        <v>0</v>
      </c>
      <c r="V737" s="18" t="s">
        <v>44</v>
      </c>
      <c r="W737" s="18" t="s">
        <v>44</v>
      </c>
      <c r="X737" s="18" t="s">
        <v>44</v>
      </c>
      <c r="Y737" s="18" t="s">
        <v>44</v>
      </c>
      <c r="Z737" s="18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s="34">
        <v>0</v>
      </c>
      <c r="AH737">
        <v>0</v>
      </c>
      <c r="AI737">
        <v>3</v>
      </c>
      <c r="AJ737">
        <v>0</v>
      </c>
      <c r="AK737">
        <v>20</v>
      </c>
      <c r="AL737">
        <v>3</v>
      </c>
      <c r="AM737">
        <v>1</v>
      </c>
      <c r="AN737">
        <v>5</v>
      </c>
      <c r="AO737">
        <v>68</v>
      </c>
      <c r="AP737">
        <v>0</v>
      </c>
      <c r="AQ737" s="21">
        <f t="shared" si="100"/>
        <v>0</v>
      </c>
      <c r="AR737" s="12">
        <f t="shared" si="101"/>
        <v>100</v>
      </c>
      <c r="AS737">
        <v>70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31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 s="6">
        <f t="shared" si="97"/>
        <v>101</v>
      </c>
      <c r="BN737">
        <v>3</v>
      </c>
      <c r="BO737">
        <f t="shared" si="102"/>
        <v>3</v>
      </c>
      <c r="BP737">
        <v>0</v>
      </c>
      <c r="BQ737">
        <f>SUM(BP737,BB737,BK737)</f>
        <v>0</v>
      </c>
      <c r="BR737">
        <f t="shared" si="98"/>
        <v>0</v>
      </c>
    </row>
    <row r="738" spans="1:70" hidden="1">
      <c r="A738" s="16" t="str">
        <f t="shared" si="99"/>
        <v>FC_2026_AZ_2_2</v>
      </c>
      <c r="B738" t="s">
        <v>63</v>
      </c>
      <c r="C738">
        <v>44.8386</v>
      </c>
      <c r="D738">
        <v>-124.05875</v>
      </c>
      <c r="E738" s="8">
        <v>46203</v>
      </c>
      <c r="F738">
        <v>2026</v>
      </c>
      <c r="G738" t="s">
        <v>64</v>
      </c>
      <c r="H738" t="s">
        <v>42</v>
      </c>
      <c r="I738">
        <v>2</v>
      </c>
      <c r="J738">
        <v>2</v>
      </c>
      <c r="K738" t="s">
        <v>43</v>
      </c>
      <c r="L738" s="23">
        <v>0</v>
      </c>
      <c r="M738" s="23">
        <v>0</v>
      </c>
      <c r="N738" s="23">
        <v>0</v>
      </c>
      <c r="O738" s="23">
        <v>0</v>
      </c>
      <c r="P738" s="23">
        <v>0</v>
      </c>
      <c r="Q738" s="23" t="s">
        <v>44</v>
      </c>
      <c r="R738" s="23">
        <v>0</v>
      </c>
      <c r="S738" s="23">
        <v>0</v>
      </c>
      <c r="T738" s="23">
        <v>0</v>
      </c>
      <c r="U738" s="23">
        <v>0</v>
      </c>
      <c r="V738" s="18" t="s">
        <v>44</v>
      </c>
      <c r="W738" s="18" t="s">
        <v>44</v>
      </c>
      <c r="X738" s="18" t="s">
        <v>44</v>
      </c>
      <c r="Y738" s="18" t="s">
        <v>44</v>
      </c>
      <c r="Z738" s="1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s="34">
        <v>0</v>
      </c>
      <c r="AH738">
        <v>0</v>
      </c>
      <c r="AI738">
        <v>6</v>
      </c>
      <c r="AJ738">
        <v>0</v>
      </c>
      <c r="AK738">
        <v>29</v>
      </c>
      <c r="AL738">
        <v>3</v>
      </c>
      <c r="AM738">
        <v>0</v>
      </c>
      <c r="AN738">
        <v>12</v>
      </c>
      <c r="AO738">
        <v>50</v>
      </c>
      <c r="AP738">
        <v>0</v>
      </c>
      <c r="AQ738" s="21">
        <f t="shared" si="100"/>
        <v>0</v>
      </c>
      <c r="AR738" s="12">
        <f t="shared" si="101"/>
        <v>100</v>
      </c>
      <c r="AS738">
        <v>9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81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 s="6">
        <f t="shared" si="97"/>
        <v>91</v>
      </c>
      <c r="BN738">
        <v>6</v>
      </c>
      <c r="BO738">
        <f t="shared" si="102"/>
        <v>6</v>
      </c>
      <c r="BP738">
        <v>0</v>
      </c>
      <c r="BQ738">
        <f>SUM(BP738,BB738,BK738)</f>
        <v>0</v>
      </c>
      <c r="BR738">
        <f t="shared" si="98"/>
        <v>0</v>
      </c>
    </row>
    <row r="739" spans="1:70" hidden="1">
      <c r="A739" s="16" t="str">
        <f t="shared" si="99"/>
        <v>FC_2026_AZ_2_3</v>
      </c>
      <c r="B739" t="s">
        <v>63</v>
      </c>
      <c r="C739">
        <v>44.8386</v>
      </c>
      <c r="D739">
        <v>-124.05875</v>
      </c>
      <c r="E739" s="8">
        <v>46203</v>
      </c>
      <c r="F739">
        <v>2026</v>
      </c>
      <c r="G739" t="s">
        <v>64</v>
      </c>
      <c r="H739" t="s">
        <v>42</v>
      </c>
      <c r="I739">
        <v>2</v>
      </c>
      <c r="J739">
        <v>3</v>
      </c>
      <c r="K739" t="s">
        <v>43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 t="s">
        <v>44</v>
      </c>
      <c r="R739" s="23">
        <v>0</v>
      </c>
      <c r="S739" s="23">
        <v>0</v>
      </c>
      <c r="T739" s="23">
        <v>0</v>
      </c>
      <c r="U739" s="23">
        <v>0</v>
      </c>
      <c r="V739" s="18" t="s">
        <v>44</v>
      </c>
      <c r="W739" s="18" t="s">
        <v>44</v>
      </c>
      <c r="X739" s="18" t="s">
        <v>44</v>
      </c>
      <c r="Y739" s="18" t="s">
        <v>44</v>
      </c>
      <c r="Z739" s="18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s="34">
        <v>0</v>
      </c>
      <c r="AH739">
        <v>3</v>
      </c>
      <c r="AI739">
        <v>13</v>
      </c>
      <c r="AJ739">
        <v>0</v>
      </c>
      <c r="AK739">
        <v>25</v>
      </c>
      <c r="AL739">
        <v>5</v>
      </c>
      <c r="AM739">
        <v>0</v>
      </c>
      <c r="AN739">
        <v>0</v>
      </c>
      <c r="AO739">
        <v>47</v>
      </c>
      <c r="AP739">
        <v>7</v>
      </c>
      <c r="AQ739" s="21">
        <f t="shared" si="100"/>
        <v>7</v>
      </c>
      <c r="AR739" s="12">
        <f t="shared" si="101"/>
        <v>100</v>
      </c>
      <c r="AS739">
        <v>0</v>
      </c>
      <c r="AT739">
        <v>4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84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4</v>
      </c>
      <c r="BH739">
        <v>0</v>
      </c>
      <c r="BI739">
        <v>0</v>
      </c>
      <c r="BJ739">
        <v>0</v>
      </c>
      <c r="BK739">
        <v>0</v>
      </c>
      <c r="BL739">
        <v>0</v>
      </c>
      <c r="BM739" s="6">
        <f t="shared" si="97"/>
        <v>92</v>
      </c>
    </row>
    <row r="740" spans="1:70" hidden="1">
      <c r="A740" s="16" t="str">
        <f t="shared" si="99"/>
        <v>FC_2026_AZ_2_4</v>
      </c>
      <c r="B740" t="s">
        <v>63</v>
      </c>
      <c r="C740">
        <v>44.8386</v>
      </c>
      <c r="D740">
        <v>-124.05875</v>
      </c>
      <c r="E740" s="8">
        <v>46203</v>
      </c>
      <c r="F740">
        <v>2026</v>
      </c>
      <c r="G740" t="s">
        <v>64</v>
      </c>
      <c r="H740" t="s">
        <v>42</v>
      </c>
      <c r="I740">
        <v>2</v>
      </c>
      <c r="J740">
        <v>4</v>
      </c>
      <c r="K740" t="s">
        <v>43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 t="s">
        <v>44</v>
      </c>
      <c r="R740" s="23">
        <v>0</v>
      </c>
      <c r="S740" s="23">
        <v>0</v>
      </c>
      <c r="T740" s="23">
        <v>0</v>
      </c>
      <c r="U740" s="23">
        <v>0</v>
      </c>
      <c r="V740" s="18" t="s">
        <v>44</v>
      </c>
      <c r="W740" s="18" t="s">
        <v>44</v>
      </c>
      <c r="X740" s="18" t="s">
        <v>44</v>
      </c>
      <c r="Y740" s="18" t="s">
        <v>44</v>
      </c>
      <c r="Z740" s="18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s="34">
        <v>0</v>
      </c>
      <c r="AH740">
        <v>2</v>
      </c>
      <c r="AI740">
        <v>48</v>
      </c>
      <c r="AJ740">
        <v>1</v>
      </c>
      <c r="AK740">
        <v>6</v>
      </c>
      <c r="AL740">
        <v>0</v>
      </c>
      <c r="AM740">
        <v>1</v>
      </c>
      <c r="AN740">
        <v>14</v>
      </c>
      <c r="AO740">
        <v>27</v>
      </c>
      <c r="AP740">
        <v>1</v>
      </c>
      <c r="AQ740" s="21">
        <f t="shared" si="100"/>
        <v>1</v>
      </c>
      <c r="AR740" s="12">
        <f t="shared" si="101"/>
        <v>100</v>
      </c>
      <c r="AS740">
        <v>12</v>
      </c>
      <c r="AT740">
        <v>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 s="6">
        <f t="shared" si="97"/>
        <v>37</v>
      </c>
      <c r="BN740">
        <v>48</v>
      </c>
      <c r="BO740">
        <f t="shared" si="102"/>
        <v>48</v>
      </c>
      <c r="BP740">
        <v>1</v>
      </c>
      <c r="BQ740">
        <f>SUM(BP740,BB740,BK740)</f>
        <v>1</v>
      </c>
      <c r="BR740">
        <f t="shared" si="98"/>
        <v>0</v>
      </c>
    </row>
    <row r="741" spans="1:70" hidden="1">
      <c r="A741" s="16" t="str">
        <f t="shared" si="99"/>
        <v>FC_2026_AZ_2_5</v>
      </c>
      <c r="B741" t="s">
        <v>63</v>
      </c>
      <c r="C741">
        <v>44.8386</v>
      </c>
      <c r="D741">
        <v>-124.05875</v>
      </c>
      <c r="E741" s="8">
        <v>46203</v>
      </c>
      <c r="F741">
        <v>2026</v>
      </c>
      <c r="G741" t="s">
        <v>64</v>
      </c>
      <c r="H741" t="s">
        <v>42</v>
      </c>
      <c r="I741">
        <v>2</v>
      </c>
      <c r="J741">
        <v>5</v>
      </c>
      <c r="K741" t="s">
        <v>43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 t="s">
        <v>44</v>
      </c>
      <c r="R741" s="23">
        <v>0</v>
      </c>
      <c r="S741" s="23">
        <v>0</v>
      </c>
      <c r="T741" s="23">
        <v>0</v>
      </c>
      <c r="U741" s="23">
        <v>0</v>
      </c>
      <c r="V741" s="18" t="s">
        <v>44</v>
      </c>
      <c r="W741" s="18" t="s">
        <v>44</v>
      </c>
      <c r="X741" s="18" t="s">
        <v>44</v>
      </c>
      <c r="Y741" s="18" t="s">
        <v>44</v>
      </c>
      <c r="Z741" s="18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s="34">
        <v>0</v>
      </c>
      <c r="AH741">
        <v>7</v>
      </c>
      <c r="AI741">
        <v>66</v>
      </c>
      <c r="AJ741">
        <v>0.1</v>
      </c>
      <c r="AK741">
        <v>17</v>
      </c>
      <c r="AL741">
        <v>0.1</v>
      </c>
      <c r="AM741">
        <v>0</v>
      </c>
      <c r="AN741">
        <v>0</v>
      </c>
      <c r="AO741">
        <v>10</v>
      </c>
      <c r="AP741">
        <v>0</v>
      </c>
      <c r="AQ741" s="21">
        <f t="shared" si="100"/>
        <v>0</v>
      </c>
      <c r="AR741" s="12">
        <f t="shared" si="101"/>
        <v>100.19999999999999</v>
      </c>
      <c r="AS741">
        <v>0</v>
      </c>
      <c r="AT741">
        <v>40</v>
      </c>
      <c r="AU741">
        <v>0</v>
      </c>
      <c r="AV741">
        <v>0</v>
      </c>
      <c r="AW741">
        <v>0</v>
      </c>
      <c r="AX741">
        <v>3</v>
      </c>
      <c r="AY741">
        <v>0</v>
      </c>
      <c r="AZ741">
        <v>28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 s="6">
        <f t="shared" si="97"/>
        <v>71</v>
      </c>
      <c r="BN741">
        <v>66</v>
      </c>
      <c r="BO741">
        <f t="shared" si="102"/>
        <v>66</v>
      </c>
      <c r="BP741">
        <v>0.1</v>
      </c>
      <c r="BQ741">
        <f>SUM(BP741,BB741,BK741)</f>
        <v>0.1</v>
      </c>
      <c r="BR741">
        <f t="shared" si="98"/>
        <v>0</v>
      </c>
    </row>
    <row r="742" spans="1:70" hidden="1">
      <c r="A742" s="16" t="str">
        <f t="shared" si="99"/>
        <v>FC_2026_UPZ_1_1</v>
      </c>
      <c r="B742" t="s">
        <v>63</v>
      </c>
      <c r="C742">
        <v>44.8386</v>
      </c>
      <c r="D742">
        <v>-124.05875</v>
      </c>
      <c r="E742" s="8">
        <v>46203</v>
      </c>
      <c r="F742">
        <v>2026</v>
      </c>
      <c r="G742" t="s">
        <v>64</v>
      </c>
      <c r="H742" t="s">
        <v>45</v>
      </c>
      <c r="I742">
        <v>1</v>
      </c>
      <c r="J742">
        <v>1</v>
      </c>
      <c r="K742" t="s">
        <v>43</v>
      </c>
      <c r="L742" s="23">
        <v>2</v>
      </c>
      <c r="M742" s="23">
        <v>0</v>
      </c>
      <c r="N742" s="23">
        <v>2</v>
      </c>
      <c r="O742" s="23">
        <v>0</v>
      </c>
      <c r="P742" s="23">
        <v>3</v>
      </c>
      <c r="Q742" s="23" t="s">
        <v>44</v>
      </c>
      <c r="R742" s="23">
        <v>0</v>
      </c>
      <c r="S742" s="23">
        <v>0</v>
      </c>
      <c r="T742" s="23">
        <v>0</v>
      </c>
      <c r="U742" s="23">
        <v>0</v>
      </c>
      <c r="AG742" s="34">
        <v>3</v>
      </c>
      <c r="AH742">
        <v>0.1</v>
      </c>
      <c r="AI742">
        <v>66</v>
      </c>
      <c r="AJ742">
        <v>0</v>
      </c>
      <c r="AK742">
        <v>0</v>
      </c>
      <c r="AL742">
        <v>5</v>
      </c>
      <c r="AM742">
        <v>0.1</v>
      </c>
      <c r="AN742">
        <v>29</v>
      </c>
      <c r="AO742">
        <v>0</v>
      </c>
      <c r="AP742">
        <v>0</v>
      </c>
      <c r="AQ742" s="21">
        <f t="shared" si="100"/>
        <v>-3</v>
      </c>
      <c r="AR742" s="12">
        <f t="shared" si="101"/>
        <v>100.19999999999999</v>
      </c>
      <c r="AS742">
        <v>0</v>
      </c>
      <c r="AT742">
        <v>2</v>
      </c>
      <c r="AU742">
        <v>12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 s="6">
        <f t="shared" si="97"/>
        <v>14</v>
      </c>
    </row>
    <row r="743" spans="1:70" hidden="1">
      <c r="A743" s="16" t="str">
        <f t="shared" si="99"/>
        <v>FC_2026_UPZ_1_2</v>
      </c>
      <c r="B743" t="s">
        <v>63</v>
      </c>
      <c r="C743">
        <v>44.8386</v>
      </c>
      <c r="D743">
        <v>-124.05875</v>
      </c>
      <c r="E743" s="8">
        <v>46203</v>
      </c>
      <c r="F743">
        <v>2026</v>
      </c>
      <c r="G743" t="s">
        <v>64</v>
      </c>
      <c r="H743" t="s">
        <v>45</v>
      </c>
      <c r="I743">
        <v>1</v>
      </c>
      <c r="J743">
        <v>2</v>
      </c>
      <c r="K743" t="s">
        <v>43</v>
      </c>
      <c r="L743" s="23">
        <v>30</v>
      </c>
      <c r="M743" s="23">
        <v>30</v>
      </c>
      <c r="N743" s="23">
        <v>0</v>
      </c>
      <c r="O743" s="23">
        <v>0</v>
      </c>
      <c r="P743" s="23">
        <v>1</v>
      </c>
      <c r="Q743" s="23" t="s">
        <v>44</v>
      </c>
      <c r="R743" s="23">
        <v>0</v>
      </c>
      <c r="S743" s="23">
        <v>0</v>
      </c>
      <c r="T743" s="23">
        <v>0</v>
      </c>
      <c r="U743" s="23">
        <v>31</v>
      </c>
      <c r="AG743" s="34">
        <v>26</v>
      </c>
      <c r="AH743">
        <v>3</v>
      </c>
      <c r="AJ743">
        <v>0</v>
      </c>
      <c r="AK743">
        <v>0</v>
      </c>
      <c r="AL743">
        <v>10</v>
      </c>
      <c r="AM743">
        <v>1</v>
      </c>
      <c r="AN743">
        <v>2</v>
      </c>
      <c r="AO743">
        <v>0</v>
      </c>
      <c r="AP743">
        <v>42</v>
      </c>
      <c r="AQ743" s="21">
        <f t="shared" si="100"/>
        <v>16</v>
      </c>
      <c r="AR743" s="12">
        <f t="shared" si="101"/>
        <v>58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 s="6">
        <f t="shared" si="97"/>
        <v>0</v>
      </c>
      <c r="BO743">
        <f t="shared" si="102"/>
        <v>0</v>
      </c>
      <c r="BP743">
        <v>0</v>
      </c>
      <c r="BQ743">
        <f>SUM(BP743,BB743,BK743)</f>
        <v>0</v>
      </c>
      <c r="BR743">
        <f t="shared" si="98"/>
        <v>0</v>
      </c>
    </row>
    <row r="744" spans="1:70" hidden="1">
      <c r="A744" s="16" t="str">
        <f t="shared" si="99"/>
        <v>FC_2026_UPZ_1_4</v>
      </c>
      <c r="B744" t="s">
        <v>63</v>
      </c>
      <c r="C744">
        <v>44.8386</v>
      </c>
      <c r="D744">
        <v>-124.05875</v>
      </c>
      <c r="E744" s="8">
        <v>46203</v>
      </c>
      <c r="F744">
        <v>2026</v>
      </c>
      <c r="G744" t="s">
        <v>64</v>
      </c>
      <c r="H744" t="s">
        <v>45</v>
      </c>
      <c r="I744">
        <v>1</v>
      </c>
      <c r="J744">
        <v>4</v>
      </c>
      <c r="K744" t="s">
        <v>43</v>
      </c>
      <c r="L744" s="23">
        <v>50</v>
      </c>
      <c r="M744" s="23">
        <v>50</v>
      </c>
      <c r="N744" s="23">
        <v>0</v>
      </c>
      <c r="O744" s="23">
        <v>0</v>
      </c>
      <c r="P744" s="23">
        <v>6</v>
      </c>
      <c r="Q744" s="23" t="s">
        <v>44</v>
      </c>
      <c r="R744" s="23">
        <v>0</v>
      </c>
      <c r="S744" s="23">
        <v>0</v>
      </c>
      <c r="T744" s="23">
        <v>5</v>
      </c>
      <c r="U744" s="23">
        <v>55</v>
      </c>
      <c r="AG744" s="34">
        <v>31</v>
      </c>
      <c r="AH744">
        <v>0</v>
      </c>
      <c r="AI744">
        <v>51</v>
      </c>
      <c r="AJ744">
        <v>0</v>
      </c>
      <c r="AK744">
        <v>0</v>
      </c>
      <c r="AL744">
        <v>13</v>
      </c>
      <c r="AM744">
        <v>3</v>
      </c>
      <c r="AN744">
        <v>2</v>
      </c>
      <c r="AO744">
        <v>0</v>
      </c>
      <c r="AP744">
        <v>31</v>
      </c>
      <c r="AQ744" s="21">
        <f t="shared" si="100"/>
        <v>0</v>
      </c>
      <c r="AR744" s="12">
        <f t="shared" si="101"/>
        <v>100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 s="6">
        <f t="shared" si="97"/>
        <v>0</v>
      </c>
      <c r="BN744">
        <v>51</v>
      </c>
      <c r="BO744">
        <f t="shared" si="102"/>
        <v>51</v>
      </c>
      <c r="BP744">
        <v>0</v>
      </c>
      <c r="BQ744">
        <f>SUM(BP744,BB744,BK744)</f>
        <v>0</v>
      </c>
      <c r="BR744">
        <f t="shared" si="98"/>
        <v>0</v>
      </c>
    </row>
    <row r="745" spans="1:70" hidden="1">
      <c r="A745" s="16" t="str">
        <f t="shared" si="99"/>
        <v>FC_2026_UPZ_1_5</v>
      </c>
      <c r="B745" t="s">
        <v>63</v>
      </c>
      <c r="C745">
        <v>44.8386</v>
      </c>
      <c r="D745">
        <v>-124.05875</v>
      </c>
      <c r="E745" s="8">
        <v>46203</v>
      </c>
      <c r="F745">
        <v>2026</v>
      </c>
      <c r="G745" t="s">
        <v>64</v>
      </c>
      <c r="H745" t="s">
        <v>45</v>
      </c>
      <c r="I745">
        <v>1</v>
      </c>
      <c r="J745">
        <v>5</v>
      </c>
      <c r="K745" t="s">
        <v>43</v>
      </c>
      <c r="L745" s="23">
        <v>7</v>
      </c>
      <c r="M745" s="23">
        <v>1</v>
      </c>
      <c r="N745" s="23">
        <v>6</v>
      </c>
      <c r="O745" s="23">
        <v>0</v>
      </c>
      <c r="P745" s="23">
        <v>1</v>
      </c>
      <c r="Q745" s="23" t="s">
        <v>44</v>
      </c>
      <c r="R745" s="23">
        <v>0</v>
      </c>
      <c r="S745" s="23">
        <v>0</v>
      </c>
      <c r="T745" s="23">
        <v>1</v>
      </c>
      <c r="U745" s="23">
        <v>8</v>
      </c>
      <c r="AH745">
        <v>0.1</v>
      </c>
      <c r="AI745">
        <v>8</v>
      </c>
      <c r="AJ745">
        <v>0</v>
      </c>
      <c r="AK745">
        <v>0</v>
      </c>
      <c r="AL745">
        <v>4</v>
      </c>
      <c r="AM745">
        <v>2</v>
      </c>
      <c r="AN745">
        <v>85</v>
      </c>
      <c r="AO745">
        <v>1</v>
      </c>
      <c r="AP745">
        <v>0</v>
      </c>
      <c r="AQ745" s="21">
        <f>AP745-AG745</f>
        <v>0</v>
      </c>
      <c r="AR745" s="12">
        <f t="shared" si="101"/>
        <v>100.1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 s="6">
        <f t="shared" si="97"/>
        <v>2</v>
      </c>
      <c r="BN745">
        <v>8</v>
      </c>
      <c r="BO745">
        <f t="shared" si="102"/>
        <v>8</v>
      </c>
      <c r="BP745">
        <v>0</v>
      </c>
      <c r="BQ745">
        <f>SUM(BP745,BB745,BK745)</f>
        <v>0</v>
      </c>
      <c r="BR745">
        <f t="shared" si="98"/>
        <v>0</v>
      </c>
    </row>
    <row r="746" spans="1:70" hidden="1">
      <c r="A746" s="16" t="str">
        <f t="shared" si="99"/>
        <v>FC_2026_UPZ_2_1</v>
      </c>
      <c r="B746" t="s">
        <v>63</v>
      </c>
      <c r="C746">
        <v>44.8386</v>
      </c>
      <c r="D746">
        <v>-124.05875</v>
      </c>
      <c r="E746" s="8">
        <v>46203</v>
      </c>
      <c r="F746">
        <v>2026</v>
      </c>
      <c r="G746" t="s">
        <v>64</v>
      </c>
      <c r="H746" t="s">
        <v>45</v>
      </c>
      <c r="I746">
        <v>2</v>
      </c>
      <c r="J746">
        <v>1</v>
      </c>
      <c r="K746" t="s">
        <v>43</v>
      </c>
      <c r="L746" s="23">
        <v>51</v>
      </c>
      <c r="M746" s="23">
        <v>51</v>
      </c>
      <c r="N746" s="23">
        <v>0</v>
      </c>
      <c r="O746" s="23">
        <v>0</v>
      </c>
      <c r="P746" s="23">
        <v>7</v>
      </c>
      <c r="Q746" s="23" t="s">
        <v>44</v>
      </c>
      <c r="R746" s="23">
        <v>0</v>
      </c>
      <c r="S746" s="23">
        <v>0</v>
      </c>
      <c r="T746" s="23">
        <v>3</v>
      </c>
      <c r="U746" s="23">
        <v>54</v>
      </c>
      <c r="AG746" s="34">
        <v>36</v>
      </c>
      <c r="AH746">
        <v>2</v>
      </c>
      <c r="AI746">
        <v>42</v>
      </c>
      <c r="AJ746">
        <v>0</v>
      </c>
      <c r="AK746">
        <v>0</v>
      </c>
      <c r="AL746">
        <v>14</v>
      </c>
      <c r="AM746">
        <v>0</v>
      </c>
      <c r="AN746">
        <v>2</v>
      </c>
      <c r="AO746">
        <v>0</v>
      </c>
      <c r="AP746">
        <v>40</v>
      </c>
      <c r="AQ746" s="21">
        <f t="shared" si="100"/>
        <v>4</v>
      </c>
      <c r="AR746" s="12">
        <f t="shared" si="101"/>
        <v>100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 s="6">
        <f t="shared" si="97"/>
        <v>6</v>
      </c>
      <c r="BN746">
        <v>42</v>
      </c>
      <c r="BO746">
        <f t="shared" si="102"/>
        <v>42</v>
      </c>
      <c r="BP746">
        <v>0</v>
      </c>
      <c r="BQ746">
        <f>SUM(BP746,BB746,BK746)</f>
        <v>0</v>
      </c>
      <c r="BR746">
        <f t="shared" si="98"/>
        <v>0</v>
      </c>
    </row>
    <row r="747" spans="1:70" hidden="1">
      <c r="A747" s="16" t="str">
        <f t="shared" si="99"/>
        <v>FC_2026_UPZ_2_2</v>
      </c>
      <c r="B747" t="s">
        <v>63</v>
      </c>
      <c r="C747">
        <v>44.8386</v>
      </c>
      <c r="D747">
        <v>-124.05875</v>
      </c>
      <c r="E747" s="8">
        <v>46203</v>
      </c>
      <c r="F747">
        <v>2026</v>
      </c>
      <c r="G747" t="s">
        <v>64</v>
      </c>
      <c r="H747" t="s">
        <v>45</v>
      </c>
      <c r="I747">
        <v>2</v>
      </c>
      <c r="J747">
        <v>2</v>
      </c>
      <c r="K747" t="s">
        <v>43</v>
      </c>
      <c r="L747" s="23">
        <v>38</v>
      </c>
      <c r="M747" s="23">
        <v>38</v>
      </c>
      <c r="N747" s="23">
        <v>0</v>
      </c>
      <c r="O747" s="23">
        <v>0</v>
      </c>
      <c r="P747" s="23">
        <v>14</v>
      </c>
      <c r="Q747" s="23" t="s">
        <v>44</v>
      </c>
      <c r="R747" s="23">
        <v>0</v>
      </c>
      <c r="S747" s="23">
        <v>0</v>
      </c>
      <c r="T747" s="23">
        <v>4</v>
      </c>
      <c r="U747" s="23">
        <v>42</v>
      </c>
      <c r="AG747" s="34">
        <v>40</v>
      </c>
      <c r="AH747">
        <v>2</v>
      </c>
      <c r="AI747">
        <v>33</v>
      </c>
      <c r="AJ747">
        <v>0</v>
      </c>
      <c r="AK747">
        <v>0</v>
      </c>
      <c r="AL747">
        <v>18</v>
      </c>
      <c r="AM747">
        <v>1</v>
      </c>
      <c r="AN747">
        <v>2</v>
      </c>
      <c r="AO747">
        <v>0</v>
      </c>
      <c r="AP747">
        <v>44</v>
      </c>
      <c r="AQ747" s="21">
        <f t="shared" si="100"/>
        <v>4</v>
      </c>
      <c r="AR747" s="12">
        <f t="shared" si="101"/>
        <v>100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4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 s="6">
        <f t="shared" si="97"/>
        <v>4</v>
      </c>
      <c r="BN747">
        <v>33</v>
      </c>
      <c r="BO747">
        <f t="shared" si="102"/>
        <v>33</v>
      </c>
      <c r="BP747">
        <v>0</v>
      </c>
      <c r="BQ747">
        <f>SUM(BP747,BB747,BK747)</f>
        <v>0</v>
      </c>
      <c r="BR747">
        <f t="shared" si="98"/>
        <v>0</v>
      </c>
    </row>
    <row r="748" spans="1:70" hidden="1">
      <c r="A748" s="16" t="str">
        <f t="shared" si="99"/>
        <v>FC_2026_UPZ_2_3</v>
      </c>
      <c r="B748" t="s">
        <v>63</v>
      </c>
      <c r="C748">
        <v>44.8386</v>
      </c>
      <c r="D748">
        <v>-124.05875</v>
      </c>
      <c r="E748" s="8">
        <v>46203</v>
      </c>
      <c r="F748">
        <v>2026</v>
      </c>
      <c r="G748" t="s">
        <v>64</v>
      </c>
      <c r="H748" t="s">
        <v>45</v>
      </c>
      <c r="I748">
        <v>2</v>
      </c>
      <c r="J748">
        <v>3</v>
      </c>
      <c r="K748" t="s">
        <v>43</v>
      </c>
      <c r="L748" s="23">
        <v>18</v>
      </c>
      <c r="M748" s="23">
        <v>18</v>
      </c>
      <c r="N748" s="23">
        <v>0</v>
      </c>
      <c r="O748" s="23">
        <v>0</v>
      </c>
      <c r="P748" s="23">
        <v>4</v>
      </c>
      <c r="Q748" s="23" t="s">
        <v>44</v>
      </c>
      <c r="R748" s="23">
        <v>0</v>
      </c>
      <c r="S748" s="23">
        <v>0</v>
      </c>
      <c r="T748" s="23">
        <v>1</v>
      </c>
      <c r="U748" s="23">
        <v>19</v>
      </c>
      <c r="AG748" s="34">
        <v>8</v>
      </c>
      <c r="AH748">
        <v>12</v>
      </c>
      <c r="AI748">
        <v>74</v>
      </c>
      <c r="AJ748">
        <v>0</v>
      </c>
      <c r="AK748">
        <v>0</v>
      </c>
      <c r="AL748">
        <v>5</v>
      </c>
      <c r="AM748">
        <v>0</v>
      </c>
      <c r="AN748">
        <v>1</v>
      </c>
      <c r="AO748">
        <v>0</v>
      </c>
      <c r="AP748">
        <v>8</v>
      </c>
      <c r="AQ748" s="21">
        <f t="shared" si="100"/>
        <v>0</v>
      </c>
      <c r="AR748" s="12">
        <f t="shared" si="101"/>
        <v>100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9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 s="6">
        <f t="shared" si="97"/>
        <v>9</v>
      </c>
      <c r="BN748">
        <v>74</v>
      </c>
      <c r="BO748">
        <f t="shared" si="102"/>
        <v>74</v>
      </c>
      <c r="BP748">
        <v>0</v>
      </c>
      <c r="BQ748">
        <f>SUM(BP748,BB748,BK748)</f>
        <v>0</v>
      </c>
      <c r="BR748">
        <f t="shared" si="98"/>
        <v>0</v>
      </c>
    </row>
    <row r="749" spans="1:70" hidden="1">
      <c r="A749" s="16" t="str">
        <f t="shared" si="99"/>
        <v>FC_2026_UPZ_2_4</v>
      </c>
      <c r="B749" t="s">
        <v>63</v>
      </c>
      <c r="C749">
        <v>44.8386</v>
      </c>
      <c r="D749">
        <v>-124.05875</v>
      </c>
      <c r="E749" s="8">
        <v>46203</v>
      </c>
      <c r="F749">
        <v>2026</v>
      </c>
      <c r="G749" t="s">
        <v>64</v>
      </c>
      <c r="H749" t="s">
        <v>45</v>
      </c>
      <c r="I749">
        <v>2</v>
      </c>
      <c r="J749">
        <v>4</v>
      </c>
      <c r="K749" t="s">
        <v>43</v>
      </c>
      <c r="L749" s="23">
        <v>22</v>
      </c>
      <c r="M749" s="23">
        <v>22</v>
      </c>
      <c r="N749" s="23">
        <v>0</v>
      </c>
      <c r="O749" s="23">
        <v>0</v>
      </c>
      <c r="P749" s="23">
        <v>3</v>
      </c>
      <c r="Q749" s="23" t="s">
        <v>44</v>
      </c>
      <c r="R749" s="23">
        <v>0</v>
      </c>
      <c r="S749" s="23">
        <v>0</v>
      </c>
      <c r="T749" s="23">
        <v>6</v>
      </c>
      <c r="U749" s="23">
        <v>28</v>
      </c>
      <c r="AG749" s="34">
        <v>18</v>
      </c>
      <c r="AH749">
        <v>11</v>
      </c>
      <c r="AI749">
        <v>56</v>
      </c>
      <c r="AJ749">
        <v>0</v>
      </c>
      <c r="AK749">
        <v>0</v>
      </c>
      <c r="AL749">
        <v>8</v>
      </c>
      <c r="AM749">
        <v>0</v>
      </c>
      <c r="AN749">
        <v>6</v>
      </c>
      <c r="AO749">
        <v>0</v>
      </c>
      <c r="AP749">
        <v>19</v>
      </c>
      <c r="AQ749" s="21">
        <f t="shared" si="100"/>
        <v>1</v>
      </c>
      <c r="AR749" s="12">
        <f t="shared" si="101"/>
        <v>100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7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 s="6">
        <f t="shared" si="97"/>
        <v>7</v>
      </c>
      <c r="BN749">
        <v>56</v>
      </c>
      <c r="BO749">
        <f t="shared" si="102"/>
        <v>56</v>
      </c>
      <c r="BP749">
        <v>0</v>
      </c>
      <c r="BQ749">
        <f>SUM(BP749,BB749,BK749)</f>
        <v>0</v>
      </c>
      <c r="BR749">
        <f t="shared" si="98"/>
        <v>0</v>
      </c>
    </row>
    <row r="750" spans="1:70" hidden="1">
      <c r="A750" s="16" t="str">
        <f t="shared" si="99"/>
        <v>FC_2026_UPZ_2_5</v>
      </c>
      <c r="B750" t="s">
        <v>63</v>
      </c>
      <c r="C750">
        <v>44.8386</v>
      </c>
      <c r="D750">
        <v>-124.05875</v>
      </c>
      <c r="E750" s="8">
        <v>46203</v>
      </c>
      <c r="F750">
        <v>2026</v>
      </c>
      <c r="G750" t="s">
        <v>64</v>
      </c>
      <c r="H750" t="s">
        <v>45</v>
      </c>
      <c r="I750">
        <v>2</v>
      </c>
      <c r="J750">
        <v>5</v>
      </c>
      <c r="K750" t="s">
        <v>43</v>
      </c>
      <c r="L750" s="23">
        <v>7</v>
      </c>
      <c r="M750" s="23">
        <v>4</v>
      </c>
      <c r="N750" s="23">
        <v>3</v>
      </c>
      <c r="O750" s="23">
        <v>0</v>
      </c>
      <c r="P750" s="23">
        <v>0</v>
      </c>
      <c r="Q750" s="23" t="s">
        <v>44</v>
      </c>
      <c r="R750" s="23">
        <v>0</v>
      </c>
      <c r="S750" s="23">
        <v>0</v>
      </c>
      <c r="T750" s="23">
        <v>1</v>
      </c>
      <c r="U750" s="23">
        <v>5</v>
      </c>
      <c r="AG750" s="34">
        <v>2</v>
      </c>
      <c r="AH750">
        <v>0</v>
      </c>
      <c r="AI750">
        <v>3</v>
      </c>
      <c r="AJ750">
        <v>0</v>
      </c>
      <c r="AK750">
        <v>0</v>
      </c>
      <c r="AL750">
        <v>3</v>
      </c>
      <c r="AM750">
        <v>0</v>
      </c>
      <c r="AN750">
        <v>92</v>
      </c>
      <c r="AO750">
        <v>0</v>
      </c>
      <c r="AP750">
        <v>2</v>
      </c>
      <c r="AQ750" s="21">
        <f t="shared" si="100"/>
        <v>0</v>
      </c>
      <c r="AR750" s="12">
        <f t="shared" si="101"/>
        <v>100</v>
      </c>
      <c r="AS750">
        <v>0</v>
      </c>
      <c r="AT750">
        <v>0.1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 s="6">
        <f t="shared" si="97"/>
        <v>0.1</v>
      </c>
      <c r="BN750">
        <v>3</v>
      </c>
      <c r="BO750">
        <f t="shared" si="102"/>
        <v>3</v>
      </c>
      <c r="BP750">
        <v>0</v>
      </c>
      <c r="BQ750">
        <f>SUM(BP750,BB750,BK750)</f>
        <v>0</v>
      </c>
      <c r="BR750">
        <f t="shared" si="98"/>
        <v>0</v>
      </c>
    </row>
    <row r="751" spans="1:70" hidden="1">
      <c r="A751" s="16" t="str">
        <f t="shared" si="99"/>
        <v>FC_2026_NPZ_1_1</v>
      </c>
      <c r="B751" t="s">
        <v>63</v>
      </c>
      <c r="C751">
        <v>44.8386</v>
      </c>
      <c r="D751">
        <v>-124.05875</v>
      </c>
      <c r="E751" s="8">
        <v>46203</v>
      </c>
      <c r="F751">
        <v>2026</v>
      </c>
      <c r="G751" t="s">
        <v>64</v>
      </c>
      <c r="H751" t="s">
        <v>48</v>
      </c>
      <c r="I751">
        <v>1</v>
      </c>
      <c r="J751">
        <v>1</v>
      </c>
      <c r="K751" t="s">
        <v>43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 t="s">
        <v>44</v>
      </c>
      <c r="R751" s="23">
        <v>0</v>
      </c>
      <c r="S751" s="23">
        <v>0</v>
      </c>
      <c r="T751" s="23">
        <v>0</v>
      </c>
      <c r="U751" s="23">
        <v>0</v>
      </c>
      <c r="V751" s="18" t="s">
        <v>44</v>
      </c>
      <c r="W751" s="18" t="s">
        <v>44</v>
      </c>
      <c r="X751" s="18" t="s">
        <v>44</v>
      </c>
      <c r="Y751" s="18" t="s">
        <v>44</v>
      </c>
      <c r="Z751" s="18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s="34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100</v>
      </c>
      <c r="AO751">
        <v>0</v>
      </c>
      <c r="AP751">
        <v>0</v>
      </c>
      <c r="AQ751" s="21">
        <f t="shared" si="100"/>
        <v>0</v>
      </c>
      <c r="AR751" s="12">
        <f t="shared" si="101"/>
        <v>100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 s="6">
        <f t="shared" si="97"/>
        <v>0</v>
      </c>
      <c r="BN751">
        <v>0</v>
      </c>
      <c r="BO751">
        <f t="shared" si="102"/>
        <v>0</v>
      </c>
      <c r="BP751">
        <v>0</v>
      </c>
      <c r="BQ751">
        <f>SUM(BP751,BB751,BK751)</f>
        <v>0</v>
      </c>
      <c r="BR751">
        <f t="shared" si="98"/>
        <v>0</v>
      </c>
    </row>
    <row r="752" spans="1:70" hidden="1">
      <c r="A752" s="16" t="str">
        <f t="shared" si="99"/>
        <v>FC_2026_NPZ_1_2</v>
      </c>
      <c r="B752" t="s">
        <v>63</v>
      </c>
      <c r="C752">
        <v>44.8386</v>
      </c>
      <c r="D752">
        <v>-124.05875</v>
      </c>
      <c r="E752" s="8">
        <v>46203</v>
      </c>
      <c r="F752">
        <v>2026</v>
      </c>
      <c r="G752" t="s">
        <v>64</v>
      </c>
      <c r="H752" t="s">
        <v>48</v>
      </c>
      <c r="I752">
        <v>1</v>
      </c>
      <c r="J752">
        <v>2</v>
      </c>
      <c r="K752" t="s">
        <v>43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 t="s">
        <v>44</v>
      </c>
      <c r="R752" s="23">
        <v>0</v>
      </c>
      <c r="S752" s="23">
        <v>0</v>
      </c>
      <c r="T752" s="23">
        <v>0</v>
      </c>
      <c r="U752" s="23">
        <v>0</v>
      </c>
      <c r="V752" s="18" t="s">
        <v>44</v>
      </c>
      <c r="W752" s="18" t="s">
        <v>44</v>
      </c>
      <c r="X752" s="18" t="s">
        <v>44</v>
      </c>
      <c r="Y752" s="18" t="s">
        <v>44</v>
      </c>
      <c r="Z752" s="18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s="34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100</v>
      </c>
      <c r="AO752">
        <v>0</v>
      </c>
      <c r="AP752">
        <v>0</v>
      </c>
      <c r="AQ752" s="21">
        <f t="shared" si="100"/>
        <v>0</v>
      </c>
      <c r="AR752" s="12">
        <f t="shared" si="101"/>
        <v>100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 s="6">
        <f t="shared" si="97"/>
        <v>0</v>
      </c>
      <c r="BN752">
        <v>0</v>
      </c>
      <c r="BO752">
        <f t="shared" si="102"/>
        <v>0</v>
      </c>
      <c r="BP752">
        <v>0</v>
      </c>
      <c r="BQ752">
        <f>SUM(BP752,BB752,BK752)</f>
        <v>0</v>
      </c>
      <c r="BR752">
        <f t="shared" si="98"/>
        <v>0</v>
      </c>
    </row>
    <row r="753" spans="1:70" hidden="1">
      <c r="A753" s="16" t="str">
        <f t="shared" si="99"/>
        <v>FC_2026_NPZ_1_3</v>
      </c>
      <c r="B753" t="s">
        <v>63</v>
      </c>
      <c r="C753">
        <v>44.8386</v>
      </c>
      <c r="D753">
        <v>-124.05875</v>
      </c>
      <c r="E753" s="8">
        <v>46203</v>
      </c>
      <c r="F753">
        <v>2026</v>
      </c>
      <c r="G753" t="s">
        <v>64</v>
      </c>
      <c r="H753" t="s">
        <v>48</v>
      </c>
      <c r="I753">
        <v>1</v>
      </c>
      <c r="J753">
        <v>3</v>
      </c>
      <c r="K753" t="s">
        <v>43</v>
      </c>
      <c r="L753" s="23">
        <v>3</v>
      </c>
      <c r="M753" s="23">
        <v>0</v>
      </c>
      <c r="N753" s="23">
        <v>3</v>
      </c>
      <c r="O753" s="23">
        <v>0</v>
      </c>
      <c r="P753" s="23">
        <v>0</v>
      </c>
      <c r="Q753" s="23" t="s">
        <v>44</v>
      </c>
      <c r="R753" s="23">
        <v>0</v>
      </c>
      <c r="S753" s="23">
        <v>0</v>
      </c>
      <c r="T753" s="23">
        <v>0</v>
      </c>
      <c r="U753" s="23">
        <v>0</v>
      </c>
      <c r="AG753" s="34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100</v>
      </c>
      <c r="AO753">
        <v>0</v>
      </c>
      <c r="AP753">
        <v>0</v>
      </c>
      <c r="AQ753" s="21">
        <f t="shared" si="100"/>
        <v>-1</v>
      </c>
      <c r="AR753" s="12">
        <f t="shared" si="101"/>
        <v>100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 s="6">
        <f t="shared" si="97"/>
        <v>0</v>
      </c>
      <c r="BN753">
        <v>0</v>
      </c>
      <c r="BO753">
        <f t="shared" si="102"/>
        <v>0</v>
      </c>
      <c r="BP753">
        <v>0</v>
      </c>
      <c r="BQ753">
        <f>SUM(BP753,BB753,BK753)</f>
        <v>0</v>
      </c>
      <c r="BR753">
        <f t="shared" si="98"/>
        <v>0</v>
      </c>
    </row>
    <row r="754" spans="1:70" hidden="1">
      <c r="A754" s="16" t="str">
        <f t="shared" si="99"/>
        <v>FC_2026_NPZ_1_4</v>
      </c>
      <c r="B754" t="s">
        <v>63</v>
      </c>
      <c r="C754">
        <v>44.8386</v>
      </c>
      <c r="D754">
        <v>-124.05875</v>
      </c>
      <c r="E754" s="8">
        <v>46203</v>
      </c>
      <c r="F754">
        <v>2026</v>
      </c>
      <c r="G754" t="s">
        <v>64</v>
      </c>
      <c r="H754" t="s">
        <v>48</v>
      </c>
      <c r="I754">
        <v>1</v>
      </c>
      <c r="J754">
        <v>4</v>
      </c>
      <c r="K754" t="s">
        <v>43</v>
      </c>
      <c r="L754" s="23">
        <v>0</v>
      </c>
      <c r="M754" s="23">
        <v>0</v>
      </c>
      <c r="N754" s="23">
        <v>0</v>
      </c>
      <c r="O754" s="23">
        <v>0</v>
      </c>
      <c r="P754" s="23">
        <v>3</v>
      </c>
      <c r="Q754" s="23" t="s">
        <v>44</v>
      </c>
      <c r="R754" s="23">
        <v>0</v>
      </c>
      <c r="S754" s="23">
        <v>0</v>
      </c>
      <c r="T754" s="23">
        <v>0</v>
      </c>
      <c r="U754" s="23">
        <v>0</v>
      </c>
      <c r="V754" s="18" t="s">
        <v>44</v>
      </c>
      <c r="W754" s="18" t="s">
        <v>44</v>
      </c>
      <c r="X754" s="18" t="s">
        <v>44</v>
      </c>
      <c r="Y754" s="18" t="s">
        <v>44</v>
      </c>
      <c r="Z754" s="18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s="34">
        <v>0.1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96</v>
      </c>
      <c r="AO754">
        <v>0</v>
      </c>
      <c r="AP754">
        <v>2</v>
      </c>
      <c r="AQ754" s="21">
        <f t="shared" si="100"/>
        <v>1.9</v>
      </c>
      <c r="AR754" s="12">
        <f t="shared" si="101"/>
        <v>100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 s="6">
        <f t="shared" si="97"/>
        <v>0</v>
      </c>
      <c r="BN754">
        <v>0</v>
      </c>
      <c r="BO754">
        <f t="shared" si="102"/>
        <v>0</v>
      </c>
      <c r="BP754">
        <v>0</v>
      </c>
      <c r="BQ754">
        <f>SUM(BP754,BB754,BK754)</f>
        <v>0</v>
      </c>
      <c r="BR754">
        <f t="shared" si="98"/>
        <v>0</v>
      </c>
    </row>
    <row r="755" spans="1:70" hidden="1">
      <c r="A755" s="16" t="str">
        <f t="shared" si="99"/>
        <v>FC_2026_NPZ_1_5</v>
      </c>
      <c r="B755" t="s">
        <v>63</v>
      </c>
      <c r="C755">
        <v>44.8386</v>
      </c>
      <c r="D755">
        <v>-124.05875</v>
      </c>
      <c r="E755" s="8">
        <v>46203</v>
      </c>
      <c r="F755">
        <v>2026</v>
      </c>
      <c r="G755" t="s">
        <v>64</v>
      </c>
      <c r="H755" t="s">
        <v>48</v>
      </c>
      <c r="I755">
        <v>1</v>
      </c>
      <c r="J755">
        <v>5</v>
      </c>
      <c r="K755" t="s">
        <v>43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 t="s">
        <v>44</v>
      </c>
      <c r="R755" s="23">
        <v>0</v>
      </c>
      <c r="S755" s="23">
        <v>0</v>
      </c>
      <c r="T755" s="23">
        <v>0</v>
      </c>
      <c r="U755" s="23">
        <v>0</v>
      </c>
      <c r="V755" s="18" t="s">
        <v>44</v>
      </c>
      <c r="W755" s="18" t="s">
        <v>44</v>
      </c>
      <c r="X755" s="18" t="s">
        <v>44</v>
      </c>
      <c r="Y755" s="18" t="s">
        <v>44</v>
      </c>
      <c r="Z755" s="18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s="34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100</v>
      </c>
      <c r="AO755">
        <v>0</v>
      </c>
      <c r="AP755">
        <v>0</v>
      </c>
      <c r="AQ755" s="21">
        <f t="shared" si="100"/>
        <v>0</v>
      </c>
      <c r="AR755" s="12">
        <f t="shared" si="101"/>
        <v>100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 s="6">
        <f t="shared" ref="BM755:BM760" si="103">SUM(AS755:BJ755)</f>
        <v>0</v>
      </c>
      <c r="BN755">
        <v>0</v>
      </c>
      <c r="BO755">
        <f t="shared" si="102"/>
        <v>0</v>
      </c>
      <c r="BP755">
        <v>0</v>
      </c>
      <c r="BQ755">
        <f>SUM(BP755,BB755,BK755)</f>
        <v>0</v>
      </c>
      <c r="BR755">
        <f t="shared" si="98"/>
        <v>0</v>
      </c>
    </row>
    <row r="756" spans="1:70" hidden="1">
      <c r="A756" s="16" t="str">
        <f t="shared" si="99"/>
        <v>FC_2026_NPZ_2_1</v>
      </c>
      <c r="B756" t="s">
        <v>63</v>
      </c>
      <c r="C756">
        <v>44.8386</v>
      </c>
      <c r="D756">
        <v>-124.05875</v>
      </c>
      <c r="E756" s="8">
        <v>46203</v>
      </c>
      <c r="F756">
        <v>2026</v>
      </c>
      <c r="G756" t="s">
        <v>64</v>
      </c>
      <c r="H756" t="s">
        <v>48</v>
      </c>
      <c r="I756">
        <v>2</v>
      </c>
      <c r="J756">
        <v>1</v>
      </c>
      <c r="K756" t="s">
        <v>43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 t="s">
        <v>44</v>
      </c>
      <c r="R756" s="23">
        <v>0</v>
      </c>
      <c r="S756" s="23">
        <v>0</v>
      </c>
      <c r="T756" s="23">
        <v>0</v>
      </c>
      <c r="U756" s="23">
        <v>0</v>
      </c>
      <c r="V756" s="18" t="s">
        <v>44</v>
      </c>
      <c r="W756" s="18" t="s">
        <v>44</v>
      </c>
      <c r="X756" s="18" t="s">
        <v>44</v>
      </c>
      <c r="Y756" s="18" t="s">
        <v>44</v>
      </c>
      <c r="Z756" s="18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s="34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100</v>
      </c>
      <c r="AO756">
        <v>0</v>
      </c>
      <c r="AP756">
        <v>0</v>
      </c>
      <c r="AQ756" s="21">
        <f t="shared" si="100"/>
        <v>0</v>
      </c>
      <c r="AR756" s="12">
        <f t="shared" si="101"/>
        <v>100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 s="6">
        <f t="shared" si="103"/>
        <v>0</v>
      </c>
      <c r="BN756">
        <v>0</v>
      </c>
      <c r="BO756">
        <f t="shared" si="102"/>
        <v>0</v>
      </c>
      <c r="BP756">
        <v>0</v>
      </c>
      <c r="BQ756">
        <f>SUM(BP756,BB756,BK756)</f>
        <v>0</v>
      </c>
      <c r="BR756">
        <f t="shared" si="98"/>
        <v>0</v>
      </c>
    </row>
    <row r="757" spans="1:70" hidden="1">
      <c r="A757" s="16" t="str">
        <f t="shared" si="99"/>
        <v>FC_2026_NPZ_2_2</v>
      </c>
      <c r="B757" t="s">
        <v>63</v>
      </c>
      <c r="C757">
        <v>44.8386</v>
      </c>
      <c r="D757">
        <v>-124.05875</v>
      </c>
      <c r="E757" s="8">
        <v>46203</v>
      </c>
      <c r="F757">
        <v>2026</v>
      </c>
      <c r="G757" t="s">
        <v>64</v>
      </c>
      <c r="H757" t="s">
        <v>48</v>
      </c>
      <c r="I757">
        <v>2</v>
      </c>
      <c r="J757">
        <v>2</v>
      </c>
      <c r="K757" t="s">
        <v>43</v>
      </c>
      <c r="L757" s="23">
        <v>0</v>
      </c>
      <c r="M757" s="23">
        <v>0</v>
      </c>
      <c r="N757" s="23">
        <v>0</v>
      </c>
      <c r="O757" s="23">
        <v>0</v>
      </c>
      <c r="P757" s="23">
        <v>0</v>
      </c>
      <c r="Q757" s="23" t="s">
        <v>44</v>
      </c>
      <c r="R757" s="23">
        <v>0</v>
      </c>
      <c r="S757" s="23">
        <v>0</v>
      </c>
      <c r="T757" s="23">
        <v>0</v>
      </c>
      <c r="U757" s="23">
        <v>0</v>
      </c>
      <c r="V757" s="18" t="s">
        <v>44</v>
      </c>
      <c r="W757" s="18" t="s">
        <v>44</v>
      </c>
      <c r="X757" s="18" t="s">
        <v>44</v>
      </c>
      <c r="Y757" s="18" t="s">
        <v>44</v>
      </c>
      <c r="Z757" s="18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s="34">
        <v>0</v>
      </c>
      <c r="AH757">
        <v>0</v>
      </c>
      <c r="AI757">
        <v>0</v>
      </c>
      <c r="AJ757">
        <v>0</v>
      </c>
      <c r="AK757">
        <v>0</v>
      </c>
      <c r="AL757">
        <v>2</v>
      </c>
      <c r="AM757">
        <v>0</v>
      </c>
      <c r="AN757">
        <v>98</v>
      </c>
      <c r="AO757">
        <v>0</v>
      </c>
      <c r="AP757">
        <v>0</v>
      </c>
      <c r="AQ757" s="21">
        <f t="shared" si="100"/>
        <v>0</v>
      </c>
      <c r="AR757" s="12">
        <f t="shared" si="101"/>
        <v>100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 s="6">
        <f t="shared" si="103"/>
        <v>0</v>
      </c>
      <c r="BN757">
        <v>0</v>
      </c>
      <c r="BO757">
        <f t="shared" si="102"/>
        <v>0</v>
      </c>
      <c r="BP757">
        <v>0</v>
      </c>
      <c r="BQ757">
        <f>SUM(BP757,BB757,BK757)</f>
        <v>0</v>
      </c>
      <c r="BR757">
        <f t="shared" si="98"/>
        <v>0</v>
      </c>
    </row>
    <row r="758" spans="1:70" hidden="1">
      <c r="A758" s="16" t="str">
        <f t="shared" si="99"/>
        <v>FC_2026_NPZ_2_3</v>
      </c>
      <c r="B758" t="s">
        <v>63</v>
      </c>
      <c r="C758">
        <v>44.8386</v>
      </c>
      <c r="D758">
        <v>-124.05875</v>
      </c>
      <c r="E758" s="8">
        <v>46203</v>
      </c>
      <c r="F758">
        <v>2026</v>
      </c>
      <c r="G758" t="s">
        <v>64</v>
      </c>
      <c r="H758" t="s">
        <v>48</v>
      </c>
      <c r="I758">
        <v>2</v>
      </c>
      <c r="J758">
        <v>3</v>
      </c>
      <c r="K758" t="s">
        <v>43</v>
      </c>
      <c r="L758" s="23">
        <v>2</v>
      </c>
      <c r="M758" s="23">
        <v>0</v>
      </c>
      <c r="N758" s="23">
        <v>2</v>
      </c>
      <c r="O758" s="23">
        <v>0</v>
      </c>
      <c r="P758" s="23">
        <v>0</v>
      </c>
      <c r="Q758" s="23" t="s">
        <v>44</v>
      </c>
      <c r="R758" s="23">
        <v>0</v>
      </c>
      <c r="S758" s="23">
        <v>0</v>
      </c>
      <c r="T758" s="23">
        <v>0</v>
      </c>
      <c r="U758" s="23">
        <v>0</v>
      </c>
      <c r="AG758" s="34">
        <v>1</v>
      </c>
      <c r="AH758">
        <v>0</v>
      </c>
      <c r="AI758">
        <v>2</v>
      </c>
      <c r="AJ758">
        <v>0</v>
      </c>
      <c r="AK758">
        <v>0</v>
      </c>
      <c r="AL758">
        <v>7</v>
      </c>
      <c r="AM758">
        <v>1</v>
      </c>
      <c r="AN758">
        <v>89</v>
      </c>
      <c r="AO758">
        <v>0</v>
      </c>
      <c r="AP758">
        <v>1</v>
      </c>
      <c r="AQ758" s="21">
        <f t="shared" si="100"/>
        <v>0</v>
      </c>
      <c r="AR758" s="12">
        <f t="shared" si="101"/>
        <v>100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 s="6">
        <f t="shared" si="103"/>
        <v>0</v>
      </c>
      <c r="BN758">
        <v>2</v>
      </c>
      <c r="BO758">
        <f t="shared" si="102"/>
        <v>2</v>
      </c>
      <c r="BP758">
        <v>0</v>
      </c>
      <c r="BQ758">
        <f>SUM(BP758,BB758,BK758)</f>
        <v>0</v>
      </c>
      <c r="BR758">
        <f t="shared" si="98"/>
        <v>0</v>
      </c>
    </row>
    <row r="759" spans="1:70" hidden="1">
      <c r="A759" s="16" t="str">
        <f t="shared" si="99"/>
        <v>FC_2026_NPZ_2_4</v>
      </c>
      <c r="B759" t="s">
        <v>63</v>
      </c>
      <c r="C759">
        <v>44.8386</v>
      </c>
      <c r="D759">
        <v>-124.05875</v>
      </c>
      <c r="E759" s="8">
        <v>46203</v>
      </c>
      <c r="F759">
        <v>2026</v>
      </c>
      <c r="G759" t="s">
        <v>64</v>
      </c>
      <c r="H759" t="s">
        <v>48</v>
      </c>
      <c r="I759">
        <v>2</v>
      </c>
      <c r="J759">
        <v>4</v>
      </c>
      <c r="K759" t="s">
        <v>43</v>
      </c>
      <c r="L759" s="23">
        <v>2</v>
      </c>
      <c r="M759" s="23">
        <v>1</v>
      </c>
      <c r="N759" s="23">
        <v>1</v>
      </c>
      <c r="O759" s="23">
        <v>0</v>
      </c>
      <c r="P759" s="23">
        <v>0</v>
      </c>
      <c r="Q759" s="23" t="s">
        <v>44</v>
      </c>
      <c r="R759" s="23">
        <v>0</v>
      </c>
      <c r="S759" s="23">
        <v>0</v>
      </c>
      <c r="T759" s="23">
        <v>0</v>
      </c>
      <c r="U759" s="23">
        <v>1</v>
      </c>
      <c r="AG759" s="34">
        <v>1</v>
      </c>
      <c r="AH759">
        <v>0</v>
      </c>
      <c r="AI759">
        <v>30</v>
      </c>
      <c r="AJ759">
        <v>0</v>
      </c>
      <c r="AK759">
        <v>0</v>
      </c>
      <c r="AL759">
        <v>10</v>
      </c>
      <c r="AM759">
        <v>0.1</v>
      </c>
      <c r="AN759">
        <v>56</v>
      </c>
      <c r="AO759">
        <v>0</v>
      </c>
      <c r="AP759">
        <v>4</v>
      </c>
      <c r="AQ759" s="21">
        <f>AP759-AG758</f>
        <v>3</v>
      </c>
      <c r="AR759" s="12">
        <f t="shared" si="101"/>
        <v>100.1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 s="6">
        <f t="shared" si="103"/>
        <v>0</v>
      </c>
      <c r="BN759">
        <v>30</v>
      </c>
      <c r="BO759">
        <f t="shared" si="102"/>
        <v>30</v>
      </c>
      <c r="BP759">
        <v>0</v>
      </c>
      <c r="BQ759">
        <f>SUM(BP759,BB759,BK759)</f>
        <v>0</v>
      </c>
      <c r="BR759">
        <f t="shared" si="98"/>
        <v>0</v>
      </c>
    </row>
    <row r="760" spans="1:70" hidden="1">
      <c r="A760" s="16" t="str">
        <f t="shared" si="99"/>
        <v>FC_2026_NPZ_2_5</v>
      </c>
      <c r="B760" t="s">
        <v>63</v>
      </c>
      <c r="C760">
        <v>44.8386</v>
      </c>
      <c r="D760">
        <v>-124.05875</v>
      </c>
      <c r="E760" s="8">
        <v>46203</v>
      </c>
      <c r="F760">
        <v>2026</v>
      </c>
      <c r="G760" t="s">
        <v>64</v>
      </c>
      <c r="H760" t="s">
        <v>48</v>
      </c>
      <c r="I760">
        <v>2</v>
      </c>
      <c r="J760">
        <v>5</v>
      </c>
      <c r="K760" t="s">
        <v>43</v>
      </c>
      <c r="L760" s="23">
        <v>1</v>
      </c>
      <c r="M760" s="23">
        <v>1</v>
      </c>
      <c r="N760" s="23">
        <v>0</v>
      </c>
      <c r="O760" s="23">
        <v>0</v>
      </c>
      <c r="P760" s="23">
        <v>0</v>
      </c>
      <c r="Q760" s="23" t="s">
        <v>44</v>
      </c>
      <c r="R760" s="23">
        <v>0</v>
      </c>
      <c r="S760" s="23">
        <v>0</v>
      </c>
      <c r="T760" s="23">
        <v>0</v>
      </c>
      <c r="U760" s="23">
        <v>1</v>
      </c>
      <c r="AG760" s="34">
        <v>1</v>
      </c>
      <c r="AH760">
        <v>1</v>
      </c>
      <c r="AI760">
        <v>10</v>
      </c>
      <c r="AJ760">
        <v>0</v>
      </c>
      <c r="AK760">
        <v>0</v>
      </c>
      <c r="AL760">
        <v>15</v>
      </c>
      <c r="AM760">
        <v>0</v>
      </c>
      <c r="AN760">
        <v>68</v>
      </c>
      <c r="AO760">
        <v>0</v>
      </c>
      <c r="AP760">
        <v>6</v>
      </c>
      <c r="AQ760" s="21">
        <f t="shared" si="100"/>
        <v>5</v>
      </c>
      <c r="AR760" s="12">
        <f t="shared" si="101"/>
        <v>100</v>
      </c>
      <c r="AS760">
        <v>0</v>
      </c>
      <c r="AT760">
        <v>0</v>
      </c>
      <c r="AU760">
        <v>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 s="6">
        <f t="shared" si="103"/>
        <v>5</v>
      </c>
    </row>
  </sheetData>
  <autoFilter ref="A1:BR760" xr:uid="{00000000-0001-0000-0000-000000000000}">
    <filterColumn colId="69">
      <filters>
        <filter val="1"/>
        <filter val="12"/>
        <filter val="13"/>
        <filter val="14"/>
        <filter val="15"/>
        <filter val="16"/>
        <filter val="17"/>
        <filter val="2"/>
        <filter val="24"/>
        <filter val="25"/>
        <filter val="28"/>
        <filter val="29"/>
        <filter val="3"/>
        <filter val="36"/>
        <filter val="38"/>
        <filter val="4"/>
        <filter val="40"/>
        <filter val="5"/>
        <filter val="63"/>
        <filter val="64"/>
        <filter val="65"/>
        <filter val="69"/>
        <filter val="7"/>
        <filter val="79"/>
        <filter val="8"/>
        <filter val="85"/>
        <filter val="9"/>
      </filters>
    </filterColumn>
  </autoFilter>
  <conditionalFormatting sqref="K1:K1048576">
    <cfRule type="cellIs" dxfId="6" priority="5" operator="equal">
      <formula>"W"</formula>
    </cfRule>
  </conditionalFormatting>
  <conditionalFormatting sqref="K67:K69">
    <cfRule type="containsText" dxfId="5" priority="6" operator="containsText" text="Channel">
      <formula>NOT(ISERROR(SEARCH("Channel",K67)))</formula>
    </cfRule>
  </conditionalFormatting>
  <conditionalFormatting sqref="K312:K331">
    <cfRule type="containsText" dxfId="4" priority="7" operator="containsText" text="Bench">
      <formula>NOT(ISERROR(SEARCH("Bench",K312)))</formula>
    </cfRule>
  </conditionalFormatting>
  <conditionalFormatting sqref="AT587:AT588 AT590:AT591 AS623 AQ1:AQ1048576">
    <cfRule type="containsText" dxfId="3" priority="13" operator="containsText" text="-">
      <formula>NOT(ISERROR(SEARCH("-",AQ1)))</formula>
    </cfRule>
  </conditionalFormatting>
  <conditionalFormatting sqref="AR2:AR760">
    <cfRule type="cellIs" dxfId="2" priority="15" operator="equal">
      <formula>100</formula>
    </cfRule>
    <cfRule type="cellIs" dxfId="1" priority="16" operator="greaterThanOrEqual">
      <formula>99</formula>
    </cfRule>
    <cfRule type="cellIs" dxfId="0" priority="17" operator="lessThan">
      <formula>90</formula>
    </cfRule>
  </conditionalFormatting>
  <conditionalFormatting sqref="BP132:BR132">
    <cfRule type="colorScale" priority="2">
      <colorScale>
        <cfvo type="min"/>
        <cfvo type="max"/>
        <color theme="9" tint="0.79998168889431442"/>
        <color rgb="FFC00000"/>
      </colorScale>
    </cfRule>
    <cfRule type="colorScale" priority="3">
      <colorScale>
        <cfvo type="min"/>
        <cfvo type="max"/>
        <color rgb="FFFF7128"/>
        <color theme="5" tint="-0.249977111117893"/>
      </colorScale>
    </cfRule>
    <cfRule type="colorScale" priority="4">
      <colorScale>
        <cfvo type="num" val="0"/>
        <cfvo type="max"/>
        <color theme="9" tint="0.79998168889431442"/>
        <color rgb="FFFFEF9C"/>
      </colorScale>
    </cfRule>
  </conditionalFormatting>
  <conditionalFormatting sqref="BR1:BR131 BR133:BR162 BR165:BR166 BR168:BR170 BR172:BR1048576">
    <cfRule type="colorScale" priority="1">
      <colorScale>
        <cfvo type="min"/>
        <cfvo type="max"/>
        <color theme="9" tint="0.79998168889431442"/>
        <color rgb="FFC00000"/>
      </colorScale>
    </cfRule>
  </conditionalFormatting>
  <dataValidations count="1">
    <dataValidation type="list" allowBlank="1" showInputMessage="1" showErrorMessage="1" sqref="H32:H51" xr:uid="{4D6B1C70-8C15-44C3-9EEC-FBF8245291D2}">
      <formula1>"FB,VD,VB"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WorkingUrchinSurveyData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Chabot, Delaney J</cp:lastModifiedBy>
  <cp:revision/>
  <dcterms:created xsi:type="dcterms:W3CDTF">2025-04-08T19:58:46Z</dcterms:created>
  <dcterms:modified xsi:type="dcterms:W3CDTF">2026-08-18T02:20:40Z</dcterms:modified>
  <cp:category/>
  <cp:contentStatus/>
</cp:coreProperties>
</file>